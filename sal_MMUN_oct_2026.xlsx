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9.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10.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1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tables/table12.xml" ContentType="application/vnd.openxmlformats-officedocument.spreadsheetml.tab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2.xml" ContentType="application/vnd.openxmlformats-officedocument.drawing+xml"/>
  <Override PartName="/xl/tables/table13.xml" ContentType="application/vnd.openxmlformats-officedocument.spreadsheetml.tab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tables/table14.xml" ContentType="application/vnd.openxmlformats-officedocument.spreadsheetml.tab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tables/table15.xml" ContentType="application/vnd.openxmlformats-officedocument.spreadsheetml.tab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202300"/>
  <mc:AlternateContent xmlns:mc="http://schemas.openxmlformats.org/markup-compatibility/2006">
    <mc:Choice Requires="x15">
      <x15ac:absPath xmlns:x15ac="http://schemas.microsoft.com/office/spreadsheetml/2010/11/ac" url="/Users/horacioseneam/Documents/SENEAM/ATFM/PRESENTACIONES/MAPA_ATC/2026/10 OCTUBRE/DINÁMICO/"/>
    </mc:Choice>
  </mc:AlternateContent>
  <xr:revisionPtr revIDLastSave="0" documentId="13_ncr:1_{78FF66AC-E83A-0348-95F4-83A7D33C4D98}" xr6:coauthVersionLast="47" xr6:coauthVersionMax="47" xr10:uidLastSave="{00000000-0000-0000-0000-000000000000}"/>
  <bookViews>
    <workbookView xWindow="0" yWindow="600" windowWidth="38400" windowHeight="19780" activeTab="14" xr2:uid="{82EDADD3-66B6-284F-A5F6-3EFFDF049E7E}"/>
  </bookViews>
  <sheets>
    <sheet name="DB" sheetId="32" r:id="rId1"/>
    <sheet name="2026-10-01" sheetId="74" r:id="rId2"/>
    <sheet name="2026-10-02" sheetId="75" r:id="rId3"/>
    <sheet name="2026-10-03" sheetId="76" r:id="rId4"/>
    <sheet name="2026-10-04" sheetId="77" r:id="rId5"/>
    <sheet name="2026-10-05" sheetId="78" r:id="rId6"/>
    <sheet name="2026-10-06" sheetId="79" r:id="rId7"/>
    <sheet name="2026-10-07" sheetId="80" r:id="rId8"/>
    <sheet name="2026-10-08" sheetId="81" r:id="rId9"/>
    <sheet name="2026-10-09" sheetId="82" r:id="rId10"/>
    <sheet name="2026-10-10" sheetId="83" r:id="rId11"/>
    <sheet name="2026-10-11" sheetId="84" r:id="rId12"/>
    <sheet name="2026-10-12" sheetId="85" r:id="rId13"/>
    <sheet name="2026-10-13" sheetId="86" r:id="rId14"/>
    <sheet name="2026-10-14" sheetId="87" r:id="rId15"/>
  </sheets>
  <definedNames>
    <definedName name="Data_B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20" i="87" l="1"/>
  <c r="S220" i="87"/>
  <c r="R220" i="87"/>
  <c r="T219" i="87"/>
  <c r="S219" i="87"/>
  <c r="R219" i="87"/>
  <c r="T218" i="87"/>
  <c r="S218" i="87"/>
  <c r="R218" i="87"/>
  <c r="T217" i="87"/>
  <c r="S217" i="87"/>
  <c r="R217" i="87"/>
  <c r="T216" i="87"/>
  <c r="S216" i="87"/>
  <c r="R216" i="87"/>
  <c r="T215" i="87"/>
  <c r="S215" i="87"/>
  <c r="R215" i="87"/>
  <c r="T214" i="87"/>
  <c r="S214" i="87"/>
  <c r="R214" i="87"/>
  <c r="T213" i="87"/>
  <c r="S213" i="87"/>
  <c r="R213" i="87"/>
  <c r="T212" i="87"/>
  <c r="S212" i="87"/>
  <c r="R212" i="87"/>
  <c r="T211" i="87"/>
  <c r="S211" i="87"/>
  <c r="R211" i="87"/>
  <c r="T210" i="87"/>
  <c r="S210" i="87"/>
  <c r="R210" i="87"/>
  <c r="T209" i="87"/>
  <c r="S209" i="87"/>
  <c r="R209" i="87"/>
  <c r="T208" i="87"/>
  <c r="S208" i="87"/>
  <c r="R208" i="87"/>
  <c r="T207" i="87"/>
  <c r="S207" i="87"/>
  <c r="R207" i="87"/>
  <c r="T206" i="87"/>
  <c r="S206" i="87"/>
  <c r="R206" i="87"/>
  <c r="T205" i="87"/>
  <c r="S205" i="87"/>
  <c r="R205" i="87"/>
  <c r="T204" i="87"/>
  <c r="S204" i="87"/>
  <c r="R204" i="87"/>
  <c r="T203" i="87"/>
  <c r="S203" i="87"/>
  <c r="R203" i="87"/>
  <c r="T202" i="87"/>
  <c r="S202" i="87"/>
  <c r="R202" i="87"/>
  <c r="T201" i="87"/>
  <c r="S201" i="87"/>
  <c r="R201" i="87"/>
  <c r="T200" i="87"/>
  <c r="S200" i="87"/>
  <c r="R200" i="87"/>
  <c r="T199" i="87"/>
  <c r="S199" i="87"/>
  <c r="R199" i="87"/>
  <c r="T198" i="87"/>
  <c r="S198" i="87"/>
  <c r="R198" i="87"/>
  <c r="T197" i="87"/>
  <c r="S197" i="87"/>
  <c r="R197" i="87"/>
  <c r="T196" i="87"/>
  <c r="S196" i="87"/>
  <c r="R196" i="87"/>
  <c r="T195" i="87"/>
  <c r="S195" i="87"/>
  <c r="R195" i="87"/>
  <c r="T194" i="87"/>
  <c r="S194" i="87"/>
  <c r="R194" i="87"/>
  <c r="T193" i="87"/>
  <c r="S193" i="87"/>
  <c r="R193" i="87"/>
  <c r="T192" i="87"/>
  <c r="S192" i="87"/>
  <c r="R192" i="87"/>
  <c r="T191" i="87"/>
  <c r="S191" i="87"/>
  <c r="R191" i="87"/>
  <c r="T190" i="87"/>
  <c r="S190" i="87"/>
  <c r="R190" i="87"/>
  <c r="T189" i="87"/>
  <c r="S189" i="87"/>
  <c r="R189" i="87"/>
  <c r="T188" i="87"/>
  <c r="S188" i="87"/>
  <c r="R188" i="87"/>
  <c r="T187" i="87"/>
  <c r="S187" i="87"/>
  <c r="R187" i="87"/>
  <c r="T186" i="87"/>
  <c r="S186" i="87"/>
  <c r="R186" i="87"/>
  <c r="T185" i="87"/>
  <c r="S185" i="87"/>
  <c r="R185" i="87"/>
  <c r="T184" i="87"/>
  <c r="S184" i="87"/>
  <c r="R184" i="87"/>
  <c r="T183" i="87"/>
  <c r="S183" i="87"/>
  <c r="R183" i="87"/>
  <c r="T182" i="87"/>
  <c r="S182" i="87"/>
  <c r="R182" i="87"/>
  <c r="T181" i="87"/>
  <c r="S181" i="87"/>
  <c r="R181" i="87"/>
  <c r="T180" i="87"/>
  <c r="S180" i="87"/>
  <c r="R180" i="87"/>
  <c r="T179" i="87"/>
  <c r="S179" i="87"/>
  <c r="R179" i="87"/>
  <c r="T178" i="87"/>
  <c r="S178" i="87"/>
  <c r="R178" i="87"/>
  <c r="T177" i="87"/>
  <c r="S177" i="87"/>
  <c r="R177" i="87"/>
  <c r="T176" i="87"/>
  <c r="S176" i="87"/>
  <c r="R176" i="87"/>
  <c r="T175" i="87"/>
  <c r="S175" i="87"/>
  <c r="R175" i="87"/>
  <c r="T174" i="87"/>
  <c r="S174" i="87"/>
  <c r="R174" i="87"/>
  <c r="T173" i="87"/>
  <c r="S173" i="87"/>
  <c r="R173" i="87"/>
  <c r="T172" i="87"/>
  <c r="S172" i="87"/>
  <c r="R172" i="87"/>
  <c r="T171" i="87"/>
  <c r="S171" i="87"/>
  <c r="R171" i="87"/>
  <c r="T170" i="87"/>
  <c r="S170" i="87"/>
  <c r="R170" i="87"/>
  <c r="T169" i="87"/>
  <c r="S169" i="87"/>
  <c r="R169" i="87"/>
  <c r="T168" i="87"/>
  <c r="S168" i="87"/>
  <c r="R168" i="87"/>
  <c r="T167" i="87"/>
  <c r="S167" i="87"/>
  <c r="R167" i="87"/>
  <c r="T166" i="87"/>
  <c r="S166" i="87"/>
  <c r="R166" i="87"/>
  <c r="T165" i="87"/>
  <c r="S165" i="87"/>
  <c r="R165" i="87"/>
  <c r="T164" i="87"/>
  <c r="S164" i="87"/>
  <c r="R164" i="87"/>
  <c r="T163" i="87"/>
  <c r="S163" i="87"/>
  <c r="R163" i="87"/>
  <c r="T162" i="87"/>
  <c r="S162" i="87"/>
  <c r="R162" i="87"/>
  <c r="T161" i="87"/>
  <c r="S161" i="87"/>
  <c r="R161" i="87"/>
  <c r="T160" i="87"/>
  <c r="S160" i="87"/>
  <c r="R160" i="87"/>
  <c r="T159" i="87"/>
  <c r="S159" i="87"/>
  <c r="R159" i="87"/>
  <c r="T158" i="87"/>
  <c r="S158" i="87"/>
  <c r="R158" i="87"/>
  <c r="T157" i="87"/>
  <c r="S157" i="87"/>
  <c r="R157" i="87"/>
  <c r="T156" i="87"/>
  <c r="S156" i="87"/>
  <c r="R156" i="87"/>
  <c r="T155" i="87"/>
  <c r="S155" i="87"/>
  <c r="R155" i="87"/>
  <c r="T154" i="87"/>
  <c r="S154" i="87"/>
  <c r="R154" i="87"/>
  <c r="T153" i="87"/>
  <c r="S153" i="87"/>
  <c r="R153" i="87"/>
  <c r="T152" i="87"/>
  <c r="S152" i="87"/>
  <c r="R152" i="87"/>
  <c r="T151" i="87"/>
  <c r="S151" i="87"/>
  <c r="R151" i="87"/>
  <c r="T150" i="87"/>
  <c r="S150" i="87"/>
  <c r="R150" i="87"/>
  <c r="T149" i="87"/>
  <c r="S149" i="87"/>
  <c r="R149" i="87"/>
  <c r="T148" i="87"/>
  <c r="S148" i="87"/>
  <c r="R148" i="87"/>
  <c r="T147" i="87"/>
  <c r="S147" i="87"/>
  <c r="R147" i="87"/>
  <c r="T146" i="87"/>
  <c r="S146" i="87"/>
  <c r="R146" i="87"/>
  <c r="T145" i="87"/>
  <c r="S145" i="87"/>
  <c r="R145" i="87"/>
  <c r="T144" i="87"/>
  <c r="S144" i="87"/>
  <c r="R144" i="87"/>
  <c r="T143" i="87"/>
  <c r="S143" i="87"/>
  <c r="R143" i="87"/>
  <c r="T142" i="87"/>
  <c r="S142" i="87"/>
  <c r="R142" i="87"/>
  <c r="T141" i="87"/>
  <c r="S141" i="87"/>
  <c r="R141" i="87"/>
  <c r="T140" i="87"/>
  <c r="S140" i="87"/>
  <c r="R140" i="87"/>
  <c r="T139" i="87"/>
  <c r="S139" i="87"/>
  <c r="R139" i="87"/>
  <c r="T138" i="87"/>
  <c r="S138" i="87"/>
  <c r="R138" i="87"/>
  <c r="T137" i="87"/>
  <c r="S137" i="87"/>
  <c r="R137" i="87"/>
  <c r="T136" i="87"/>
  <c r="S136" i="87"/>
  <c r="R136" i="87"/>
  <c r="T135" i="87"/>
  <c r="S135" i="87"/>
  <c r="R135" i="87"/>
  <c r="T134" i="87"/>
  <c r="S134" i="87"/>
  <c r="R134" i="87"/>
  <c r="T133" i="87"/>
  <c r="S133" i="87"/>
  <c r="R133" i="87"/>
  <c r="T132" i="87"/>
  <c r="S132" i="87"/>
  <c r="R132" i="87"/>
  <c r="T131" i="87"/>
  <c r="S131" i="87"/>
  <c r="R131" i="87"/>
  <c r="T130" i="87"/>
  <c r="S130" i="87"/>
  <c r="R130" i="87"/>
  <c r="T129" i="87"/>
  <c r="S129" i="87"/>
  <c r="R129" i="87"/>
  <c r="T128" i="87"/>
  <c r="S128" i="87"/>
  <c r="R128" i="87"/>
  <c r="T127" i="87"/>
  <c r="S127" i="87"/>
  <c r="R127" i="87"/>
  <c r="T126" i="87"/>
  <c r="S126" i="87"/>
  <c r="R126" i="87"/>
  <c r="T125" i="87"/>
  <c r="S125" i="87"/>
  <c r="R125" i="87"/>
  <c r="T124" i="87"/>
  <c r="S124" i="87"/>
  <c r="R124" i="87"/>
  <c r="T123" i="87"/>
  <c r="S123" i="87"/>
  <c r="R123" i="87"/>
  <c r="T122" i="87"/>
  <c r="S122" i="87"/>
  <c r="R122" i="87"/>
  <c r="T121" i="87"/>
  <c r="S121" i="87"/>
  <c r="R121" i="87"/>
  <c r="T120" i="87"/>
  <c r="S120" i="87"/>
  <c r="R120" i="87"/>
  <c r="T119" i="87"/>
  <c r="S119" i="87"/>
  <c r="R119" i="87"/>
  <c r="T118" i="87"/>
  <c r="S118" i="87"/>
  <c r="R118" i="87"/>
  <c r="T117" i="87"/>
  <c r="S117" i="87"/>
  <c r="R117" i="87"/>
  <c r="T116" i="87"/>
  <c r="S116" i="87"/>
  <c r="R116" i="87"/>
  <c r="T115" i="87"/>
  <c r="S115" i="87"/>
  <c r="R115" i="87"/>
  <c r="T114" i="87"/>
  <c r="S114" i="87"/>
  <c r="R114" i="87"/>
  <c r="T113" i="87"/>
  <c r="S113" i="87"/>
  <c r="R113" i="87"/>
  <c r="T112" i="87"/>
  <c r="S112" i="87"/>
  <c r="R112" i="87"/>
  <c r="T111" i="87"/>
  <c r="S111" i="87"/>
  <c r="R111" i="87"/>
  <c r="T110" i="87"/>
  <c r="S110" i="87"/>
  <c r="R110" i="87"/>
  <c r="T109" i="87"/>
  <c r="S109" i="87"/>
  <c r="R109" i="87"/>
  <c r="T108" i="87"/>
  <c r="S108" i="87"/>
  <c r="R108" i="87"/>
  <c r="T107" i="87"/>
  <c r="S107" i="87"/>
  <c r="R107" i="87"/>
  <c r="T106" i="87"/>
  <c r="S106" i="87"/>
  <c r="R106" i="87"/>
  <c r="T105" i="87"/>
  <c r="S105" i="87"/>
  <c r="R105" i="87"/>
  <c r="T104" i="87"/>
  <c r="S104" i="87"/>
  <c r="R104" i="87"/>
  <c r="T103" i="87"/>
  <c r="S103" i="87"/>
  <c r="R103" i="87"/>
  <c r="T102" i="87"/>
  <c r="S102" i="87"/>
  <c r="R102" i="87"/>
  <c r="T101" i="87"/>
  <c r="S101" i="87"/>
  <c r="R101" i="87"/>
  <c r="T100" i="87"/>
  <c r="S100" i="87"/>
  <c r="R100" i="87"/>
  <c r="T99" i="87"/>
  <c r="S99" i="87"/>
  <c r="R99" i="87"/>
  <c r="T98" i="87"/>
  <c r="S98" i="87"/>
  <c r="R98" i="87"/>
  <c r="T97" i="87"/>
  <c r="S97" i="87"/>
  <c r="R97" i="87"/>
  <c r="T96" i="87"/>
  <c r="S96" i="87"/>
  <c r="R96" i="87"/>
  <c r="T95" i="87"/>
  <c r="S95" i="87"/>
  <c r="R95" i="87"/>
  <c r="T94" i="87"/>
  <c r="S94" i="87"/>
  <c r="R94" i="87"/>
  <c r="T93" i="87"/>
  <c r="S93" i="87"/>
  <c r="R93" i="87"/>
  <c r="T92" i="87"/>
  <c r="S92" i="87"/>
  <c r="R92" i="87"/>
  <c r="T91" i="87"/>
  <c r="S91" i="87"/>
  <c r="R91" i="87"/>
  <c r="T90" i="87"/>
  <c r="S90" i="87"/>
  <c r="R90" i="87"/>
  <c r="T89" i="87"/>
  <c r="S89" i="87"/>
  <c r="R89" i="87"/>
  <c r="T88" i="87"/>
  <c r="S88" i="87"/>
  <c r="R88" i="87"/>
  <c r="T87" i="87"/>
  <c r="S87" i="87"/>
  <c r="R87" i="87"/>
  <c r="T86" i="87"/>
  <c r="S86" i="87"/>
  <c r="R86" i="87"/>
  <c r="T85" i="87"/>
  <c r="S85" i="87"/>
  <c r="R85" i="87"/>
  <c r="T84" i="87"/>
  <c r="S84" i="87"/>
  <c r="R84" i="87"/>
  <c r="T83" i="87"/>
  <c r="S83" i="87"/>
  <c r="R83" i="87"/>
  <c r="T82" i="87"/>
  <c r="S82" i="87"/>
  <c r="R82" i="87"/>
  <c r="T81" i="87"/>
  <c r="S81" i="87"/>
  <c r="R81" i="87"/>
  <c r="T80" i="87"/>
  <c r="S80" i="87"/>
  <c r="R80" i="87"/>
  <c r="T79" i="87"/>
  <c r="S79" i="87"/>
  <c r="R79" i="87"/>
  <c r="T78" i="87"/>
  <c r="S78" i="87"/>
  <c r="R78" i="87"/>
  <c r="T77" i="87"/>
  <c r="S77" i="87"/>
  <c r="R77" i="87"/>
  <c r="T76" i="87"/>
  <c r="S76" i="87"/>
  <c r="R76" i="87"/>
  <c r="T75" i="87"/>
  <c r="S75" i="87"/>
  <c r="R75" i="87"/>
  <c r="T74" i="87"/>
  <c r="S74" i="87"/>
  <c r="R74" i="87"/>
  <c r="T73" i="87"/>
  <c r="S73" i="87"/>
  <c r="R73" i="87"/>
  <c r="T72" i="87"/>
  <c r="S72" i="87"/>
  <c r="R72" i="87"/>
  <c r="T71" i="87"/>
  <c r="S71" i="87"/>
  <c r="R71" i="87"/>
  <c r="T70" i="87"/>
  <c r="S70" i="87"/>
  <c r="R70" i="87"/>
  <c r="T69" i="87"/>
  <c r="S69" i="87"/>
  <c r="R69" i="87"/>
  <c r="T68" i="87"/>
  <c r="S68" i="87"/>
  <c r="R68" i="87"/>
  <c r="T67" i="87"/>
  <c r="S67" i="87"/>
  <c r="R67" i="87"/>
  <c r="T66" i="87"/>
  <c r="S66" i="87"/>
  <c r="R66" i="87"/>
  <c r="T65" i="87"/>
  <c r="S65" i="87"/>
  <c r="R65" i="87"/>
  <c r="T64" i="87"/>
  <c r="S64" i="87"/>
  <c r="R64" i="87"/>
  <c r="T63" i="87"/>
  <c r="S63" i="87"/>
  <c r="R63" i="87"/>
  <c r="T62" i="87"/>
  <c r="S62" i="87"/>
  <c r="R62" i="87"/>
  <c r="T61" i="87"/>
  <c r="S61" i="87"/>
  <c r="R61" i="87"/>
  <c r="T60" i="87"/>
  <c r="S60" i="87"/>
  <c r="R60" i="87"/>
  <c r="T59" i="87"/>
  <c r="S59" i="87"/>
  <c r="R59" i="87"/>
  <c r="T58" i="87"/>
  <c r="S58" i="87"/>
  <c r="R58" i="87"/>
  <c r="T57" i="87"/>
  <c r="S57" i="87"/>
  <c r="R57" i="87"/>
  <c r="T56" i="87"/>
  <c r="S56" i="87"/>
  <c r="R56" i="87"/>
  <c r="T55" i="87"/>
  <c r="S55" i="87"/>
  <c r="R55" i="87"/>
  <c r="T54" i="87"/>
  <c r="S54" i="87"/>
  <c r="R54" i="87"/>
  <c r="T53" i="87"/>
  <c r="S53" i="87"/>
  <c r="R53" i="87"/>
  <c r="T52" i="87"/>
  <c r="S52" i="87"/>
  <c r="R52" i="87"/>
  <c r="T51" i="87"/>
  <c r="S51" i="87"/>
  <c r="R51" i="87"/>
  <c r="T50" i="87"/>
  <c r="S50" i="87"/>
  <c r="R50" i="87"/>
  <c r="T49" i="87"/>
  <c r="S49" i="87"/>
  <c r="R49" i="87"/>
  <c r="T48" i="87"/>
  <c r="S48" i="87"/>
  <c r="R48" i="87"/>
  <c r="T47" i="87"/>
  <c r="S47" i="87"/>
  <c r="R47" i="87"/>
  <c r="T46" i="87"/>
  <c r="S46" i="87"/>
  <c r="R46" i="87"/>
  <c r="T45" i="87"/>
  <c r="S45" i="87"/>
  <c r="R45" i="87"/>
  <c r="T44" i="87"/>
  <c r="S44" i="87"/>
  <c r="R44" i="87"/>
  <c r="T43" i="87"/>
  <c r="S43" i="87"/>
  <c r="R43" i="87"/>
  <c r="T42" i="87"/>
  <c r="S42" i="87"/>
  <c r="R42" i="87"/>
  <c r="T41" i="87"/>
  <c r="S41" i="87"/>
  <c r="R41" i="87"/>
  <c r="T40" i="87"/>
  <c r="S40" i="87"/>
  <c r="R40" i="87"/>
  <c r="T39" i="87"/>
  <c r="S39" i="87"/>
  <c r="R39" i="87"/>
  <c r="T38" i="87"/>
  <c r="S38" i="87"/>
  <c r="R38" i="87"/>
  <c r="T37" i="87"/>
  <c r="S37" i="87"/>
  <c r="R37" i="87"/>
  <c r="T36" i="87"/>
  <c r="S36" i="87"/>
  <c r="R36" i="87"/>
  <c r="T35" i="87"/>
  <c r="S35" i="87"/>
  <c r="R35" i="87"/>
  <c r="T34" i="87"/>
  <c r="S34" i="87"/>
  <c r="R34" i="87"/>
  <c r="T33" i="87"/>
  <c r="S33" i="87"/>
  <c r="R33" i="87"/>
  <c r="T32" i="87"/>
  <c r="S32" i="87"/>
  <c r="R32" i="87"/>
  <c r="T31" i="87"/>
  <c r="S31" i="87"/>
  <c r="R31" i="87"/>
  <c r="T30" i="87"/>
  <c r="S30" i="87"/>
  <c r="R30" i="87"/>
  <c r="T29" i="87"/>
  <c r="S29" i="87"/>
  <c r="R29" i="87"/>
  <c r="T28" i="87"/>
  <c r="S28" i="87"/>
  <c r="R28" i="87"/>
  <c r="T27" i="87"/>
  <c r="S27" i="87"/>
  <c r="R27" i="87"/>
  <c r="T26" i="87"/>
  <c r="S26" i="87"/>
  <c r="R26" i="87"/>
  <c r="T25" i="87"/>
  <c r="S25" i="87"/>
  <c r="R25" i="87"/>
  <c r="T24" i="87"/>
  <c r="S24" i="87"/>
  <c r="R24" i="87"/>
  <c r="T23" i="87"/>
  <c r="S23" i="87"/>
  <c r="R23" i="87"/>
  <c r="T22" i="87"/>
  <c r="S22" i="87"/>
  <c r="R22" i="87"/>
  <c r="T21" i="87"/>
  <c r="S21" i="87"/>
  <c r="R21" i="87"/>
  <c r="T20" i="87"/>
  <c r="S20" i="87"/>
  <c r="R20" i="87"/>
  <c r="T19" i="87"/>
  <c r="S19" i="87"/>
  <c r="R19" i="87"/>
  <c r="T18" i="87"/>
  <c r="S18" i="87"/>
  <c r="R18" i="87"/>
  <c r="T17" i="87"/>
  <c r="S17" i="87"/>
  <c r="R17" i="87"/>
  <c r="T16" i="87"/>
  <c r="S16" i="87"/>
  <c r="R16" i="87"/>
  <c r="T15" i="87"/>
  <c r="S15" i="87"/>
  <c r="R15" i="87"/>
  <c r="T14" i="87"/>
  <c r="S14" i="87"/>
  <c r="R14" i="87"/>
  <c r="T13" i="87"/>
  <c r="S13" i="87"/>
  <c r="R13" i="87"/>
  <c r="T12" i="87"/>
  <c r="S12" i="87"/>
  <c r="R12" i="87"/>
  <c r="T11" i="87"/>
  <c r="S11" i="87"/>
  <c r="R11" i="87"/>
  <c r="T10" i="87"/>
  <c r="S10" i="87"/>
  <c r="R10" i="87"/>
  <c r="T9" i="87"/>
  <c r="S9" i="87"/>
  <c r="R9" i="87"/>
  <c r="T8" i="87"/>
  <c r="S8" i="87"/>
  <c r="R8" i="87"/>
  <c r="T7" i="87"/>
  <c r="S7" i="87"/>
  <c r="R7" i="87"/>
  <c r="T6" i="87"/>
  <c r="S6" i="87"/>
  <c r="R6" i="87"/>
  <c r="T5" i="87"/>
  <c r="S5" i="87"/>
  <c r="R5" i="87"/>
  <c r="T4" i="87"/>
  <c r="S4" i="87"/>
  <c r="R4" i="87"/>
  <c r="T3" i="87"/>
  <c r="S3" i="87"/>
  <c r="R3" i="87"/>
  <c r="T2" i="87"/>
  <c r="S2" i="87"/>
  <c r="R2" i="87"/>
  <c r="T220" i="86"/>
  <c r="S220" i="86"/>
  <c r="R220" i="86"/>
  <c r="T219" i="86"/>
  <c r="S219" i="86"/>
  <c r="R219" i="86"/>
  <c r="T218" i="86"/>
  <c r="S218" i="86"/>
  <c r="R218" i="86"/>
  <c r="T217" i="86"/>
  <c r="S217" i="86"/>
  <c r="R217" i="86"/>
  <c r="T216" i="86"/>
  <c r="S216" i="86"/>
  <c r="R216" i="86"/>
  <c r="T215" i="86"/>
  <c r="S215" i="86"/>
  <c r="R215" i="86"/>
  <c r="T214" i="86"/>
  <c r="S214" i="86"/>
  <c r="R214" i="86"/>
  <c r="T213" i="86"/>
  <c r="S213" i="86"/>
  <c r="R213" i="86"/>
  <c r="T212" i="86"/>
  <c r="S212" i="86"/>
  <c r="R212" i="86"/>
  <c r="T211" i="86"/>
  <c r="S211" i="86"/>
  <c r="R211" i="86"/>
  <c r="T210" i="86"/>
  <c r="S210" i="86"/>
  <c r="R210" i="86"/>
  <c r="T209" i="86"/>
  <c r="S209" i="86"/>
  <c r="R209" i="86"/>
  <c r="T208" i="86"/>
  <c r="S208" i="86"/>
  <c r="R208" i="86"/>
  <c r="T207" i="86"/>
  <c r="S207" i="86"/>
  <c r="R207" i="86"/>
  <c r="T206" i="86"/>
  <c r="S206" i="86"/>
  <c r="R206" i="86"/>
  <c r="T205" i="86"/>
  <c r="S205" i="86"/>
  <c r="R205" i="86"/>
  <c r="T204" i="86"/>
  <c r="S204" i="86"/>
  <c r="R204" i="86"/>
  <c r="T203" i="86"/>
  <c r="S203" i="86"/>
  <c r="R203" i="86"/>
  <c r="T202" i="86"/>
  <c r="S202" i="86"/>
  <c r="R202" i="86"/>
  <c r="T201" i="86"/>
  <c r="S201" i="86"/>
  <c r="R201" i="86"/>
  <c r="T200" i="86"/>
  <c r="S200" i="86"/>
  <c r="R200" i="86"/>
  <c r="T199" i="86"/>
  <c r="S199" i="86"/>
  <c r="R199" i="86"/>
  <c r="T198" i="86"/>
  <c r="S198" i="86"/>
  <c r="R198" i="86"/>
  <c r="T197" i="86"/>
  <c r="S197" i="86"/>
  <c r="R197" i="86"/>
  <c r="T196" i="86"/>
  <c r="S196" i="86"/>
  <c r="R196" i="86"/>
  <c r="T195" i="86"/>
  <c r="S195" i="86"/>
  <c r="R195" i="86"/>
  <c r="T194" i="86"/>
  <c r="S194" i="86"/>
  <c r="R194" i="86"/>
  <c r="T193" i="86"/>
  <c r="S193" i="86"/>
  <c r="R193" i="86"/>
  <c r="T192" i="86"/>
  <c r="S192" i="86"/>
  <c r="R192" i="86"/>
  <c r="T191" i="86"/>
  <c r="S191" i="86"/>
  <c r="R191" i="86"/>
  <c r="T190" i="86"/>
  <c r="S190" i="86"/>
  <c r="R190" i="86"/>
  <c r="T189" i="86"/>
  <c r="S189" i="86"/>
  <c r="R189" i="86"/>
  <c r="T188" i="86"/>
  <c r="S188" i="86"/>
  <c r="R188" i="86"/>
  <c r="T187" i="86"/>
  <c r="S187" i="86"/>
  <c r="R187" i="86"/>
  <c r="T186" i="86"/>
  <c r="S186" i="86"/>
  <c r="R186" i="86"/>
  <c r="T185" i="86"/>
  <c r="S185" i="86"/>
  <c r="R185" i="86"/>
  <c r="T184" i="86"/>
  <c r="S184" i="86"/>
  <c r="R184" i="86"/>
  <c r="T183" i="86"/>
  <c r="S183" i="86"/>
  <c r="R183" i="86"/>
  <c r="T182" i="86"/>
  <c r="S182" i="86"/>
  <c r="R182" i="86"/>
  <c r="T181" i="86"/>
  <c r="S181" i="86"/>
  <c r="R181" i="86"/>
  <c r="T180" i="86"/>
  <c r="S180" i="86"/>
  <c r="R180" i="86"/>
  <c r="T179" i="86"/>
  <c r="S179" i="86"/>
  <c r="R179" i="86"/>
  <c r="T178" i="86"/>
  <c r="S178" i="86"/>
  <c r="R178" i="86"/>
  <c r="T177" i="86"/>
  <c r="S177" i="86"/>
  <c r="R177" i="86"/>
  <c r="T176" i="86"/>
  <c r="S176" i="86"/>
  <c r="R176" i="86"/>
  <c r="T175" i="86"/>
  <c r="S175" i="86"/>
  <c r="R175" i="86"/>
  <c r="T174" i="86"/>
  <c r="S174" i="86"/>
  <c r="R174" i="86"/>
  <c r="T173" i="86"/>
  <c r="S173" i="86"/>
  <c r="R173" i="86"/>
  <c r="T172" i="86"/>
  <c r="S172" i="86"/>
  <c r="R172" i="86"/>
  <c r="T171" i="86"/>
  <c r="S171" i="86"/>
  <c r="R171" i="86"/>
  <c r="T170" i="86"/>
  <c r="S170" i="86"/>
  <c r="R170" i="86"/>
  <c r="T169" i="86"/>
  <c r="S169" i="86"/>
  <c r="R169" i="86"/>
  <c r="T168" i="86"/>
  <c r="S168" i="86"/>
  <c r="R168" i="86"/>
  <c r="T167" i="86"/>
  <c r="S167" i="86"/>
  <c r="R167" i="86"/>
  <c r="T166" i="86"/>
  <c r="S166" i="86"/>
  <c r="R166" i="86"/>
  <c r="T165" i="86"/>
  <c r="S165" i="86"/>
  <c r="R165" i="86"/>
  <c r="T164" i="86"/>
  <c r="S164" i="86"/>
  <c r="R164" i="86"/>
  <c r="T163" i="86"/>
  <c r="S163" i="86"/>
  <c r="R163" i="86"/>
  <c r="T162" i="86"/>
  <c r="S162" i="86"/>
  <c r="R162" i="86"/>
  <c r="T161" i="86"/>
  <c r="S161" i="86"/>
  <c r="R161" i="86"/>
  <c r="T160" i="86"/>
  <c r="S160" i="86"/>
  <c r="R160" i="86"/>
  <c r="T159" i="86"/>
  <c r="S159" i="86"/>
  <c r="R159" i="86"/>
  <c r="T158" i="86"/>
  <c r="S158" i="86"/>
  <c r="R158" i="86"/>
  <c r="T157" i="86"/>
  <c r="S157" i="86"/>
  <c r="R157" i="86"/>
  <c r="T156" i="86"/>
  <c r="S156" i="86"/>
  <c r="R156" i="86"/>
  <c r="T155" i="86"/>
  <c r="S155" i="86"/>
  <c r="R155" i="86"/>
  <c r="T154" i="86"/>
  <c r="S154" i="86"/>
  <c r="R154" i="86"/>
  <c r="T153" i="86"/>
  <c r="S153" i="86"/>
  <c r="R153" i="86"/>
  <c r="T152" i="86"/>
  <c r="S152" i="86"/>
  <c r="R152" i="86"/>
  <c r="T151" i="86"/>
  <c r="S151" i="86"/>
  <c r="R151" i="86"/>
  <c r="T150" i="86"/>
  <c r="S150" i="86"/>
  <c r="R150" i="86"/>
  <c r="T149" i="86"/>
  <c r="S149" i="86"/>
  <c r="R149" i="86"/>
  <c r="T148" i="86"/>
  <c r="S148" i="86"/>
  <c r="R148" i="86"/>
  <c r="T147" i="86"/>
  <c r="S147" i="86"/>
  <c r="R147" i="86"/>
  <c r="T146" i="86"/>
  <c r="S146" i="86"/>
  <c r="R146" i="86"/>
  <c r="T145" i="86"/>
  <c r="S145" i="86"/>
  <c r="R145" i="86"/>
  <c r="T144" i="86"/>
  <c r="S144" i="86"/>
  <c r="R144" i="86"/>
  <c r="T143" i="86"/>
  <c r="S143" i="86"/>
  <c r="R143" i="86"/>
  <c r="T142" i="86"/>
  <c r="S142" i="86"/>
  <c r="R142" i="86"/>
  <c r="T141" i="86"/>
  <c r="S141" i="86"/>
  <c r="R141" i="86"/>
  <c r="T140" i="86"/>
  <c r="S140" i="86"/>
  <c r="R140" i="86"/>
  <c r="T139" i="86"/>
  <c r="S139" i="86"/>
  <c r="R139" i="86"/>
  <c r="T138" i="86"/>
  <c r="S138" i="86"/>
  <c r="R138" i="86"/>
  <c r="T137" i="86"/>
  <c r="S137" i="86"/>
  <c r="R137" i="86"/>
  <c r="T136" i="86"/>
  <c r="S136" i="86"/>
  <c r="R136" i="86"/>
  <c r="T135" i="86"/>
  <c r="S135" i="86"/>
  <c r="R135" i="86"/>
  <c r="T134" i="86"/>
  <c r="S134" i="86"/>
  <c r="R134" i="86"/>
  <c r="T133" i="86"/>
  <c r="S133" i="86"/>
  <c r="R133" i="86"/>
  <c r="T132" i="86"/>
  <c r="S132" i="86"/>
  <c r="R132" i="86"/>
  <c r="T131" i="86"/>
  <c r="S131" i="86"/>
  <c r="R131" i="86"/>
  <c r="T130" i="86"/>
  <c r="S130" i="86"/>
  <c r="R130" i="86"/>
  <c r="T129" i="86"/>
  <c r="S129" i="86"/>
  <c r="R129" i="86"/>
  <c r="T128" i="86"/>
  <c r="S128" i="86"/>
  <c r="R128" i="86"/>
  <c r="T127" i="86"/>
  <c r="S127" i="86"/>
  <c r="R127" i="86"/>
  <c r="T126" i="86"/>
  <c r="S126" i="86"/>
  <c r="R126" i="86"/>
  <c r="T125" i="86"/>
  <c r="S125" i="86"/>
  <c r="R125" i="86"/>
  <c r="T124" i="86"/>
  <c r="S124" i="86"/>
  <c r="R124" i="86"/>
  <c r="T123" i="86"/>
  <c r="S123" i="86"/>
  <c r="R123" i="86"/>
  <c r="T122" i="86"/>
  <c r="S122" i="86"/>
  <c r="R122" i="86"/>
  <c r="T121" i="86"/>
  <c r="S121" i="86"/>
  <c r="R121" i="86"/>
  <c r="T120" i="86"/>
  <c r="S120" i="86"/>
  <c r="R120" i="86"/>
  <c r="T119" i="86"/>
  <c r="S119" i="86"/>
  <c r="R119" i="86"/>
  <c r="T118" i="86"/>
  <c r="S118" i="86"/>
  <c r="R118" i="86"/>
  <c r="T117" i="86"/>
  <c r="S117" i="86"/>
  <c r="R117" i="86"/>
  <c r="T116" i="86"/>
  <c r="S116" i="86"/>
  <c r="R116" i="86"/>
  <c r="T115" i="86"/>
  <c r="S115" i="86"/>
  <c r="R115" i="86"/>
  <c r="T114" i="86"/>
  <c r="S114" i="86"/>
  <c r="R114" i="86"/>
  <c r="T113" i="86"/>
  <c r="S113" i="86"/>
  <c r="R113" i="86"/>
  <c r="T112" i="86"/>
  <c r="S112" i="86"/>
  <c r="R112" i="86"/>
  <c r="T111" i="86"/>
  <c r="S111" i="86"/>
  <c r="R111" i="86"/>
  <c r="T110" i="86"/>
  <c r="S110" i="86"/>
  <c r="R110" i="86"/>
  <c r="T109" i="86"/>
  <c r="S109" i="86"/>
  <c r="R109" i="86"/>
  <c r="T108" i="86"/>
  <c r="S108" i="86"/>
  <c r="R108" i="86"/>
  <c r="T107" i="86"/>
  <c r="S107" i="86"/>
  <c r="R107" i="86"/>
  <c r="T106" i="86"/>
  <c r="S106" i="86"/>
  <c r="R106" i="86"/>
  <c r="T105" i="86"/>
  <c r="S105" i="86"/>
  <c r="R105" i="86"/>
  <c r="T104" i="86"/>
  <c r="S104" i="86"/>
  <c r="R104" i="86"/>
  <c r="T103" i="86"/>
  <c r="S103" i="86"/>
  <c r="R103" i="86"/>
  <c r="T102" i="86"/>
  <c r="S102" i="86"/>
  <c r="R102" i="86"/>
  <c r="T101" i="86"/>
  <c r="S101" i="86"/>
  <c r="R101" i="86"/>
  <c r="T100" i="86"/>
  <c r="S100" i="86"/>
  <c r="R100" i="86"/>
  <c r="T99" i="86"/>
  <c r="S99" i="86"/>
  <c r="R99" i="86"/>
  <c r="T98" i="86"/>
  <c r="S98" i="86"/>
  <c r="R98" i="86"/>
  <c r="T97" i="86"/>
  <c r="S97" i="86"/>
  <c r="R97" i="86"/>
  <c r="T96" i="86"/>
  <c r="S96" i="86"/>
  <c r="R96" i="86"/>
  <c r="T95" i="86"/>
  <c r="S95" i="86"/>
  <c r="R95" i="86"/>
  <c r="T94" i="86"/>
  <c r="S94" i="86"/>
  <c r="R94" i="86"/>
  <c r="T93" i="86"/>
  <c r="S93" i="86"/>
  <c r="R93" i="86"/>
  <c r="T92" i="86"/>
  <c r="S92" i="86"/>
  <c r="R92" i="86"/>
  <c r="T91" i="86"/>
  <c r="S91" i="86"/>
  <c r="R91" i="86"/>
  <c r="T90" i="86"/>
  <c r="S90" i="86"/>
  <c r="R90" i="86"/>
  <c r="T89" i="86"/>
  <c r="S89" i="86"/>
  <c r="R89" i="86"/>
  <c r="T88" i="86"/>
  <c r="S88" i="86"/>
  <c r="R88" i="86"/>
  <c r="T87" i="86"/>
  <c r="S87" i="86"/>
  <c r="R87" i="86"/>
  <c r="T86" i="86"/>
  <c r="S86" i="86"/>
  <c r="R86" i="86"/>
  <c r="T85" i="86"/>
  <c r="S85" i="86"/>
  <c r="R85" i="86"/>
  <c r="T84" i="86"/>
  <c r="S84" i="86"/>
  <c r="R84" i="86"/>
  <c r="T83" i="86"/>
  <c r="S83" i="86"/>
  <c r="R83" i="86"/>
  <c r="T82" i="86"/>
  <c r="S82" i="86"/>
  <c r="R82" i="86"/>
  <c r="T81" i="86"/>
  <c r="S81" i="86"/>
  <c r="R81" i="86"/>
  <c r="T80" i="86"/>
  <c r="S80" i="86"/>
  <c r="R80" i="86"/>
  <c r="T79" i="86"/>
  <c r="S79" i="86"/>
  <c r="R79" i="86"/>
  <c r="T78" i="86"/>
  <c r="S78" i="86"/>
  <c r="R78" i="86"/>
  <c r="T77" i="86"/>
  <c r="S77" i="86"/>
  <c r="R77" i="86"/>
  <c r="T76" i="86"/>
  <c r="S76" i="86"/>
  <c r="R76" i="86"/>
  <c r="T75" i="86"/>
  <c r="S75" i="86"/>
  <c r="R75" i="86"/>
  <c r="T74" i="86"/>
  <c r="S74" i="86"/>
  <c r="R74" i="86"/>
  <c r="T73" i="86"/>
  <c r="S73" i="86"/>
  <c r="R73" i="86"/>
  <c r="T72" i="86"/>
  <c r="S72" i="86"/>
  <c r="R72" i="86"/>
  <c r="T71" i="86"/>
  <c r="S71" i="86"/>
  <c r="R71" i="86"/>
  <c r="T70" i="86"/>
  <c r="S70" i="86"/>
  <c r="R70" i="86"/>
  <c r="T69" i="86"/>
  <c r="S69" i="86"/>
  <c r="R69" i="86"/>
  <c r="T68" i="86"/>
  <c r="S68" i="86"/>
  <c r="R68" i="86"/>
  <c r="T67" i="86"/>
  <c r="S67" i="86"/>
  <c r="R67" i="86"/>
  <c r="T66" i="86"/>
  <c r="S66" i="86"/>
  <c r="R66" i="86"/>
  <c r="T65" i="86"/>
  <c r="S65" i="86"/>
  <c r="R65" i="86"/>
  <c r="T64" i="86"/>
  <c r="S64" i="86"/>
  <c r="R64" i="86"/>
  <c r="T63" i="86"/>
  <c r="S63" i="86"/>
  <c r="R63" i="86"/>
  <c r="T62" i="86"/>
  <c r="S62" i="86"/>
  <c r="R62" i="86"/>
  <c r="T61" i="86"/>
  <c r="S61" i="86"/>
  <c r="R61" i="86"/>
  <c r="T60" i="86"/>
  <c r="S60" i="86"/>
  <c r="R60" i="86"/>
  <c r="T59" i="86"/>
  <c r="S59" i="86"/>
  <c r="R59" i="86"/>
  <c r="T58" i="86"/>
  <c r="S58" i="86"/>
  <c r="R58" i="86"/>
  <c r="T57" i="86"/>
  <c r="S57" i="86"/>
  <c r="R57" i="86"/>
  <c r="T56" i="86"/>
  <c r="S56" i="86"/>
  <c r="R56" i="86"/>
  <c r="T55" i="86"/>
  <c r="S55" i="86"/>
  <c r="R55" i="86"/>
  <c r="T54" i="86"/>
  <c r="S54" i="86"/>
  <c r="R54" i="86"/>
  <c r="T53" i="86"/>
  <c r="S53" i="86"/>
  <c r="R53" i="86"/>
  <c r="T52" i="86"/>
  <c r="S52" i="86"/>
  <c r="R52" i="86"/>
  <c r="T51" i="86"/>
  <c r="S51" i="86"/>
  <c r="R51" i="86"/>
  <c r="T50" i="86"/>
  <c r="S50" i="86"/>
  <c r="R50" i="86"/>
  <c r="T49" i="86"/>
  <c r="S49" i="86"/>
  <c r="R49" i="86"/>
  <c r="T48" i="86"/>
  <c r="S48" i="86"/>
  <c r="R48" i="86"/>
  <c r="T47" i="86"/>
  <c r="S47" i="86"/>
  <c r="R47" i="86"/>
  <c r="T46" i="86"/>
  <c r="S46" i="86"/>
  <c r="R46" i="86"/>
  <c r="T45" i="86"/>
  <c r="S45" i="86"/>
  <c r="R45" i="86"/>
  <c r="T44" i="86"/>
  <c r="S44" i="86"/>
  <c r="R44" i="86"/>
  <c r="T43" i="86"/>
  <c r="S43" i="86"/>
  <c r="R43" i="86"/>
  <c r="T42" i="86"/>
  <c r="S42" i="86"/>
  <c r="R42" i="86"/>
  <c r="T41" i="86"/>
  <c r="S41" i="86"/>
  <c r="R41" i="86"/>
  <c r="T40" i="86"/>
  <c r="S40" i="86"/>
  <c r="R40" i="86"/>
  <c r="T39" i="86"/>
  <c r="S39" i="86"/>
  <c r="R39" i="86"/>
  <c r="T38" i="86"/>
  <c r="S38" i="86"/>
  <c r="R38" i="86"/>
  <c r="T37" i="86"/>
  <c r="S37" i="86"/>
  <c r="R37" i="86"/>
  <c r="T36" i="86"/>
  <c r="S36" i="86"/>
  <c r="R36" i="86"/>
  <c r="T35" i="86"/>
  <c r="S35" i="86"/>
  <c r="R35" i="86"/>
  <c r="T34" i="86"/>
  <c r="S34" i="86"/>
  <c r="R34" i="86"/>
  <c r="T33" i="86"/>
  <c r="S33" i="86"/>
  <c r="R33" i="86"/>
  <c r="T32" i="86"/>
  <c r="S32" i="86"/>
  <c r="R32" i="86"/>
  <c r="T31" i="86"/>
  <c r="S31" i="86"/>
  <c r="R31" i="86"/>
  <c r="T30" i="86"/>
  <c r="S30" i="86"/>
  <c r="R30" i="86"/>
  <c r="T29" i="86"/>
  <c r="S29" i="86"/>
  <c r="R29" i="86"/>
  <c r="T28" i="86"/>
  <c r="S28" i="86"/>
  <c r="R28" i="86"/>
  <c r="T27" i="86"/>
  <c r="S27" i="86"/>
  <c r="R27" i="86"/>
  <c r="T26" i="86"/>
  <c r="S26" i="86"/>
  <c r="R26" i="86"/>
  <c r="T25" i="86"/>
  <c r="S25" i="86"/>
  <c r="R25" i="86"/>
  <c r="T24" i="86"/>
  <c r="S24" i="86"/>
  <c r="R24" i="86"/>
  <c r="T23" i="86"/>
  <c r="S23" i="86"/>
  <c r="R23" i="86"/>
  <c r="T22" i="86"/>
  <c r="S22" i="86"/>
  <c r="R22" i="86"/>
  <c r="T21" i="86"/>
  <c r="S21" i="86"/>
  <c r="R21" i="86"/>
  <c r="T20" i="86"/>
  <c r="S20" i="86"/>
  <c r="R20" i="86"/>
  <c r="T19" i="86"/>
  <c r="S19" i="86"/>
  <c r="R19" i="86"/>
  <c r="T18" i="86"/>
  <c r="S18" i="86"/>
  <c r="R18" i="86"/>
  <c r="T17" i="86"/>
  <c r="S17" i="86"/>
  <c r="R17" i="86"/>
  <c r="T16" i="86"/>
  <c r="S16" i="86"/>
  <c r="R16" i="86"/>
  <c r="T15" i="86"/>
  <c r="S15" i="86"/>
  <c r="R15" i="86"/>
  <c r="T14" i="86"/>
  <c r="S14" i="86"/>
  <c r="R14" i="86"/>
  <c r="T13" i="86"/>
  <c r="S13" i="86"/>
  <c r="R13" i="86"/>
  <c r="T12" i="86"/>
  <c r="S12" i="86"/>
  <c r="R12" i="86"/>
  <c r="T11" i="86"/>
  <c r="S11" i="86"/>
  <c r="R11" i="86"/>
  <c r="T10" i="86"/>
  <c r="S10" i="86"/>
  <c r="R10" i="86"/>
  <c r="T9" i="86"/>
  <c r="S9" i="86"/>
  <c r="R9" i="86"/>
  <c r="T8" i="86"/>
  <c r="S8" i="86"/>
  <c r="R8" i="86"/>
  <c r="T7" i="86"/>
  <c r="S7" i="86"/>
  <c r="R7" i="86"/>
  <c r="T6" i="86"/>
  <c r="S6" i="86"/>
  <c r="R6" i="86"/>
  <c r="T5" i="86"/>
  <c r="S5" i="86"/>
  <c r="R5" i="86"/>
  <c r="T4" i="86"/>
  <c r="S4" i="86"/>
  <c r="R4" i="86"/>
  <c r="T3" i="86"/>
  <c r="S3" i="86"/>
  <c r="R3" i="86"/>
  <c r="T2" i="86"/>
  <c r="S2" i="86"/>
  <c r="R2" i="86"/>
  <c r="T220" i="85"/>
  <c r="S220" i="85"/>
  <c r="R220" i="85"/>
  <c r="T219" i="85"/>
  <c r="S219" i="85"/>
  <c r="R219" i="85"/>
  <c r="T218" i="85"/>
  <c r="S218" i="85"/>
  <c r="R218" i="85"/>
  <c r="T217" i="85"/>
  <c r="S217" i="85"/>
  <c r="R217" i="85"/>
  <c r="T216" i="85"/>
  <c r="S216" i="85"/>
  <c r="R216" i="85"/>
  <c r="T215" i="85"/>
  <c r="S215" i="85"/>
  <c r="R215" i="85"/>
  <c r="T214" i="85"/>
  <c r="S214" i="85"/>
  <c r="R214" i="85"/>
  <c r="T213" i="85"/>
  <c r="S213" i="85"/>
  <c r="R213" i="85"/>
  <c r="T212" i="85"/>
  <c r="S212" i="85"/>
  <c r="R212" i="85"/>
  <c r="T211" i="85"/>
  <c r="S211" i="85"/>
  <c r="R211" i="85"/>
  <c r="T210" i="85"/>
  <c r="S210" i="85"/>
  <c r="R210" i="85"/>
  <c r="T209" i="85"/>
  <c r="S209" i="85"/>
  <c r="R209" i="85"/>
  <c r="T208" i="85"/>
  <c r="S208" i="85"/>
  <c r="R208" i="85"/>
  <c r="T207" i="85"/>
  <c r="S207" i="85"/>
  <c r="R207" i="85"/>
  <c r="T206" i="85"/>
  <c r="S206" i="85"/>
  <c r="R206" i="85"/>
  <c r="T205" i="85"/>
  <c r="S205" i="85"/>
  <c r="R205" i="85"/>
  <c r="T204" i="85"/>
  <c r="S204" i="85"/>
  <c r="R204" i="85"/>
  <c r="T203" i="85"/>
  <c r="S203" i="85"/>
  <c r="R203" i="85"/>
  <c r="T202" i="85"/>
  <c r="S202" i="85"/>
  <c r="R202" i="85"/>
  <c r="T201" i="85"/>
  <c r="S201" i="85"/>
  <c r="R201" i="85"/>
  <c r="T200" i="85"/>
  <c r="S200" i="85"/>
  <c r="R200" i="85"/>
  <c r="T199" i="85"/>
  <c r="S199" i="85"/>
  <c r="R199" i="85"/>
  <c r="T198" i="85"/>
  <c r="S198" i="85"/>
  <c r="R198" i="85"/>
  <c r="T197" i="85"/>
  <c r="S197" i="85"/>
  <c r="R197" i="85"/>
  <c r="T196" i="85"/>
  <c r="S196" i="85"/>
  <c r="R196" i="85"/>
  <c r="T195" i="85"/>
  <c r="S195" i="85"/>
  <c r="R195" i="85"/>
  <c r="T194" i="85"/>
  <c r="S194" i="85"/>
  <c r="R194" i="85"/>
  <c r="T193" i="85"/>
  <c r="S193" i="85"/>
  <c r="R193" i="85"/>
  <c r="T192" i="85"/>
  <c r="S192" i="85"/>
  <c r="R192" i="85"/>
  <c r="T191" i="85"/>
  <c r="S191" i="85"/>
  <c r="R191" i="85"/>
  <c r="T190" i="85"/>
  <c r="S190" i="85"/>
  <c r="R190" i="85"/>
  <c r="T189" i="85"/>
  <c r="S189" i="85"/>
  <c r="R189" i="85"/>
  <c r="T188" i="85"/>
  <c r="S188" i="85"/>
  <c r="R188" i="85"/>
  <c r="T187" i="85"/>
  <c r="S187" i="85"/>
  <c r="R187" i="85"/>
  <c r="T186" i="85"/>
  <c r="S186" i="85"/>
  <c r="R186" i="85"/>
  <c r="T185" i="85"/>
  <c r="S185" i="85"/>
  <c r="R185" i="85"/>
  <c r="T184" i="85"/>
  <c r="S184" i="85"/>
  <c r="R184" i="85"/>
  <c r="T183" i="85"/>
  <c r="S183" i="85"/>
  <c r="R183" i="85"/>
  <c r="T182" i="85"/>
  <c r="S182" i="85"/>
  <c r="R182" i="85"/>
  <c r="T181" i="85"/>
  <c r="S181" i="85"/>
  <c r="R181" i="85"/>
  <c r="T180" i="85"/>
  <c r="S180" i="85"/>
  <c r="R180" i="85"/>
  <c r="T179" i="85"/>
  <c r="S179" i="85"/>
  <c r="R179" i="85"/>
  <c r="T178" i="85"/>
  <c r="S178" i="85"/>
  <c r="R178" i="85"/>
  <c r="T177" i="85"/>
  <c r="S177" i="85"/>
  <c r="R177" i="85"/>
  <c r="T176" i="85"/>
  <c r="S176" i="85"/>
  <c r="R176" i="85"/>
  <c r="T175" i="85"/>
  <c r="S175" i="85"/>
  <c r="R175" i="85"/>
  <c r="T174" i="85"/>
  <c r="S174" i="85"/>
  <c r="R174" i="85"/>
  <c r="T173" i="85"/>
  <c r="S173" i="85"/>
  <c r="R173" i="85"/>
  <c r="T172" i="85"/>
  <c r="S172" i="85"/>
  <c r="R172" i="85"/>
  <c r="T171" i="85"/>
  <c r="S171" i="85"/>
  <c r="R171" i="85"/>
  <c r="T170" i="85"/>
  <c r="S170" i="85"/>
  <c r="R170" i="85"/>
  <c r="T169" i="85"/>
  <c r="S169" i="85"/>
  <c r="R169" i="85"/>
  <c r="T168" i="85"/>
  <c r="S168" i="85"/>
  <c r="R168" i="85"/>
  <c r="T167" i="85"/>
  <c r="S167" i="85"/>
  <c r="R167" i="85"/>
  <c r="T166" i="85"/>
  <c r="S166" i="85"/>
  <c r="R166" i="85"/>
  <c r="T165" i="85"/>
  <c r="S165" i="85"/>
  <c r="R165" i="85"/>
  <c r="T164" i="85"/>
  <c r="S164" i="85"/>
  <c r="R164" i="85"/>
  <c r="T163" i="85"/>
  <c r="S163" i="85"/>
  <c r="R163" i="85"/>
  <c r="T162" i="85"/>
  <c r="S162" i="85"/>
  <c r="R162" i="85"/>
  <c r="T161" i="85"/>
  <c r="S161" i="85"/>
  <c r="R161" i="85"/>
  <c r="T160" i="85"/>
  <c r="S160" i="85"/>
  <c r="R160" i="85"/>
  <c r="T159" i="85"/>
  <c r="S159" i="85"/>
  <c r="R159" i="85"/>
  <c r="T158" i="85"/>
  <c r="S158" i="85"/>
  <c r="R158" i="85"/>
  <c r="T157" i="85"/>
  <c r="S157" i="85"/>
  <c r="R157" i="85"/>
  <c r="T156" i="85"/>
  <c r="S156" i="85"/>
  <c r="R156" i="85"/>
  <c r="T155" i="85"/>
  <c r="S155" i="85"/>
  <c r="R155" i="85"/>
  <c r="T154" i="85"/>
  <c r="S154" i="85"/>
  <c r="R154" i="85"/>
  <c r="T153" i="85"/>
  <c r="S153" i="85"/>
  <c r="R153" i="85"/>
  <c r="T152" i="85"/>
  <c r="S152" i="85"/>
  <c r="R152" i="85"/>
  <c r="T151" i="85"/>
  <c r="S151" i="85"/>
  <c r="R151" i="85"/>
  <c r="T150" i="85"/>
  <c r="S150" i="85"/>
  <c r="R150" i="85"/>
  <c r="T149" i="85"/>
  <c r="S149" i="85"/>
  <c r="R149" i="85"/>
  <c r="T148" i="85"/>
  <c r="S148" i="85"/>
  <c r="R148" i="85"/>
  <c r="T147" i="85"/>
  <c r="S147" i="85"/>
  <c r="R147" i="85"/>
  <c r="T146" i="85"/>
  <c r="S146" i="85"/>
  <c r="R146" i="85"/>
  <c r="T145" i="85"/>
  <c r="S145" i="85"/>
  <c r="R145" i="85"/>
  <c r="T144" i="85"/>
  <c r="S144" i="85"/>
  <c r="R144" i="85"/>
  <c r="T143" i="85"/>
  <c r="S143" i="85"/>
  <c r="R143" i="85"/>
  <c r="T142" i="85"/>
  <c r="S142" i="85"/>
  <c r="R142" i="85"/>
  <c r="T141" i="85"/>
  <c r="S141" i="85"/>
  <c r="R141" i="85"/>
  <c r="T140" i="85"/>
  <c r="S140" i="85"/>
  <c r="R140" i="85"/>
  <c r="T139" i="85"/>
  <c r="S139" i="85"/>
  <c r="R139" i="85"/>
  <c r="T138" i="85"/>
  <c r="S138" i="85"/>
  <c r="R138" i="85"/>
  <c r="T137" i="85"/>
  <c r="S137" i="85"/>
  <c r="R137" i="85"/>
  <c r="T136" i="85"/>
  <c r="S136" i="85"/>
  <c r="R136" i="85"/>
  <c r="T135" i="85"/>
  <c r="S135" i="85"/>
  <c r="R135" i="85"/>
  <c r="T134" i="85"/>
  <c r="S134" i="85"/>
  <c r="R134" i="85"/>
  <c r="T133" i="85"/>
  <c r="S133" i="85"/>
  <c r="R133" i="85"/>
  <c r="T132" i="85"/>
  <c r="S132" i="85"/>
  <c r="R132" i="85"/>
  <c r="T131" i="85"/>
  <c r="S131" i="85"/>
  <c r="R131" i="85"/>
  <c r="T130" i="85"/>
  <c r="S130" i="85"/>
  <c r="R130" i="85"/>
  <c r="T129" i="85"/>
  <c r="S129" i="85"/>
  <c r="R129" i="85"/>
  <c r="T128" i="85"/>
  <c r="S128" i="85"/>
  <c r="R128" i="85"/>
  <c r="T127" i="85"/>
  <c r="S127" i="85"/>
  <c r="R127" i="85"/>
  <c r="T126" i="85"/>
  <c r="S126" i="85"/>
  <c r="R126" i="85"/>
  <c r="T125" i="85"/>
  <c r="S125" i="85"/>
  <c r="R125" i="85"/>
  <c r="T124" i="85"/>
  <c r="S124" i="85"/>
  <c r="R124" i="85"/>
  <c r="T123" i="85"/>
  <c r="S123" i="85"/>
  <c r="R123" i="85"/>
  <c r="T122" i="85"/>
  <c r="S122" i="85"/>
  <c r="R122" i="85"/>
  <c r="T121" i="85"/>
  <c r="S121" i="85"/>
  <c r="R121" i="85"/>
  <c r="T120" i="85"/>
  <c r="S120" i="85"/>
  <c r="R120" i="85"/>
  <c r="T119" i="85"/>
  <c r="S119" i="85"/>
  <c r="R119" i="85"/>
  <c r="T118" i="85"/>
  <c r="S118" i="85"/>
  <c r="R118" i="85"/>
  <c r="T117" i="85"/>
  <c r="S117" i="85"/>
  <c r="R117" i="85"/>
  <c r="T116" i="85"/>
  <c r="S116" i="85"/>
  <c r="R116" i="85"/>
  <c r="T115" i="85"/>
  <c r="S115" i="85"/>
  <c r="R115" i="85"/>
  <c r="T114" i="85"/>
  <c r="S114" i="85"/>
  <c r="R114" i="85"/>
  <c r="T113" i="85"/>
  <c r="S113" i="85"/>
  <c r="R113" i="85"/>
  <c r="T112" i="85"/>
  <c r="S112" i="85"/>
  <c r="R112" i="85"/>
  <c r="T111" i="85"/>
  <c r="S111" i="85"/>
  <c r="R111" i="85"/>
  <c r="T110" i="85"/>
  <c r="S110" i="85"/>
  <c r="R110" i="85"/>
  <c r="T109" i="85"/>
  <c r="S109" i="85"/>
  <c r="R109" i="85"/>
  <c r="T108" i="85"/>
  <c r="S108" i="85"/>
  <c r="R108" i="85"/>
  <c r="T107" i="85"/>
  <c r="S107" i="85"/>
  <c r="R107" i="85"/>
  <c r="T106" i="85"/>
  <c r="S106" i="85"/>
  <c r="R106" i="85"/>
  <c r="T105" i="85"/>
  <c r="S105" i="85"/>
  <c r="R105" i="85"/>
  <c r="T104" i="85"/>
  <c r="S104" i="85"/>
  <c r="R104" i="85"/>
  <c r="T103" i="85"/>
  <c r="S103" i="85"/>
  <c r="R103" i="85"/>
  <c r="T102" i="85"/>
  <c r="S102" i="85"/>
  <c r="R102" i="85"/>
  <c r="T101" i="85"/>
  <c r="S101" i="85"/>
  <c r="R101" i="85"/>
  <c r="T100" i="85"/>
  <c r="S100" i="85"/>
  <c r="R100" i="85"/>
  <c r="T99" i="85"/>
  <c r="S99" i="85"/>
  <c r="R99" i="85"/>
  <c r="T98" i="85"/>
  <c r="S98" i="85"/>
  <c r="R98" i="85"/>
  <c r="T97" i="85"/>
  <c r="S97" i="85"/>
  <c r="R97" i="85"/>
  <c r="T96" i="85"/>
  <c r="S96" i="85"/>
  <c r="R96" i="85"/>
  <c r="T95" i="85"/>
  <c r="S95" i="85"/>
  <c r="R95" i="85"/>
  <c r="T94" i="85"/>
  <c r="S94" i="85"/>
  <c r="R94" i="85"/>
  <c r="T93" i="85"/>
  <c r="S93" i="85"/>
  <c r="R93" i="85"/>
  <c r="T92" i="85"/>
  <c r="S92" i="85"/>
  <c r="R92" i="85"/>
  <c r="T91" i="85"/>
  <c r="S91" i="85"/>
  <c r="R91" i="85"/>
  <c r="T90" i="85"/>
  <c r="S90" i="85"/>
  <c r="R90" i="85"/>
  <c r="T89" i="85"/>
  <c r="S89" i="85"/>
  <c r="R89" i="85"/>
  <c r="T88" i="85"/>
  <c r="S88" i="85"/>
  <c r="R88" i="85"/>
  <c r="T87" i="85"/>
  <c r="S87" i="85"/>
  <c r="R87" i="85"/>
  <c r="T86" i="85"/>
  <c r="S86" i="85"/>
  <c r="R86" i="85"/>
  <c r="T85" i="85"/>
  <c r="S85" i="85"/>
  <c r="R85" i="85"/>
  <c r="T84" i="85"/>
  <c r="S84" i="85"/>
  <c r="R84" i="85"/>
  <c r="T83" i="85"/>
  <c r="S83" i="85"/>
  <c r="R83" i="85"/>
  <c r="T82" i="85"/>
  <c r="S82" i="85"/>
  <c r="R82" i="85"/>
  <c r="T81" i="85"/>
  <c r="S81" i="85"/>
  <c r="R81" i="85"/>
  <c r="T80" i="85"/>
  <c r="S80" i="85"/>
  <c r="R80" i="85"/>
  <c r="T79" i="85"/>
  <c r="S79" i="85"/>
  <c r="R79" i="85"/>
  <c r="T78" i="85"/>
  <c r="S78" i="85"/>
  <c r="R78" i="85"/>
  <c r="T77" i="85"/>
  <c r="S77" i="85"/>
  <c r="R77" i="85"/>
  <c r="T76" i="85"/>
  <c r="S76" i="85"/>
  <c r="R76" i="85"/>
  <c r="T75" i="85"/>
  <c r="S75" i="85"/>
  <c r="R75" i="85"/>
  <c r="T74" i="85"/>
  <c r="S74" i="85"/>
  <c r="R74" i="85"/>
  <c r="T73" i="85"/>
  <c r="S73" i="85"/>
  <c r="R73" i="85"/>
  <c r="T72" i="85"/>
  <c r="S72" i="85"/>
  <c r="R72" i="85"/>
  <c r="T71" i="85"/>
  <c r="S71" i="85"/>
  <c r="R71" i="85"/>
  <c r="T70" i="85"/>
  <c r="S70" i="85"/>
  <c r="R70" i="85"/>
  <c r="T69" i="85"/>
  <c r="S69" i="85"/>
  <c r="R69" i="85"/>
  <c r="T68" i="85"/>
  <c r="S68" i="85"/>
  <c r="R68" i="85"/>
  <c r="T67" i="85"/>
  <c r="S67" i="85"/>
  <c r="R67" i="85"/>
  <c r="T66" i="85"/>
  <c r="S66" i="85"/>
  <c r="R66" i="85"/>
  <c r="T65" i="85"/>
  <c r="S65" i="85"/>
  <c r="R65" i="85"/>
  <c r="T64" i="85"/>
  <c r="S64" i="85"/>
  <c r="R64" i="85"/>
  <c r="T63" i="85"/>
  <c r="S63" i="85"/>
  <c r="R63" i="85"/>
  <c r="T62" i="85"/>
  <c r="S62" i="85"/>
  <c r="R62" i="85"/>
  <c r="T61" i="85"/>
  <c r="S61" i="85"/>
  <c r="R61" i="85"/>
  <c r="T60" i="85"/>
  <c r="S60" i="85"/>
  <c r="R60" i="85"/>
  <c r="T59" i="85"/>
  <c r="S59" i="85"/>
  <c r="R59" i="85"/>
  <c r="T58" i="85"/>
  <c r="S58" i="85"/>
  <c r="R58" i="85"/>
  <c r="T57" i="85"/>
  <c r="S57" i="85"/>
  <c r="R57" i="85"/>
  <c r="T56" i="85"/>
  <c r="S56" i="85"/>
  <c r="R56" i="85"/>
  <c r="T55" i="85"/>
  <c r="S55" i="85"/>
  <c r="R55" i="85"/>
  <c r="T54" i="85"/>
  <c r="S54" i="85"/>
  <c r="R54" i="85"/>
  <c r="T53" i="85"/>
  <c r="S53" i="85"/>
  <c r="R53" i="85"/>
  <c r="T52" i="85"/>
  <c r="S52" i="85"/>
  <c r="R52" i="85"/>
  <c r="T51" i="85"/>
  <c r="S51" i="85"/>
  <c r="R51" i="85"/>
  <c r="T50" i="85"/>
  <c r="S50" i="85"/>
  <c r="R50" i="85"/>
  <c r="T49" i="85"/>
  <c r="S49" i="85"/>
  <c r="R49" i="85"/>
  <c r="T48" i="85"/>
  <c r="S48" i="85"/>
  <c r="R48" i="85"/>
  <c r="T47" i="85"/>
  <c r="S47" i="85"/>
  <c r="R47" i="85"/>
  <c r="T46" i="85"/>
  <c r="S46" i="85"/>
  <c r="R46" i="85"/>
  <c r="T45" i="85"/>
  <c r="S45" i="85"/>
  <c r="R45" i="85"/>
  <c r="T44" i="85"/>
  <c r="S44" i="85"/>
  <c r="R44" i="85"/>
  <c r="T43" i="85"/>
  <c r="S43" i="85"/>
  <c r="R43" i="85"/>
  <c r="T42" i="85"/>
  <c r="S42" i="85"/>
  <c r="R42" i="85"/>
  <c r="T41" i="85"/>
  <c r="S41" i="85"/>
  <c r="R41" i="85"/>
  <c r="T40" i="85"/>
  <c r="S40" i="85"/>
  <c r="R40" i="85"/>
  <c r="T39" i="85"/>
  <c r="S39" i="85"/>
  <c r="R39" i="85"/>
  <c r="T38" i="85"/>
  <c r="S38" i="85"/>
  <c r="R38" i="85"/>
  <c r="T37" i="85"/>
  <c r="S37" i="85"/>
  <c r="R37" i="85"/>
  <c r="T36" i="85"/>
  <c r="S36" i="85"/>
  <c r="R36" i="85"/>
  <c r="T35" i="85"/>
  <c r="S35" i="85"/>
  <c r="R35" i="85"/>
  <c r="T34" i="85"/>
  <c r="S34" i="85"/>
  <c r="R34" i="85"/>
  <c r="T33" i="85"/>
  <c r="S33" i="85"/>
  <c r="R33" i="85"/>
  <c r="T32" i="85"/>
  <c r="S32" i="85"/>
  <c r="R32" i="85"/>
  <c r="T31" i="85"/>
  <c r="S31" i="85"/>
  <c r="R31" i="85"/>
  <c r="T30" i="85"/>
  <c r="S30" i="85"/>
  <c r="R30" i="85"/>
  <c r="T29" i="85"/>
  <c r="S29" i="85"/>
  <c r="R29" i="85"/>
  <c r="T28" i="85"/>
  <c r="S28" i="85"/>
  <c r="R28" i="85"/>
  <c r="T27" i="85"/>
  <c r="S27" i="85"/>
  <c r="R27" i="85"/>
  <c r="T26" i="85"/>
  <c r="S26" i="85"/>
  <c r="R26" i="85"/>
  <c r="T25" i="85"/>
  <c r="S25" i="85"/>
  <c r="R25" i="85"/>
  <c r="T24" i="85"/>
  <c r="S24" i="85"/>
  <c r="R24" i="85"/>
  <c r="T23" i="85"/>
  <c r="S23" i="85"/>
  <c r="R23" i="85"/>
  <c r="T22" i="85"/>
  <c r="S22" i="85"/>
  <c r="R22" i="85"/>
  <c r="T21" i="85"/>
  <c r="S21" i="85"/>
  <c r="R21" i="85"/>
  <c r="T20" i="85"/>
  <c r="S20" i="85"/>
  <c r="R20" i="85"/>
  <c r="T19" i="85"/>
  <c r="S19" i="85"/>
  <c r="R19" i="85"/>
  <c r="T18" i="85"/>
  <c r="S18" i="85"/>
  <c r="R18" i="85"/>
  <c r="T17" i="85"/>
  <c r="S17" i="85"/>
  <c r="R17" i="85"/>
  <c r="T16" i="85"/>
  <c r="S16" i="85"/>
  <c r="R16" i="85"/>
  <c r="T15" i="85"/>
  <c r="S15" i="85"/>
  <c r="R15" i="85"/>
  <c r="T14" i="85"/>
  <c r="S14" i="85"/>
  <c r="R14" i="85"/>
  <c r="T13" i="85"/>
  <c r="S13" i="85"/>
  <c r="R13" i="85"/>
  <c r="T12" i="85"/>
  <c r="S12" i="85"/>
  <c r="R12" i="85"/>
  <c r="T11" i="85"/>
  <c r="S11" i="85"/>
  <c r="R11" i="85"/>
  <c r="T10" i="85"/>
  <c r="S10" i="85"/>
  <c r="R10" i="85"/>
  <c r="T9" i="85"/>
  <c r="S9" i="85"/>
  <c r="R9" i="85"/>
  <c r="T8" i="85"/>
  <c r="S8" i="85"/>
  <c r="R8" i="85"/>
  <c r="T7" i="85"/>
  <c r="S7" i="85"/>
  <c r="R7" i="85"/>
  <c r="T6" i="85"/>
  <c r="S6" i="85"/>
  <c r="R6" i="85"/>
  <c r="T5" i="85"/>
  <c r="S5" i="85"/>
  <c r="R5" i="85"/>
  <c r="T4" i="85"/>
  <c r="S4" i="85"/>
  <c r="R4" i="85"/>
  <c r="T3" i="85"/>
  <c r="S3" i="85"/>
  <c r="R3" i="85"/>
  <c r="T2" i="85"/>
  <c r="S2" i="85"/>
  <c r="R2" i="85"/>
  <c r="T220" i="84"/>
  <c r="S220" i="84"/>
  <c r="R220" i="84"/>
  <c r="T219" i="84"/>
  <c r="S219" i="84"/>
  <c r="R219" i="84"/>
  <c r="T218" i="84"/>
  <c r="S218" i="84"/>
  <c r="R218" i="84"/>
  <c r="T217" i="84"/>
  <c r="S217" i="84"/>
  <c r="R217" i="84"/>
  <c r="T216" i="84"/>
  <c r="S216" i="84"/>
  <c r="R216" i="84"/>
  <c r="T215" i="84"/>
  <c r="S215" i="84"/>
  <c r="R215" i="84"/>
  <c r="T214" i="84"/>
  <c r="S214" i="84"/>
  <c r="R214" i="84"/>
  <c r="T213" i="84"/>
  <c r="S213" i="84"/>
  <c r="R213" i="84"/>
  <c r="T212" i="84"/>
  <c r="S212" i="84"/>
  <c r="R212" i="84"/>
  <c r="T211" i="84"/>
  <c r="S211" i="84"/>
  <c r="R211" i="84"/>
  <c r="T210" i="84"/>
  <c r="S210" i="84"/>
  <c r="R210" i="84"/>
  <c r="T209" i="84"/>
  <c r="S209" i="84"/>
  <c r="R209" i="84"/>
  <c r="T208" i="84"/>
  <c r="S208" i="84"/>
  <c r="R208" i="84"/>
  <c r="T207" i="84"/>
  <c r="S207" i="84"/>
  <c r="R207" i="84"/>
  <c r="T206" i="84"/>
  <c r="S206" i="84"/>
  <c r="R206" i="84"/>
  <c r="T205" i="84"/>
  <c r="S205" i="84"/>
  <c r="R205" i="84"/>
  <c r="T204" i="84"/>
  <c r="S204" i="84"/>
  <c r="R204" i="84"/>
  <c r="T203" i="84"/>
  <c r="S203" i="84"/>
  <c r="R203" i="84"/>
  <c r="T202" i="84"/>
  <c r="S202" i="84"/>
  <c r="R202" i="84"/>
  <c r="T201" i="84"/>
  <c r="S201" i="84"/>
  <c r="R201" i="84"/>
  <c r="T200" i="84"/>
  <c r="S200" i="84"/>
  <c r="R200" i="84"/>
  <c r="T199" i="84"/>
  <c r="S199" i="84"/>
  <c r="R199" i="84"/>
  <c r="T198" i="84"/>
  <c r="S198" i="84"/>
  <c r="R198" i="84"/>
  <c r="T197" i="84"/>
  <c r="S197" i="84"/>
  <c r="R197" i="84"/>
  <c r="T196" i="84"/>
  <c r="S196" i="84"/>
  <c r="R196" i="84"/>
  <c r="T195" i="84"/>
  <c r="S195" i="84"/>
  <c r="R195" i="84"/>
  <c r="T194" i="84"/>
  <c r="S194" i="84"/>
  <c r="R194" i="84"/>
  <c r="T193" i="84"/>
  <c r="S193" i="84"/>
  <c r="R193" i="84"/>
  <c r="T192" i="84"/>
  <c r="S192" i="84"/>
  <c r="R192" i="84"/>
  <c r="T191" i="84"/>
  <c r="S191" i="84"/>
  <c r="R191" i="84"/>
  <c r="T190" i="84"/>
  <c r="S190" i="84"/>
  <c r="R190" i="84"/>
  <c r="T189" i="84"/>
  <c r="S189" i="84"/>
  <c r="R189" i="84"/>
  <c r="T188" i="84"/>
  <c r="S188" i="84"/>
  <c r="R188" i="84"/>
  <c r="T187" i="84"/>
  <c r="S187" i="84"/>
  <c r="R187" i="84"/>
  <c r="T186" i="84"/>
  <c r="S186" i="84"/>
  <c r="R186" i="84"/>
  <c r="T185" i="84"/>
  <c r="S185" i="84"/>
  <c r="R185" i="84"/>
  <c r="T184" i="84"/>
  <c r="S184" i="84"/>
  <c r="R184" i="84"/>
  <c r="T183" i="84"/>
  <c r="S183" i="84"/>
  <c r="R183" i="84"/>
  <c r="T182" i="84"/>
  <c r="S182" i="84"/>
  <c r="R182" i="84"/>
  <c r="T181" i="84"/>
  <c r="S181" i="84"/>
  <c r="R181" i="84"/>
  <c r="T180" i="84"/>
  <c r="S180" i="84"/>
  <c r="R180" i="84"/>
  <c r="T179" i="84"/>
  <c r="S179" i="84"/>
  <c r="R179" i="84"/>
  <c r="T178" i="84"/>
  <c r="S178" i="84"/>
  <c r="R178" i="84"/>
  <c r="T177" i="84"/>
  <c r="S177" i="84"/>
  <c r="R177" i="84"/>
  <c r="T176" i="84"/>
  <c r="S176" i="84"/>
  <c r="R176" i="84"/>
  <c r="T175" i="84"/>
  <c r="S175" i="84"/>
  <c r="R175" i="84"/>
  <c r="T174" i="84"/>
  <c r="S174" i="84"/>
  <c r="R174" i="84"/>
  <c r="T173" i="84"/>
  <c r="S173" i="84"/>
  <c r="R173" i="84"/>
  <c r="T172" i="84"/>
  <c r="S172" i="84"/>
  <c r="R172" i="84"/>
  <c r="T171" i="84"/>
  <c r="S171" i="84"/>
  <c r="R171" i="84"/>
  <c r="T170" i="84"/>
  <c r="S170" i="84"/>
  <c r="R170" i="84"/>
  <c r="T169" i="84"/>
  <c r="S169" i="84"/>
  <c r="R169" i="84"/>
  <c r="T168" i="84"/>
  <c r="S168" i="84"/>
  <c r="R168" i="84"/>
  <c r="T167" i="84"/>
  <c r="S167" i="84"/>
  <c r="R167" i="84"/>
  <c r="T166" i="84"/>
  <c r="S166" i="84"/>
  <c r="R166" i="84"/>
  <c r="T165" i="84"/>
  <c r="S165" i="84"/>
  <c r="R165" i="84"/>
  <c r="T164" i="84"/>
  <c r="S164" i="84"/>
  <c r="R164" i="84"/>
  <c r="T163" i="84"/>
  <c r="S163" i="84"/>
  <c r="R163" i="84"/>
  <c r="T162" i="84"/>
  <c r="S162" i="84"/>
  <c r="R162" i="84"/>
  <c r="T161" i="84"/>
  <c r="S161" i="84"/>
  <c r="R161" i="84"/>
  <c r="T160" i="84"/>
  <c r="S160" i="84"/>
  <c r="R160" i="84"/>
  <c r="T159" i="84"/>
  <c r="S159" i="84"/>
  <c r="R159" i="84"/>
  <c r="T158" i="84"/>
  <c r="S158" i="84"/>
  <c r="R158" i="84"/>
  <c r="T157" i="84"/>
  <c r="S157" i="84"/>
  <c r="R157" i="84"/>
  <c r="T156" i="84"/>
  <c r="S156" i="84"/>
  <c r="R156" i="84"/>
  <c r="T155" i="84"/>
  <c r="S155" i="84"/>
  <c r="R155" i="84"/>
  <c r="T154" i="84"/>
  <c r="S154" i="84"/>
  <c r="R154" i="84"/>
  <c r="T153" i="84"/>
  <c r="S153" i="84"/>
  <c r="R153" i="84"/>
  <c r="T152" i="84"/>
  <c r="S152" i="84"/>
  <c r="R152" i="84"/>
  <c r="T151" i="84"/>
  <c r="S151" i="84"/>
  <c r="R151" i="84"/>
  <c r="T150" i="84"/>
  <c r="S150" i="84"/>
  <c r="R150" i="84"/>
  <c r="T149" i="84"/>
  <c r="S149" i="84"/>
  <c r="R149" i="84"/>
  <c r="T148" i="84"/>
  <c r="S148" i="84"/>
  <c r="R148" i="84"/>
  <c r="T147" i="84"/>
  <c r="S147" i="84"/>
  <c r="R147" i="84"/>
  <c r="T146" i="84"/>
  <c r="S146" i="84"/>
  <c r="R146" i="84"/>
  <c r="T145" i="84"/>
  <c r="S145" i="84"/>
  <c r="R145" i="84"/>
  <c r="T144" i="84"/>
  <c r="S144" i="84"/>
  <c r="R144" i="84"/>
  <c r="T143" i="84"/>
  <c r="S143" i="84"/>
  <c r="R143" i="84"/>
  <c r="T142" i="84"/>
  <c r="S142" i="84"/>
  <c r="R142" i="84"/>
  <c r="T141" i="84"/>
  <c r="S141" i="84"/>
  <c r="R141" i="84"/>
  <c r="T140" i="84"/>
  <c r="S140" i="84"/>
  <c r="R140" i="84"/>
  <c r="T139" i="84"/>
  <c r="S139" i="84"/>
  <c r="R139" i="84"/>
  <c r="T138" i="84"/>
  <c r="S138" i="84"/>
  <c r="R138" i="84"/>
  <c r="T137" i="84"/>
  <c r="S137" i="84"/>
  <c r="R137" i="84"/>
  <c r="T136" i="84"/>
  <c r="S136" i="84"/>
  <c r="R136" i="84"/>
  <c r="T135" i="84"/>
  <c r="S135" i="84"/>
  <c r="R135" i="84"/>
  <c r="T134" i="84"/>
  <c r="S134" i="84"/>
  <c r="R134" i="84"/>
  <c r="T133" i="84"/>
  <c r="S133" i="84"/>
  <c r="R133" i="84"/>
  <c r="T132" i="84"/>
  <c r="S132" i="84"/>
  <c r="R132" i="84"/>
  <c r="T131" i="84"/>
  <c r="S131" i="84"/>
  <c r="R131" i="84"/>
  <c r="T130" i="84"/>
  <c r="S130" i="84"/>
  <c r="R130" i="84"/>
  <c r="T129" i="84"/>
  <c r="S129" i="84"/>
  <c r="R129" i="84"/>
  <c r="T128" i="84"/>
  <c r="S128" i="84"/>
  <c r="R128" i="84"/>
  <c r="T127" i="84"/>
  <c r="S127" i="84"/>
  <c r="R127" i="84"/>
  <c r="T126" i="84"/>
  <c r="S126" i="84"/>
  <c r="R126" i="84"/>
  <c r="T125" i="84"/>
  <c r="S125" i="84"/>
  <c r="R125" i="84"/>
  <c r="T124" i="84"/>
  <c r="S124" i="84"/>
  <c r="R124" i="84"/>
  <c r="T123" i="84"/>
  <c r="S123" i="84"/>
  <c r="R123" i="84"/>
  <c r="T122" i="84"/>
  <c r="S122" i="84"/>
  <c r="R122" i="84"/>
  <c r="T121" i="84"/>
  <c r="S121" i="84"/>
  <c r="R121" i="84"/>
  <c r="T120" i="84"/>
  <c r="S120" i="84"/>
  <c r="R120" i="84"/>
  <c r="T119" i="84"/>
  <c r="S119" i="84"/>
  <c r="R119" i="84"/>
  <c r="T118" i="84"/>
  <c r="S118" i="84"/>
  <c r="R118" i="84"/>
  <c r="T117" i="84"/>
  <c r="S117" i="84"/>
  <c r="R117" i="84"/>
  <c r="T116" i="84"/>
  <c r="S116" i="84"/>
  <c r="R116" i="84"/>
  <c r="T115" i="84"/>
  <c r="S115" i="84"/>
  <c r="R115" i="84"/>
  <c r="T114" i="84"/>
  <c r="S114" i="84"/>
  <c r="R114" i="84"/>
  <c r="T113" i="84"/>
  <c r="S113" i="84"/>
  <c r="R113" i="84"/>
  <c r="T112" i="84"/>
  <c r="S112" i="84"/>
  <c r="R112" i="84"/>
  <c r="T111" i="84"/>
  <c r="S111" i="84"/>
  <c r="R111" i="84"/>
  <c r="T110" i="84"/>
  <c r="S110" i="84"/>
  <c r="R110" i="84"/>
  <c r="T109" i="84"/>
  <c r="S109" i="84"/>
  <c r="R109" i="84"/>
  <c r="T108" i="84"/>
  <c r="S108" i="84"/>
  <c r="R108" i="84"/>
  <c r="T107" i="84"/>
  <c r="S107" i="84"/>
  <c r="R107" i="84"/>
  <c r="T106" i="84"/>
  <c r="S106" i="84"/>
  <c r="R106" i="84"/>
  <c r="T105" i="84"/>
  <c r="S105" i="84"/>
  <c r="R105" i="84"/>
  <c r="T104" i="84"/>
  <c r="S104" i="84"/>
  <c r="R104" i="84"/>
  <c r="T103" i="84"/>
  <c r="S103" i="84"/>
  <c r="R103" i="84"/>
  <c r="T102" i="84"/>
  <c r="S102" i="84"/>
  <c r="R102" i="84"/>
  <c r="T101" i="84"/>
  <c r="S101" i="84"/>
  <c r="R101" i="84"/>
  <c r="T100" i="84"/>
  <c r="S100" i="84"/>
  <c r="R100" i="84"/>
  <c r="T99" i="84"/>
  <c r="S99" i="84"/>
  <c r="R99" i="84"/>
  <c r="T98" i="84"/>
  <c r="S98" i="84"/>
  <c r="R98" i="84"/>
  <c r="T97" i="84"/>
  <c r="S97" i="84"/>
  <c r="R97" i="84"/>
  <c r="T96" i="84"/>
  <c r="S96" i="84"/>
  <c r="R96" i="84"/>
  <c r="T95" i="84"/>
  <c r="S95" i="84"/>
  <c r="R95" i="84"/>
  <c r="T94" i="84"/>
  <c r="S94" i="84"/>
  <c r="R94" i="84"/>
  <c r="T93" i="84"/>
  <c r="S93" i="84"/>
  <c r="R93" i="84"/>
  <c r="T92" i="84"/>
  <c r="S92" i="84"/>
  <c r="R92" i="84"/>
  <c r="T91" i="84"/>
  <c r="S91" i="84"/>
  <c r="R91" i="84"/>
  <c r="T90" i="84"/>
  <c r="S90" i="84"/>
  <c r="R90" i="84"/>
  <c r="T89" i="84"/>
  <c r="S89" i="84"/>
  <c r="R89" i="84"/>
  <c r="T88" i="84"/>
  <c r="S88" i="84"/>
  <c r="R88" i="84"/>
  <c r="T87" i="84"/>
  <c r="S87" i="84"/>
  <c r="R87" i="84"/>
  <c r="T86" i="84"/>
  <c r="S86" i="84"/>
  <c r="R86" i="84"/>
  <c r="T85" i="84"/>
  <c r="S85" i="84"/>
  <c r="R85" i="84"/>
  <c r="T84" i="84"/>
  <c r="S84" i="84"/>
  <c r="R84" i="84"/>
  <c r="T83" i="84"/>
  <c r="S83" i="84"/>
  <c r="R83" i="84"/>
  <c r="T82" i="84"/>
  <c r="S82" i="84"/>
  <c r="R82" i="84"/>
  <c r="T81" i="84"/>
  <c r="S81" i="84"/>
  <c r="R81" i="84"/>
  <c r="T80" i="84"/>
  <c r="S80" i="84"/>
  <c r="R80" i="84"/>
  <c r="T79" i="84"/>
  <c r="S79" i="84"/>
  <c r="R79" i="84"/>
  <c r="T78" i="84"/>
  <c r="S78" i="84"/>
  <c r="R78" i="84"/>
  <c r="T77" i="84"/>
  <c r="S77" i="84"/>
  <c r="R77" i="84"/>
  <c r="T76" i="84"/>
  <c r="S76" i="84"/>
  <c r="R76" i="84"/>
  <c r="T75" i="84"/>
  <c r="S75" i="84"/>
  <c r="R75" i="84"/>
  <c r="T74" i="84"/>
  <c r="S74" i="84"/>
  <c r="R74" i="84"/>
  <c r="T73" i="84"/>
  <c r="S73" i="84"/>
  <c r="R73" i="84"/>
  <c r="T72" i="84"/>
  <c r="S72" i="84"/>
  <c r="R72" i="84"/>
  <c r="T71" i="84"/>
  <c r="S71" i="84"/>
  <c r="R71" i="84"/>
  <c r="T70" i="84"/>
  <c r="S70" i="84"/>
  <c r="R70" i="84"/>
  <c r="T69" i="84"/>
  <c r="S69" i="84"/>
  <c r="R69" i="84"/>
  <c r="T68" i="84"/>
  <c r="S68" i="84"/>
  <c r="R68" i="84"/>
  <c r="T67" i="84"/>
  <c r="S67" i="84"/>
  <c r="R67" i="84"/>
  <c r="T66" i="84"/>
  <c r="S66" i="84"/>
  <c r="R66" i="84"/>
  <c r="T65" i="84"/>
  <c r="S65" i="84"/>
  <c r="R65" i="84"/>
  <c r="T64" i="84"/>
  <c r="S64" i="84"/>
  <c r="R64" i="84"/>
  <c r="T63" i="84"/>
  <c r="S63" i="84"/>
  <c r="R63" i="84"/>
  <c r="T62" i="84"/>
  <c r="S62" i="84"/>
  <c r="R62" i="84"/>
  <c r="T61" i="84"/>
  <c r="S61" i="84"/>
  <c r="R61" i="84"/>
  <c r="T60" i="84"/>
  <c r="S60" i="84"/>
  <c r="R60" i="84"/>
  <c r="T59" i="84"/>
  <c r="S59" i="84"/>
  <c r="R59" i="84"/>
  <c r="T58" i="84"/>
  <c r="S58" i="84"/>
  <c r="R58" i="84"/>
  <c r="T57" i="84"/>
  <c r="S57" i="84"/>
  <c r="R57" i="84"/>
  <c r="T56" i="84"/>
  <c r="S56" i="84"/>
  <c r="R56" i="84"/>
  <c r="T55" i="84"/>
  <c r="S55" i="84"/>
  <c r="R55" i="84"/>
  <c r="T54" i="84"/>
  <c r="S54" i="84"/>
  <c r="R54" i="84"/>
  <c r="T53" i="84"/>
  <c r="S53" i="84"/>
  <c r="R53" i="84"/>
  <c r="T52" i="84"/>
  <c r="S52" i="84"/>
  <c r="R52" i="84"/>
  <c r="T51" i="84"/>
  <c r="S51" i="84"/>
  <c r="R51" i="84"/>
  <c r="T50" i="84"/>
  <c r="S50" i="84"/>
  <c r="R50" i="84"/>
  <c r="T49" i="84"/>
  <c r="S49" i="84"/>
  <c r="R49" i="84"/>
  <c r="T48" i="84"/>
  <c r="S48" i="84"/>
  <c r="R48" i="84"/>
  <c r="T47" i="84"/>
  <c r="S47" i="84"/>
  <c r="R47" i="84"/>
  <c r="T46" i="84"/>
  <c r="S46" i="84"/>
  <c r="R46" i="84"/>
  <c r="T45" i="84"/>
  <c r="S45" i="84"/>
  <c r="R45" i="84"/>
  <c r="T44" i="84"/>
  <c r="S44" i="84"/>
  <c r="R44" i="84"/>
  <c r="T43" i="84"/>
  <c r="S43" i="84"/>
  <c r="R43" i="84"/>
  <c r="T42" i="84"/>
  <c r="S42" i="84"/>
  <c r="R42" i="84"/>
  <c r="T41" i="84"/>
  <c r="S41" i="84"/>
  <c r="R41" i="84"/>
  <c r="T40" i="84"/>
  <c r="S40" i="84"/>
  <c r="R40" i="84"/>
  <c r="T39" i="84"/>
  <c r="S39" i="84"/>
  <c r="R39" i="84"/>
  <c r="T38" i="84"/>
  <c r="S38" i="84"/>
  <c r="R38" i="84"/>
  <c r="T37" i="84"/>
  <c r="S37" i="84"/>
  <c r="R37" i="84"/>
  <c r="T36" i="84"/>
  <c r="S36" i="84"/>
  <c r="R36" i="84"/>
  <c r="T35" i="84"/>
  <c r="S35" i="84"/>
  <c r="R35" i="84"/>
  <c r="T34" i="84"/>
  <c r="S34" i="84"/>
  <c r="R34" i="84"/>
  <c r="T33" i="84"/>
  <c r="S33" i="84"/>
  <c r="R33" i="84"/>
  <c r="T32" i="84"/>
  <c r="S32" i="84"/>
  <c r="R32" i="84"/>
  <c r="T31" i="84"/>
  <c r="S31" i="84"/>
  <c r="R31" i="84"/>
  <c r="T30" i="84"/>
  <c r="S30" i="84"/>
  <c r="R30" i="84"/>
  <c r="T29" i="84"/>
  <c r="S29" i="84"/>
  <c r="R29" i="84"/>
  <c r="T28" i="84"/>
  <c r="S28" i="84"/>
  <c r="R28" i="84"/>
  <c r="T27" i="84"/>
  <c r="S27" i="84"/>
  <c r="R27" i="84"/>
  <c r="T26" i="84"/>
  <c r="S26" i="84"/>
  <c r="R26" i="84"/>
  <c r="T25" i="84"/>
  <c r="S25" i="84"/>
  <c r="R25" i="84"/>
  <c r="T24" i="84"/>
  <c r="S24" i="84"/>
  <c r="R24" i="84"/>
  <c r="T23" i="84"/>
  <c r="S23" i="84"/>
  <c r="R23" i="84"/>
  <c r="T22" i="84"/>
  <c r="S22" i="84"/>
  <c r="R22" i="84"/>
  <c r="T21" i="84"/>
  <c r="S21" i="84"/>
  <c r="R21" i="84"/>
  <c r="T20" i="84"/>
  <c r="S20" i="84"/>
  <c r="R20" i="84"/>
  <c r="T19" i="84"/>
  <c r="S19" i="84"/>
  <c r="R19" i="84"/>
  <c r="T18" i="84"/>
  <c r="S18" i="84"/>
  <c r="R18" i="84"/>
  <c r="T17" i="84"/>
  <c r="S17" i="84"/>
  <c r="R17" i="84"/>
  <c r="T16" i="84"/>
  <c r="S16" i="84"/>
  <c r="R16" i="84"/>
  <c r="T15" i="84"/>
  <c r="S15" i="84"/>
  <c r="R15" i="84"/>
  <c r="T14" i="84"/>
  <c r="S14" i="84"/>
  <c r="R14" i="84"/>
  <c r="T13" i="84"/>
  <c r="S13" i="84"/>
  <c r="R13" i="84"/>
  <c r="T12" i="84"/>
  <c r="S12" i="84"/>
  <c r="R12" i="84"/>
  <c r="T11" i="84"/>
  <c r="S11" i="84"/>
  <c r="R11" i="84"/>
  <c r="T10" i="84"/>
  <c r="S10" i="84"/>
  <c r="R10" i="84"/>
  <c r="T9" i="84"/>
  <c r="S9" i="84"/>
  <c r="R9" i="84"/>
  <c r="T8" i="84"/>
  <c r="S8" i="84"/>
  <c r="R8" i="84"/>
  <c r="T7" i="84"/>
  <c r="S7" i="84"/>
  <c r="R7" i="84"/>
  <c r="T6" i="84"/>
  <c r="S6" i="84"/>
  <c r="R6" i="84"/>
  <c r="T5" i="84"/>
  <c r="S5" i="84"/>
  <c r="R5" i="84"/>
  <c r="T4" i="84"/>
  <c r="S4" i="84"/>
  <c r="R4" i="84"/>
  <c r="T3" i="84"/>
  <c r="S3" i="84"/>
  <c r="R3" i="84"/>
  <c r="T2" i="84"/>
  <c r="S2" i="84"/>
  <c r="R2" i="84"/>
  <c r="T220" i="83"/>
  <c r="S220" i="83"/>
  <c r="R220" i="83"/>
  <c r="T219" i="83"/>
  <c r="S219" i="83"/>
  <c r="R219" i="83"/>
  <c r="T218" i="83"/>
  <c r="S218" i="83"/>
  <c r="R218" i="83"/>
  <c r="T217" i="83"/>
  <c r="S217" i="83"/>
  <c r="R217" i="83"/>
  <c r="T216" i="83"/>
  <c r="S216" i="83"/>
  <c r="R216" i="83"/>
  <c r="T215" i="83"/>
  <c r="S215" i="83"/>
  <c r="R215" i="83"/>
  <c r="T214" i="83"/>
  <c r="S214" i="83"/>
  <c r="R214" i="83"/>
  <c r="T213" i="83"/>
  <c r="S213" i="83"/>
  <c r="R213" i="83"/>
  <c r="T212" i="83"/>
  <c r="S212" i="83"/>
  <c r="R212" i="83"/>
  <c r="T211" i="83"/>
  <c r="S211" i="83"/>
  <c r="R211" i="83"/>
  <c r="T210" i="83"/>
  <c r="S210" i="83"/>
  <c r="R210" i="83"/>
  <c r="T209" i="83"/>
  <c r="S209" i="83"/>
  <c r="R209" i="83"/>
  <c r="T208" i="83"/>
  <c r="S208" i="83"/>
  <c r="R208" i="83"/>
  <c r="T207" i="83"/>
  <c r="S207" i="83"/>
  <c r="R207" i="83"/>
  <c r="T206" i="83"/>
  <c r="S206" i="83"/>
  <c r="R206" i="83"/>
  <c r="T205" i="83"/>
  <c r="S205" i="83"/>
  <c r="R205" i="83"/>
  <c r="T204" i="83"/>
  <c r="S204" i="83"/>
  <c r="R204" i="83"/>
  <c r="T203" i="83"/>
  <c r="S203" i="83"/>
  <c r="R203" i="83"/>
  <c r="T202" i="83"/>
  <c r="S202" i="83"/>
  <c r="R202" i="83"/>
  <c r="T201" i="83"/>
  <c r="S201" i="83"/>
  <c r="R201" i="83"/>
  <c r="T200" i="83"/>
  <c r="S200" i="83"/>
  <c r="R200" i="83"/>
  <c r="T199" i="83"/>
  <c r="S199" i="83"/>
  <c r="R199" i="83"/>
  <c r="T198" i="83"/>
  <c r="S198" i="83"/>
  <c r="R198" i="83"/>
  <c r="T197" i="83"/>
  <c r="S197" i="83"/>
  <c r="R197" i="83"/>
  <c r="T196" i="83"/>
  <c r="S196" i="83"/>
  <c r="R196" i="83"/>
  <c r="T195" i="83"/>
  <c r="S195" i="83"/>
  <c r="R195" i="83"/>
  <c r="T194" i="83"/>
  <c r="S194" i="83"/>
  <c r="R194" i="83"/>
  <c r="T193" i="83"/>
  <c r="S193" i="83"/>
  <c r="R193" i="83"/>
  <c r="T192" i="83"/>
  <c r="S192" i="83"/>
  <c r="R192" i="83"/>
  <c r="T191" i="83"/>
  <c r="S191" i="83"/>
  <c r="R191" i="83"/>
  <c r="T190" i="83"/>
  <c r="S190" i="83"/>
  <c r="R190" i="83"/>
  <c r="T189" i="83"/>
  <c r="S189" i="83"/>
  <c r="R189" i="83"/>
  <c r="T188" i="83"/>
  <c r="S188" i="83"/>
  <c r="R188" i="83"/>
  <c r="T187" i="83"/>
  <c r="S187" i="83"/>
  <c r="R187" i="83"/>
  <c r="T186" i="83"/>
  <c r="S186" i="83"/>
  <c r="R186" i="83"/>
  <c r="T185" i="83"/>
  <c r="S185" i="83"/>
  <c r="R185" i="83"/>
  <c r="T184" i="83"/>
  <c r="S184" i="83"/>
  <c r="R184" i="83"/>
  <c r="T183" i="83"/>
  <c r="S183" i="83"/>
  <c r="R183" i="83"/>
  <c r="T182" i="83"/>
  <c r="S182" i="83"/>
  <c r="R182" i="83"/>
  <c r="T181" i="83"/>
  <c r="S181" i="83"/>
  <c r="R181" i="83"/>
  <c r="T180" i="83"/>
  <c r="S180" i="83"/>
  <c r="R180" i="83"/>
  <c r="T179" i="83"/>
  <c r="S179" i="83"/>
  <c r="R179" i="83"/>
  <c r="T178" i="83"/>
  <c r="S178" i="83"/>
  <c r="R178" i="83"/>
  <c r="T177" i="83"/>
  <c r="S177" i="83"/>
  <c r="R177" i="83"/>
  <c r="T176" i="83"/>
  <c r="S176" i="83"/>
  <c r="R176" i="83"/>
  <c r="T175" i="83"/>
  <c r="S175" i="83"/>
  <c r="R175" i="83"/>
  <c r="T174" i="83"/>
  <c r="S174" i="83"/>
  <c r="R174" i="83"/>
  <c r="T173" i="83"/>
  <c r="S173" i="83"/>
  <c r="R173" i="83"/>
  <c r="T172" i="83"/>
  <c r="S172" i="83"/>
  <c r="R172" i="83"/>
  <c r="T171" i="83"/>
  <c r="S171" i="83"/>
  <c r="R171" i="83"/>
  <c r="T170" i="83"/>
  <c r="S170" i="83"/>
  <c r="R170" i="83"/>
  <c r="T169" i="83"/>
  <c r="S169" i="83"/>
  <c r="R169" i="83"/>
  <c r="T168" i="83"/>
  <c r="S168" i="83"/>
  <c r="R168" i="83"/>
  <c r="T167" i="83"/>
  <c r="S167" i="83"/>
  <c r="R167" i="83"/>
  <c r="T166" i="83"/>
  <c r="S166" i="83"/>
  <c r="R166" i="83"/>
  <c r="T165" i="83"/>
  <c r="S165" i="83"/>
  <c r="R165" i="83"/>
  <c r="T164" i="83"/>
  <c r="S164" i="83"/>
  <c r="R164" i="83"/>
  <c r="T163" i="83"/>
  <c r="S163" i="83"/>
  <c r="R163" i="83"/>
  <c r="T162" i="83"/>
  <c r="S162" i="83"/>
  <c r="R162" i="83"/>
  <c r="T161" i="83"/>
  <c r="S161" i="83"/>
  <c r="R161" i="83"/>
  <c r="T160" i="83"/>
  <c r="S160" i="83"/>
  <c r="R160" i="83"/>
  <c r="T159" i="83"/>
  <c r="S159" i="83"/>
  <c r="R159" i="83"/>
  <c r="T158" i="83"/>
  <c r="S158" i="83"/>
  <c r="R158" i="83"/>
  <c r="T157" i="83"/>
  <c r="S157" i="83"/>
  <c r="R157" i="83"/>
  <c r="T156" i="83"/>
  <c r="S156" i="83"/>
  <c r="R156" i="83"/>
  <c r="T155" i="83"/>
  <c r="S155" i="83"/>
  <c r="R155" i="83"/>
  <c r="T154" i="83"/>
  <c r="S154" i="83"/>
  <c r="R154" i="83"/>
  <c r="T153" i="83"/>
  <c r="S153" i="83"/>
  <c r="R153" i="83"/>
  <c r="T152" i="83"/>
  <c r="S152" i="83"/>
  <c r="R152" i="83"/>
  <c r="T151" i="83"/>
  <c r="S151" i="83"/>
  <c r="R151" i="83"/>
  <c r="T150" i="83"/>
  <c r="S150" i="83"/>
  <c r="R150" i="83"/>
  <c r="T149" i="83"/>
  <c r="S149" i="83"/>
  <c r="R149" i="83"/>
  <c r="T148" i="83"/>
  <c r="S148" i="83"/>
  <c r="R148" i="83"/>
  <c r="T147" i="83"/>
  <c r="S147" i="83"/>
  <c r="R147" i="83"/>
  <c r="T146" i="83"/>
  <c r="S146" i="83"/>
  <c r="R146" i="83"/>
  <c r="T145" i="83"/>
  <c r="S145" i="83"/>
  <c r="R145" i="83"/>
  <c r="T144" i="83"/>
  <c r="S144" i="83"/>
  <c r="R144" i="83"/>
  <c r="T143" i="83"/>
  <c r="S143" i="83"/>
  <c r="R143" i="83"/>
  <c r="T142" i="83"/>
  <c r="S142" i="83"/>
  <c r="R142" i="83"/>
  <c r="T141" i="83"/>
  <c r="S141" i="83"/>
  <c r="R141" i="83"/>
  <c r="T140" i="83"/>
  <c r="S140" i="83"/>
  <c r="R140" i="83"/>
  <c r="T139" i="83"/>
  <c r="S139" i="83"/>
  <c r="R139" i="83"/>
  <c r="T138" i="83"/>
  <c r="S138" i="83"/>
  <c r="R138" i="83"/>
  <c r="T137" i="83"/>
  <c r="S137" i="83"/>
  <c r="R137" i="83"/>
  <c r="T136" i="83"/>
  <c r="S136" i="83"/>
  <c r="R136" i="83"/>
  <c r="T135" i="83"/>
  <c r="S135" i="83"/>
  <c r="R135" i="83"/>
  <c r="T134" i="83"/>
  <c r="S134" i="83"/>
  <c r="R134" i="83"/>
  <c r="T133" i="83"/>
  <c r="S133" i="83"/>
  <c r="R133" i="83"/>
  <c r="T132" i="83"/>
  <c r="S132" i="83"/>
  <c r="R132" i="83"/>
  <c r="T131" i="83"/>
  <c r="S131" i="83"/>
  <c r="R131" i="83"/>
  <c r="T130" i="83"/>
  <c r="S130" i="83"/>
  <c r="R130" i="83"/>
  <c r="T129" i="83"/>
  <c r="S129" i="83"/>
  <c r="R129" i="83"/>
  <c r="T128" i="83"/>
  <c r="S128" i="83"/>
  <c r="R128" i="83"/>
  <c r="T127" i="83"/>
  <c r="S127" i="83"/>
  <c r="R127" i="83"/>
  <c r="T126" i="83"/>
  <c r="S126" i="83"/>
  <c r="R126" i="83"/>
  <c r="T125" i="83"/>
  <c r="S125" i="83"/>
  <c r="R125" i="83"/>
  <c r="T124" i="83"/>
  <c r="S124" i="83"/>
  <c r="R124" i="83"/>
  <c r="T123" i="83"/>
  <c r="S123" i="83"/>
  <c r="R123" i="83"/>
  <c r="T122" i="83"/>
  <c r="S122" i="83"/>
  <c r="R122" i="83"/>
  <c r="T121" i="83"/>
  <c r="S121" i="83"/>
  <c r="R121" i="83"/>
  <c r="T120" i="83"/>
  <c r="S120" i="83"/>
  <c r="R120" i="83"/>
  <c r="T119" i="83"/>
  <c r="S119" i="83"/>
  <c r="R119" i="83"/>
  <c r="T118" i="83"/>
  <c r="S118" i="83"/>
  <c r="R118" i="83"/>
  <c r="T117" i="83"/>
  <c r="S117" i="83"/>
  <c r="R117" i="83"/>
  <c r="T116" i="83"/>
  <c r="S116" i="83"/>
  <c r="R116" i="83"/>
  <c r="T115" i="83"/>
  <c r="S115" i="83"/>
  <c r="R115" i="83"/>
  <c r="T114" i="83"/>
  <c r="S114" i="83"/>
  <c r="R114" i="83"/>
  <c r="T113" i="83"/>
  <c r="S113" i="83"/>
  <c r="R113" i="83"/>
  <c r="T112" i="83"/>
  <c r="S112" i="83"/>
  <c r="R112" i="83"/>
  <c r="T111" i="83"/>
  <c r="S111" i="83"/>
  <c r="R111" i="83"/>
  <c r="T110" i="83"/>
  <c r="S110" i="83"/>
  <c r="R110" i="83"/>
  <c r="T109" i="83"/>
  <c r="S109" i="83"/>
  <c r="R109" i="83"/>
  <c r="T108" i="83"/>
  <c r="S108" i="83"/>
  <c r="R108" i="83"/>
  <c r="T107" i="83"/>
  <c r="S107" i="83"/>
  <c r="R107" i="83"/>
  <c r="T106" i="83"/>
  <c r="S106" i="83"/>
  <c r="R106" i="83"/>
  <c r="T105" i="83"/>
  <c r="S105" i="83"/>
  <c r="R105" i="83"/>
  <c r="T104" i="83"/>
  <c r="S104" i="83"/>
  <c r="R104" i="83"/>
  <c r="T103" i="83"/>
  <c r="S103" i="83"/>
  <c r="R103" i="83"/>
  <c r="T102" i="83"/>
  <c r="S102" i="83"/>
  <c r="R102" i="83"/>
  <c r="T101" i="83"/>
  <c r="S101" i="83"/>
  <c r="R101" i="83"/>
  <c r="T100" i="83"/>
  <c r="S100" i="83"/>
  <c r="R100" i="83"/>
  <c r="T99" i="83"/>
  <c r="S99" i="83"/>
  <c r="R99" i="83"/>
  <c r="T98" i="83"/>
  <c r="S98" i="83"/>
  <c r="R98" i="83"/>
  <c r="T97" i="83"/>
  <c r="S97" i="83"/>
  <c r="R97" i="83"/>
  <c r="T96" i="83"/>
  <c r="S96" i="83"/>
  <c r="R96" i="83"/>
  <c r="T95" i="83"/>
  <c r="S95" i="83"/>
  <c r="R95" i="83"/>
  <c r="T94" i="83"/>
  <c r="S94" i="83"/>
  <c r="R94" i="83"/>
  <c r="T93" i="83"/>
  <c r="S93" i="83"/>
  <c r="R93" i="83"/>
  <c r="T92" i="83"/>
  <c r="S92" i="83"/>
  <c r="R92" i="83"/>
  <c r="T91" i="83"/>
  <c r="S91" i="83"/>
  <c r="R91" i="83"/>
  <c r="T90" i="83"/>
  <c r="S90" i="83"/>
  <c r="R90" i="83"/>
  <c r="T89" i="83"/>
  <c r="S89" i="83"/>
  <c r="R89" i="83"/>
  <c r="T88" i="83"/>
  <c r="S88" i="83"/>
  <c r="R88" i="83"/>
  <c r="T87" i="83"/>
  <c r="S87" i="83"/>
  <c r="R87" i="83"/>
  <c r="T86" i="83"/>
  <c r="S86" i="83"/>
  <c r="R86" i="83"/>
  <c r="T85" i="83"/>
  <c r="S85" i="83"/>
  <c r="R85" i="83"/>
  <c r="T84" i="83"/>
  <c r="S84" i="83"/>
  <c r="R84" i="83"/>
  <c r="T83" i="83"/>
  <c r="S83" i="83"/>
  <c r="R83" i="83"/>
  <c r="T82" i="83"/>
  <c r="S82" i="83"/>
  <c r="R82" i="83"/>
  <c r="T81" i="83"/>
  <c r="S81" i="83"/>
  <c r="R81" i="83"/>
  <c r="T80" i="83"/>
  <c r="S80" i="83"/>
  <c r="R80" i="83"/>
  <c r="T79" i="83"/>
  <c r="S79" i="83"/>
  <c r="R79" i="83"/>
  <c r="T78" i="83"/>
  <c r="S78" i="83"/>
  <c r="R78" i="83"/>
  <c r="T77" i="83"/>
  <c r="S77" i="83"/>
  <c r="R77" i="83"/>
  <c r="T76" i="83"/>
  <c r="S76" i="83"/>
  <c r="R76" i="83"/>
  <c r="T75" i="83"/>
  <c r="S75" i="83"/>
  <c r="R75" i="83"/>
  <c r="T74" i="83"/>
  <c r="S74" i="83"/>
  <c r="R74" i="83"/>
  <c r="T73" i="83"/>
  <c r="S73" i="83"/>
  <c r="R73" i="83"/>
  <c r="T72" i="83"/>
  <c r="S72" i="83"/>
  <c r="R72" i="83"/>
  <c r="T71" i="83"/>
  <c r="S71" i="83"/>
  <c r="R71" i="83"/>
  <c r="T70" i="83"/>
  <c r="S70" i="83"/>
  <c r="R70" i="83"/>
  <c r="T69" i="83"/>
  <c r="S69" i="83"/>
  <c r="R69" i="83"/>
  <c r="T68" i="83"/>
  <c r="S68" i="83"/>
  <c r="R68" i="83"/>
  <c r="T67" i="83"/>
  <c r="S67" i="83"/>
  <c r="R67" i="83"/>
  <c r="T66" i="83"/>
  <c r="S66" i="83"/>
  <c r="R66" i="83"/>
  <c r="T65" i="83"/>
  <c r="S65" i="83"/>
  <c r="R65" i="83"/>
  <c r="T64" i="83"/>
  <c r="S64" i="83"/>
  <c r="R64" i="83"/>
  <c r="T63" i="83"/>
  <c r="S63" i="83"/>
  <c r="R63" i="83"/>
  <c r="T62" i="83"/>
  <c r="S62" i="83"/>
  <c r="R62" i="83"/>
  <c r="T61" i="83"/>
  <c r="S61" i="83"/>
  <c r="R61" i="83"/>
  <c r="T60" i="83"/>
  <c r="S60" i="83"/>
  <c r="R60" i="83"/>
  <c r="T59" i="83"/>
  <c r="S59" i="83"/>
  <c r="R59" i="83"/>
  <c r="T58" i="83"/>
  <c r="S58" i="83"/>
  <c r="R58" i="83"/>
  <c r="T57" i="83"/>
  <c r="S57" i="83"/>
  <c r="R57" i="83"/>
  <c r="T56" i="83"/>
  <c r="S56" i="83"/>
  <c r="R56" i="83"/>
  <c r="T55" i="83"/>
  <c r="S55" i="83"/>
  <c r="R55" i="83"/>
  <c r="T54" i="83"/>
  <c r="S54" i="83"/>
  <c r="R54" i="83"/>
  <c r="T53" i="83"/>
  <c r="S53" i="83"/>
  <c r="R53" i="83"/>
  <c r="T52" i="83"/>
  <c r="S52" i="83"/>
  <c r="R52" i="83"/>
  <c r="T51" i="83"/>
  <c r="S51" i="83"/>
  <c r="R51" i="83"/>
  <c r="T50" i="83"/>
  <c r="S50" i="83"/>
  <c r="R50" i="83"/>
  <c r="T49" i="83"/>
  <c r="S49" i="83"/>
  <c r="R49" i="83"/>
  <c r="T48" i="83"/>
  <c r="S48" i="83"/>
  <c r="R48" i="83"/>
  <c r="T47" i="83"/>
  <c r="S47" i="83"/>
  <c r="R47" i="83"/>
  <c r="T46" i="83"/>
  <c r="S46" i="83"/>
  <c r="R46" i="83"/>
  <c r="T45" i="83"/>
  <c r="S45" i="83"/>
  <c r="R45" i="83"/>
  <c r="T44" i="83"/>
  <c r="S44" i="83"/>
  <c r="R44" i="83"/>
  <c r="T43" i="83"/>
  <c r="S43" i="83"/>
  <c r="R43" i="83"/>
  <c r="T42" i="83"/>
  <c r="S42" i="83"/>
  <c r="R42" i="83"/>
  <c r="T41" i="83"/>
  <c r="S41" i="83"/>
  <c r="R41" i="83"/>
  <c r="T40" i="83"/>
  <c r="S40" i="83"/>
  <c r="R40" i="83"/>
  <c r="T39" i="83"/>
  <c r="S39" i="83"/>
  <c r="R39" i="83"/>
  <c r="T38" i="83"/>
  <c r="S38" i="83"/>
  <c r="R38" i="83"/>
  <c r="T37" i="83"/>
  <c r="S37" i="83"/>
  <c r="R37" i="83"/>
  <c r="T36" i="83"/>
  <c r="S36" i="83"/>
  <c r="R36" i="83"/>
  <c r="T35" i="83"/>
  <c r="S35" i="83"/>
  <c r="R35" i="83"/>
  <c r="T34" i="83"/>
  <c r="S34" i="83"/>
  <c r="R34" i="83"/>
  <c r="T33" i="83"/>
  <c r="S33" i="83"/>
  <c r="R33" i="83"/>
  <c r="T32" i="83"/>
  <c r="S32" i="83"/>
  <c r="R32" i="83"/>
  <c r="T31" i="83"/>
  <c r="S31" i="83"/>
  <c r="R31" i="83"/>
  <c r="T30" i="83"/>
  <c r="S30" i="83"/>
  <c r="R30" i="83"/>
  <c r="T29" i="83"/>
  <c r="S29" i="83"/>
  <c r="R29" i="83"/>
  <c r="T28" i="83"/>
  <c r="S28" i="83"/>
  <c r="R28" i="83"/>
  <c r="T27" i="83"/>
  <c r="S27" i="83"/>
  <c r="R27" i="83"/>
  <c r="T26" i="83"/>
  <c r="S26" i="83"/>
  <c r="R26" i="83"/>
  <c r="T25" i="83"/>
  <c r="S25" i="83"/>
  <c r="R25" i="83"/>
  <c r="T24" i="83"/>
  <c r="S24" i="83"/>
  <c r="R24" i="83"/>
  <c r="T23" i="83"/>
  <c r="S23" i="83"/>
  <c r="R23" i="83"/>
  <c r="T22" i="83"/>
  <c r="S22" i="83"/>
  <c r="R22" i="83"/>
  <c r="T21" i="83"/>
  <c r="S21" i="83"/>
  <c r="R21" i="83"/>
  <c r="T20" i="83"/>
  <c r="S20" i="83"/>
  <c r="R20" i="83"/>
  <c r="T19" i="83"/>
  <c r="S19" i="83"/>
  <c r="R19" i="83"/>
  <c r="T18" i="83"/>
  <c r="S18" i="83"/>
  <c r="R18" i="83"/>
  <c r="T17" i="83"/>
  <c r="S17" i="83"/>
  <c r="R17" i="83"/>
  <c r="T16" i="83"/>
  <c r="S16" i="83"/>
  <c r="R16" i="83"/>
  <c r="T15" i="83"/>
  <c r="S15" i="83"/>
  <c r="R15" i="83"/>
  <c r="T14" i="83"/>
  <c r="S14" i="83"/>
  <c r="R14" i="83"/>
  <c r="T13" i="83"/>
  <c r="S13" i="83"/>
  <c r="R13" i="83"/>
  <c r="T12" i="83"/>
  <c r="S12" i="83"/>
  <c r="R12" i="83"/>
  <c r="T11" i="83"/>
  <c r="S11" i="83"/>
  <c r="R11" i="83"/>
  <c r="T10" i="83"/>
  <c r="S10" i="83"/>
  <c r="R10" i="83"/>
  <c r="T9" i="83"/>
  <c r="S9" i="83"/>
  <c r="R9" i="83"/>
  <c r="T8" i="83"/>
  <c r="S8" i="83"/>
  <c r="R8" i="83"/>
  <c r="T7" i="83"/>
  <c r="S7" i="83"/>
  <c r="R7" i="83"/>
  <c r="T6" i="83"/>
  <c r="S6" i="83"/>
  <c r="R6" i="83"/>
  <c r="T5" i="83"/>
  <c r="S5" i="83"/>
  <c r="R5" i="83"/>
  <c r="T4" i="83"/>
  <c r="S4" i="83"/>
  <c r="R4" i="83"/>
  <c r="T3" i="83"/>
  <c r="S3" i="83"/>
  <c r="R3" i="83"/>
  <c r="T2" i="83"/>
  <c r="S2" i="83"/>
  <c r="R2" i="83"/>
  <c r="T220" i="82"/>
  <c r="S220" i="82"/>
  <c r="R220" i="82"/>
  <c r="T219" i="82"/>
  <c r="S219" i="82"/>
  <c r="R219" i="82"/>
  <c r="T218" i="82"/>
  <c r="S218" i="82"/>
  <c r="R218" i="82"/>
  <c r="T217" i="82"/>
  <c r="S217" i="82"/>
  <c r="R217" i="82"/>
  <c r="T216" i="82"/>
  <c r="S216" i="82"/>
  <c r="R216" i="82"/>
  <c r="T215" i="82"/>
  <c r="S215" i="82"/>
  <c r="R215" i="82"/>
  <c r="T214" i="82"/>
  <c r="S214" i="82"/>
  <c r="R214" i="82"/>
  <c r="T213" i="82"/>
  <c r="S213" i="82"/>
  <c r="R213" i="82"/>
  <c r="T212" i="82"/>
  <c r="S212" i="82"/>
  <c r="R212" i="82"/>
  <c r="T211" i="82"/>
  <c r="S211" i="82"/>
  <c r="R211" i="82"/>
  <c r="T210" i="82"/>
  <c r="S210" i="82"/>
  <c r="R210" i="82"/>
  <c r="T209" i="82"/>
  <c r="S209" i="82"/>
  <c r="R209" i="82"/>
  <c r="T208" i="82"/>
  <c r="S208" i="82"/>
  <c r="R208" i="82"/>
  <c r="T207" i="82"/>
  <c r="S207" i="82"/>
  <c r="R207" i="82"/>
  <c r="T206" i="82"/>
  <c r="S206" i="82"/>
  <c r="R206" i="82"/>
  <c r="T205" i="82"/>
  <c r="S205" i="82"/>
  <c r="R205" i="82"/>
  <c r="T204" i="82"/>
  <c r="S204" i="82"/>
  <c r="R204" i="82"/>
  <c r="T203" i="82"/>
  <c r="S203" i="82"/>
  <c r="R203" i="82"/>
  <c r="T202" i="82"/>
  <c r="S202" i="82"/>
  <c r="R202" i="82"/>
  <c r="T201" i="82"/>
  <c r="S201" i="82"/>
  <c r="R201" i="82"/>
  <c r="T200" i="82"/>
  <c r="S200" i="82"/>
  <c r="R200" i="82"/>
  <c r="T199" i="82"/>
  <c r="S199" i="82"/>
  <c r="R199" i="82"/>
  <c r="T198" i="82"/>
  <c r="S198" i="82"/>
  <c r="R198" i="82"/>
  <c r="T197" i="82"/>
  <c r="S197" i="82"/>
  <c r="R197" i="82"/>
  <c r="T196" i="82"/>
  <c r="S196" i="82"/>
  <c r="R196" i="82"/>
  <c r="T195" i="82"/>
  <c r="S195" i="82"/>
  <c r="R195" i="82"/>
  <c r="T194" i="82"/>
  <c r="S194" i="82"/>
  <c r="R194" i="82"/>
  <c r="T193" i="82"/>
  <c r="S193" i="82"/>
  <c r="R193" i="82"/>
  <c r="T192" i="82"/>
  <c r="S192" i="82"/>
  <c r="R192" i="82"/>
  <c r="T191" i="82"/>
  <c r="S191" i="82"/>
  <c r="R191" i="82"/>
  <c r="T190" i="82"/>
  <c r="S190" i="82"/>
  <c r="R190" i="82"/>
  <c r="T189" i="82"/>
  <c r="S189" i="82"/>
  <c r="R189" i="82"/>
  <c r="T188" i="82"/>
  <c r="S188" i="82"/>
  <c r="R188" i="82"/>
  <c r="T187" i="82"/>
  <c r="S187" i="82"/>
  <c r="R187" i="82"/>
  <c r="T186" i="82"/>
  <c r="S186" i="82"/>
  <c r="R186" i="82"/>
  <c r="T185" i="82"/>
  <c r="S185" i="82"/>
  <c r="R185" i="82"/>
  <c r="T184" i="82"/>
  <c r="S184" i="82"/>
  <c r="R184" i="82"/>
  <c r="T183" i="82"/>
  <c r="S183" i="82"/>
  <c r="R183" i="82"/>
  <c r="T182" i="82"/>
  <c r="S182" i="82"/>
  <c r="R182" i="82"/>
  <c r="T181" i="82"/>
  <c r="S181" i="82"/>
  <c r="R181" i="82"/>
  <c r="T180" i="82"/>
  <c r="S180" i="82"/>
  <c r="R180" i="82"/>
  <c r="T179" i="82"/>
  <c r="S179" i="82"/>
  <c r="R179" i="82"/>
  <c r="T178" i="82"/>
  <c r="S178" i="82"/>
  <c r="R178" i="82"/>
  <c r="T177" i="82"/>
  <c r="S177" i="82"/>
  <c r="R177" i="82"/>
  <c r="T176" i="82"/>
  <c r="S176" i="82"/>
  <c r="R176" i="82"/>
  <c r="T175" i="82"/>
  <c r="S175" i="82"/>
  <c r="R175" i="82"/>
  <c r="T174" i="82"/>
  <c r="S174" i="82"/>
  <c r="R174" i="82"/>
  <c r="T173" i="82"/>
  <c r="S173" i="82"/>
  <c r="R173" i="82"/>
  <c r="T172" i="82"/>
  <c r="S172" i="82"/>
  <c r="R172" i="82"/>
  <c r="T171" i="82"/>
  <c r="S171" i="82"/>
  <c r="R171" i="82"/>
  <c r="T170" i="82"/>
  <c r="S170" i="82"/>
  <c r="R170" i="82"/>
  <c r="T169" i="82"/>
  <c r="S169" i="82"/>
  <c r="R169" i="82"/>
  <c r="T168" i="82"/>
  <c r="S168" i="82"/>
  <c r="R168" i="82"/>
  <c r="T167" i="82"/>
  <c r="S167" i="82"/>
  <c r="R167" i="82"/>
  <c r="T166" i="82"/>
  <c r="S166" i="82"/>
  <c r="R166" i="82"/>
  <c r="T165" i="82"/>
  <c r="S165" i="82"/>
  <c r="R165" i="82"/>
  <c r="T164" i="82"/>
  <c r="S164" i="82"/>
  <c r="R164" i="82"/>
  <c r="T163" i="82"/>
  <c r="S163" i="82"/>
  <c r="R163" i="82"/>
  <c r="T162" i="82"/>
  <c r="S162" i="82"/>
  <c r="R162" i="82"/>
  <c r="T161" i="82"/>
  <c r="S161" i="82"/>
  <c r="R161" i="82"/>
  <c r="T160" i="82"/>
  <c r="S160" i="82"/>
  <c r="R160" i="82"/>
  <c r="T159" i="82"/>
  <c r="S159" i="82"/>
  <c r="R159" i="82"/>
  <c r="T158" i="82"/>
  <c r="S158" i="82"/>
  <c r="R158" i="82"/>
  <c r="T157" i="82"/>
  <c r="S157" i="82"/>
  <c r="R157" i="82"/>
  <c r="T156" i="82"/>
  <c r="S156" i="82"/>
  <c r="R156" i="82"/>
  <c r="T155" i="82"/>
  <c r="S155" i="82"/>
  <c r="R155" i="82"/>
  <c r="T154" i="82"/>
  <c r="S154" i="82"/>
  <c r="R154" i="82"/>
  <c r="T153" i="82"/>
  <c r="S153" i="82"/>
  <c r="R153" i="82"/>
  <c r="T152" i="82"/>
  <c r="S152" i="82"/>
  <c r="R152" i="82"/>
  <c r="T151" i="82"/>
  <c r="S151" i="82"/>
  <c r="R151" i="82"/>
  <c r="T150" i="82"/>
  <c r="S150" i="82"/>
  <c r="R150" i="82"/>
  <c r="T149" i="82"/>
  <c r="S149" i="82"/>
  <c r="R149" i="82"/>
  <c r="T148" i="82"/>
  <c r="S148" i="82"/>
  <c r="R148" i="82"/>
  <c r="T147" i="82"/>
  <c r="S147" i="82"/>
  <c r="R147" i="82"/>
  <c r="T146" i="82"/>
  <c r="S146" i="82"/>
  <c r="R146" i="82"/>
  <c r="T145" i="82"/>
  <c r="S145" i="82"/>
  <c r="R145" i="82"/>
  <c r="T144" i="82"/>
  <c r="S144" i="82"/>
  <c r="R144" i="82"/>
  <c r="T143" i="82"/>
  <c r="S143" i="82"/>
  <c r="R143" i="82"/>
  <c r="T142" i="82"/>
  <c r="S142" i="82"/>
  <c r="R142" i="82"/>
  <c r="T141" i="82"/>
  <c r="S141" i="82"/>
  <c r="R141" i="82"/>
  <c r="T140" i="82"/>
  <c r="S140" i="82"/>
  <c r="R140" i="82"/>
  <c r="T139" i="82"/>
  <c r="S139" i="82"/>
  <c r="R139" i="82"/>
  <c r="T138" i="82"/>
  <c r="S138" i="82"/>
  <c r="R138" i="82"/>
  <c r="T137" i="82"/>
  <c r="S137" i="82"/>
  <c r="R137" i="82"/>
  <c r="T136" i="82"/>
  <c r="S136" i="82"/>
  <c r="R136" i="82"/>
  <c r="T135" i="82"/>
  <c r="S135" i="82"/>
  <c r="R135" i="82"/>
  <c r="T134" i="82"/>
  <c r="S134" i="82"/>
  <c r="R134" i="82"/>
  <c r="T133" i="82"/>
  <c r="S133" i="82"/>
  <c r="R133" i="82"/>
  <c r="T132" i="82"/>
  <c r="S132" i="82"/>
  <c r="R132" i="82"/>
  <c r="T131" i="82"/>
  <c r="S131" i="82"/>
  <c r="R131" i="82"/>
  <c r="T130" i="82"/>
  <c r="S130" i="82"/>
  <c r="R130" i="82"/>
  <c r="T129" i="82"/>
  <c r="S129" i="82"/>
  <c r="R129" i="82"/>
  <c r="T128" i="82"/>
  <c r="S128" i="82"/>
  <c r="R128" i="82"/>
  <c r="T127" i="82"/>
  <c r="S127" i="82"/>
  <c r="R127" i="82"/>
  <c r="T126" i="82"/>
  <c r="S126" i="82"/>
  <c r="R126" i="82"/>
  <c r="T125" i="82"/>
  <c r="S125" i="82"/>
  <c r="R125" i="82"/>
  <c r="T124" i="82"/>
  <c r="S124" i="82"/>
  <c r="R124" i="82"/>
  <c r="T123" i="82"/>
  <c r="S123" i="82"/>
  <c r="R123" i="82"/>
  <c r="T122" i="82"/>
  <c r="S122" i="82"/>
  <c r="R122" i="82"/>
  <c r="T121" i="82"/>
  <c r="S121" i="82"/>
  <c r="R121" i="82"/>
  <c r="T120" i="82"/>
  <c r="S120" i="82"/>
  <c r="R120" i="82"/>
  <c r="T119" i="82"/>
  <c r="S119" i="82"/>
  <c r="R119" i="82"/>
  <c r="T118" i="82"/>
  <c r="S118" i="82"/>
  <c r="R118" i="82"/>
  <c r="T117" i="82"/>
  <c r="S117" i="82"/>
  <c r="R117" i="82"/>
  <c r="T116" i="82"/>
  <c r="S116" i="82"/>
  <c r="R116" i="82"/>
  <c r="T115" i="82"/>
  <c r="S115" i="82"/>
  <c r="R115" i="82"/>
  <c r="T114" i="82"/>
  <c r="S114" i="82"/>
  <c r="R114" i="82"/>
  <c r="T113" i="82"/>
  <c r="S113" i="82"/>
  <c r="R113" i="82"/>
  <c r="T112" i="82"/>
  <c r="S112" i="82"/>
  <c r="R112" i="82"/>
  <c r="T111" i="82"/>
  <c r="S111" i="82"/>
  <c r="R111" i="82"/>
  <c r="T110" i="82"/>
  <c r="S110" i="82"/>
  <c r="R110" i="82"/>
  <c r="T109" i="82"/>
  <c r="S109" i="82"/>
  <c r="R109" i="82"/>
  <c r="T108" i="82"/>
  <c r="S108" i="82"/>
  <c r="R108" i="82"/>
  <c r="T107" i="82"/>
  <c r="S107" i="82"/>
  <c r="R107" i="82"/>
  <c r="T106" i="82"/>
  <c r="S106" i="82"/>
  <c r="R106" i="82"/>
  <c r="T105" i="82"/>
  <c r="S105" i="82"/>
  <c r="R105" i="82"/>
  <c r="T104" i="82"/>
  <c r="S104" i="82"/>
  <c r="R104" i="82"/>
  <c r="T103" i="82"/>
  <c r="S103" i="82"/>
  <c r="R103" i="82"/>
  <c r="T102" i="82"/>
  <c r="S102" i="82"/>
  <c r="R102" i="82"/>
  <c r="T101" i="82"/>
  <c r="S101" i="82"/>
  <c r="R101" i="82"/>
  <c r="T100" i="82"/>
  <c r="S100" i="82"/>
  <c r="R100" i="82"/>
  <c r="T99" i="82"/>
  <c r="S99" i="82"/>
  <c r="R99" i="82"/>
  <c r="T98" i="82"/>
  <c r="S98" i="82"/>
  <c r="R98" i="82"/>
  <c r="T97" i="82"/>
  <c r="S97" i="82"/>
  <c r="R97" i="82"/>
  <c r="T96" i="82"/>
  <c r="S96" i="82"/>
  <c r="R96" i="82"/>
  <c r="T95" i="82"/>
  <c r="S95" i="82"/>
  <c r="R95" i="82"/>
  <c r="T94" i="82"/>
  <c r="S94" i="82"/>
  <c r="R94" i="82"/>
  <c r="T93" i="82"/>
  <c r="S93" i="82"/>
  <c r="R93" i="82"/>
  <c r="T92" i="82"/>
  <c r="S92" i="82"/>
  <c r="R92" i="82"/>
  <c r="T91" i="82"/>
  <c r="S91" i="82"/>
  <c r="R91" i="82"/>
  <c r="T90" i="82"/>
  <c r="S90" i="82"/>
  <c r="R90" i="82"/>
  <c r="T89" i="82"/>
  <c r="S89" i="82"/>
  <c r="R89" i="82"/>
  <c r="T88" i="82"/>
  <c r="S88" i="82"/>
  <c r="R88" i="82"/>
  <c r="T87" i="82"/>
  <c r="S87" i="82"/>
  <c r="R87" i="82"/>
  <c r="T86" i="82"/>
  <c r="S86" i="82"/>
  <c r="R86" i="82"/>
  <c r="T85" i="82"/>
  <c r="S85" i="82"/>
  <c r="R85" i="82"/>
  <c r="T84" i="82"/>
  <c r="S84" i="82"/>
  <c r="R84" i="82"/>
  <c r="T83" i="82"/>
  <c r="S83" i="82"/>
  <c r="R83" i="82"/>
  <c r="T82" i="82"/>
  <c r="S82" i="82"/>
  <c r="R82" i="82"/>
  <c r="T81" i="82"/>
  <c r="S81" i="82"/>
  <c r="R81" i="82"/>
  <c r="T80" i="82"/>
  <c r="S80" i="82"/>
  <c r="R80" i="82"/>
  <c r="T79" i="82"/>
  <c r="S79" i="82"/>
  <c r="R79" i="82"/>
  <c r="T78" i="82"/>
  <c r="S78" i="82"/>
  <c r="R78" i="82"/>
  <c r="T77" i="82"/>
  <c r="S77" i="82"/>
  <c r="R77" i="82"/>
  <c r="T76" i="82"/>
  <c r="S76" i="82"/>
  <c r="R76" i="82"/>
  <c r="T75" i="82"/>
  <c r="S75" i="82"/>
  <c r="R75" i="82"/>
  <c r="T74" i="82"/>
  <c r="S74" i="82"/>
  <c r="R74" i="82"/>
  <c r="T73" i="82"/>
  <c r="S73" i="82"/>
  <c r="R73" i="82"/>
  <c r="T72" i="82"/>
  <c r="S72" i="82"/>
  <c r="R72" i="82"/>
  <c r="T71" i="82"/>
  <c r="S71" i="82"/>
  <c r="R71" i="82"/>
  <c r="T70" i="82"/>
  <c r="S70" i="82"/>
  <c r="R70" i="82"/>
  <c r="T69" i="82"/>
  <c r="S69" i="82"/>
  <c r="R69" i="82"/>
  <c r="T68" i="82"/>
  <c r="S68" i="82"/>
  <c r="R68" i="82"/>
  <c r="T67" i="82"/>
  <c r="S67" i="82"/>
  <c r="R67" i="82"/>
  <c r="T66" i="82"/>
  <c r="S66" i="82"/>
  <c r="R66" i="82"/>
  <c r="T65" i="82"/>
  <c r="S65" i="82"/>
  <c r="R65" i="82"/>
  <c r="T64" i="82"/>
  <c r="S64" i="82"/>
  <c r="R64" i="82"/>
  <c r="T63" i="82"/>
  <c r="S63" i="82"/>
  <c r="R63" i="82"/>
  <c r="T62" i="82"/>
  <c r="S62" i="82"/>
  <c r="R62" i="82"/>
  <c r="T61" i="82"/>
  <c r="S61" i="82"/>
  <c r="R61" i="82"/>
  <c r="T60" i="82"/>
  <c r="S60" i="82"/>
  <c r="R60" i="82"/>
  <c r="T59" i="82"/>
  <c r="S59" i="82"/>
  <c r="R59" i="82"/>
  <c r="T58" i="82"/>
  <c r="S58" i="82"/>
  <c r="R58" i="82"/>
  <c r="T57" i="82"/>
  <c r="S57" i="82"/>
  <c r="R57" i="82"/>
  <c r="T56" i="82"/>
  <c r="S56" i="82"/>
  <c r="R56" i="82"/>
  <c r="T55" i="82"/>
  <c r="S55" i="82"/>
  <c r="R55" i="82"/>
  <c r="T54" i="82"/>
  <c r="S54" i="82"/>
  <c r="R54" i="82"/>
  <c r="T53" i="82"/>
  <c r="S53" i="82"/>
  <c r="R53" i="82"/>
  <c r="T52" i="82"/>
  <c r="S52" i="82"/>
  <c r="R52" i="82"/>
  <c r="T51" i="82"/>
  <c r="S51" i="82"/>
  <c r="R51" i="82"/>
  <c r="T50" i="82"/>
  <c r="S50" i="82"/>
  <c r="R50" i="82"/>
  <c r="T49" i="82"/>
  <c r="S49" i="82"/>
  <c r="R49" i="82"/>
  <c r="T48" i="82"/>
  <c r="S48" i="82"/>
  <c r="R48" i="82"/>
  <c r="T47" i="82"/>
  <c r="S47" i="82"/>
  <c r="R47" i="82"/>
  <c r="T46" i="82"/>
  <c r="S46" i="82"/>
  <c r="R46" i="82"/>
  <c r="T45" i="82"/>
  <c r="S45" i="82"/>
  <c r="R45" i="82"/>
  <c r="T44" i="82"/>
  <c r="S44" i="82"/>
  <c r="R44" i="82"/>
  <c r="T43" i="82"/>
  <c r="S43" i="82"/>
  <c r="R43" i="82"/>
  <c r="T42" i="82"/>
  <c r="S42" i="82"/>
  <c r="R42" i="82"/>
  <c r="T41" i="82"/>
  <c r="S41" i="82"/>
  <c r="R41" i="82"/>
  <c r="T40" i="82"/>
  <c r="S40" i="82"/>
  <c r="R40" i="82"/>
  <c r="T39" i="82"/>
  <c r="S39" i="82"/>
  <c r="R39" i="82"/>
  <c r="T38" i="82"/>
  <c r="S38" i="82"/>
  <c r="R38" i="82"/>
  <c r="T37" i="82"/>
  <c r="S37" i="82"/>
  <c r="R37" i="82"/>
  <c r="T36" i="82"/>
  <c r="S36" i="82"/>
  <c r="R36" i="82"/>
  <c r="T35" i="82"/>
  <c r="S35" i="82"/>
  <c r="R35" i="82"/>
  <c r="T34" i="82"/>
  <c r="S34" i="82"/>
  <c r="R34" i="82"/>
  <c r="T33" i="82"/>
  <c r="S33" i="82"/>
  <c r="R33" i="82"/>
  <c r="T32" i="82"/>
  <c r="S32" i="82"/>
  <c r="R32" i="82"/>
  <c r="T31" i="82"/>
  <c r="S31" i="82"/>
  <c r="R31" i="82"/>
  <c r="T30" i="82"/>
  <c r="S30" i="82"/>
  <c r="R30" i="82"/>
  <c r="T29" i="82"/>
  <c r="S29" i="82"/>
  <c r="R29" i="82"/>
  <c r="T28" i="82"/>
  <c r="S28" i="82"/>
  <c r="R28" i="82"/>
  <c r="T27" i="82"/>
  <c r="S27" i="82"/>
  <c r="R27" i="82"/>
  <c r="T26" i="82"/>
  <c r="S26" i="82"/>
  <c r="R26" i="82"/>
  <c r="T25" i="82"/>
  <c r="S25" i="82"/>
  <c r="R25" i="82"/>
  <c r="T24" i="82"/>
  <c r="S24" i="82"/>
  <c r="R24" i="82"/>
  <c r="T23" i="82"/>
  <c r="S23" i="82"/>
  <c r="R23" i="82"/>
  <c r="T22" i="82"/>
  <c r="S22" i="82"/>
  <c r="R22" i="82"/>
  <c r="T21" i="82"/>
  <c r="S21" i="82"/>
  <c r="R21" i="82"/>
  <c r="T20" i="82"/>
  <c r="S20" i="82"/>
  <c r="R20" i="82"/>
  <c r="T19" i="82"/>
  <c r="S19" i="82"/>
  <c r="R19" i="82"/>
  <c r="T18" i="82"/>
  <c r="S18" i="82"/>
  <c r="R18" i="82"/>
  <c r="T17" i="82"/>
  <c r="S17" i="82"/>
  <c r="R17" i="82"/>
  <c r="T16" i="82"/>
  <c r="S16" i="82"/>
  <c r="R16" i="82"/>
  <c r="T15" i="82"/>
  <c r="S15" i="82"/>
  <c r="R15" i="82"/>
  <c r="T14" i="82"/>
  <c r="S14" i="82"/>
  <c r="R14" i="82"/>
  <c r="T13" i="82"/>
  <c r="S13" i="82"/>
  <c r="R13" i="82"/>
  <c r="T12" i="82"/>
  <c r="S12" i="82"/>
  <c r="R12" i="82"/>
  <c r="T11" i="82"/>
  <c r="S11" i="82"/>
  <c r="R11" i="82"/>
  <c r="T10" i="82"/>
  <c r="S10" i="82"/>
  <c r="R10" i="82"/>
  <c r="T9" i="82"/>
  <c r="S9" i="82"/>
  <c r="R9" i="82"/>
  <c r="T8" i="82"/>
  <c r="S8" i="82"/>
  <c r="R8" i="82"/>
  <c r="T7" i="82"/>
  <c r="S7" i="82"/>
  <c r="R7" i="82"/>
  <c r="T6" i="82"/>
  <c r="S6" i="82"/>
  <c r="R6" i="82"/>
  <c r="T5" i="82"/>
  <c r="S5" i="82"/>
  <c r="R5" i="82"/>
  <c r="T4" i="82"/>
  <c r="S4" i="82"/>
  <c r="R4" i="82"/>
  <c r="T3" i="82"/>
  <c r="S3" i="82"/>
  <c r="R3" i="82"/>
  <c r="T2" i="82"/>
  <c r="S2" i="82"/>
  <c r="R2" i="82"/>
  <c r="T220" i="81"/>
  <c r="T219" i="81"/>
  <c r="T218" i="81"/>
  <c r="T217" i="81"/>
  <c r="T216" i="81"/>
  <c r="T215" i="81"/>
  <c r="T214" i="81"/>
  <c r="T213" i="81"/>
  <c r="T212" i="81"/>
  <c r="T211" i="81"/>
  <c r="T210" i="81"/>
  <c r="T209" i="81"/>
  <c r="T208" i="81"/>
  <c r="T207" i="81"/>
  <c r="T206" i="81"/>
  <c r="T205" i="81"/>
  <c r="T204" i="81"/>
  <c r="T203" i="81"/>
  <c r="T202" i="81"/>
  <c r="T201" i="81"/>
  <c r="T200" i="81"/>
  <c r="T199" i="81"/>
  <c r="T198" i="81"/>
  <c r="T197" i="81"/>
  <c r="T196" i="81"/>
  <c r="T195" i="81"/>
  <c r="T194" i="81"/>
  <c r="T193" i="81"/>
  <c r="T192" i="81"/>
  <c r="T191" i="81"/>
  <c r="T190" i="81"/>
  <c r="T189" i="81"/>
  <c r="T188" i="81"/>
  <c r="T187" i="81"/>
  <c r="T186" i="81"/>
  <c r="T185" i="81"/>
  <c r="T184" i="81"/>
  <c r="T183" i="81"/>
  <c r="T182" i="81"/>
  <c r="T181" i="81"/>
  <c r="T180" i="81"/>
  <c r="T179" i="81"/>
  <c r="T178" i="81"/>
  <c r="T177" i="81"/>
  <c r="T176" i="81"/>
  <c r="T175" i="81"/>
  <c r="T174" i="81"/>
  <c r="T173" i="81"/>
  <c r="T172" i="81"/>
  <c r="T171" i="81"/>
  <c r="T170" i="81"/>
  <c r="T169" i="81"/>
  <c r="T168" i="81"/>
  <c r="T167" i="81"/>
  <c r="T166" i="81"/>
  <c r="T165" i="81"/>
  <c r="T164" i="81"/>
  <c r="T163" i="81"/>
  <c r="T162" i="81"/>
  <c r="T161" i="81"/>
  <c r="T160" i="81"/>
  <c r="T159" i="81"/>
  <c r="T158" i="81"/>
  <c r="T157" i="81"/>
  <c r="T156" i="81"/>
  <c r="T155" i="81"/>
  <c r="T154" i="81"/>
  <c r="T153" i="81"/>
  <c r="T152" i="81"/>
  <c r="T151" i="81"/>
  <c r="T150" i="81"/>
  <c r="T149" i="81"/>
  <c r="T148" i="81"/>
  <c r="T147" i="81"/>
  <c r="T146" i="81"/>
  <c r="T145" i="81"/>
  <c r="T144" i="81"/>
  <c r="T143" i="81"/>
  <c r="T142" i="81"/>
  <c r="T141" i="81"/>
  <c r="T140" i="81"/>
  <c r="T139" i="81"/>
  <c r="T138" i="81"/>
  <c r="T137" i="81"/>
  <c r="T136" i="81"/>
  <c r="T135" i="81"/>
  <c r="T134" i="81"/>
  <c r="T133" i="81"/>
  <c r="T132" i="81"/>
  <c r="T131" i="81"/>
  <c r="T130" i="81"/>
  <c r="T129" i="81"/>
  <c r="T128" i="81"/>
  <c r="T127" i="81"/>
  <c r="T126" i="81"/>
  <c r="T125" i="81"/>
  <c r="T124" i="81"/>
  <c r="T123" i="81"/>
  <c r="T122" i="81"/>
  <c r="T121" i="81"/>
  <c r="T120" i="81"/>
  <c r="T119" i="81"/>
  <c r="T118" i="81"/>
  <c r="T117" i="81"/>
  <c r="T116" i="81"/>
  <c r="T115" i="81"/>
  <c r="T114" i="81"/>
  <c r="T113" i="81"/>
  <c r="T112" i="81"/>
  <c r="T111" i="81"/>
  <c r="T110" i="81"/>
  <c r="T109" i="81"/>
  <c r="T108" i="81"/>
  <c r="T107" i="81"/>
  <c r="T106" i="81"/>
  <c r="T105" i="81"/>
  <c r="T104" i="81"/>
  <c r="T103" i="81"/>
  <c r="T102" i="81"/>
  <c r="T101" i="81"/>
  <c r="T100" i="81"/>
  <c r="T99" i="81"/>
  <c r="T98" i="81"/>
  <c r="T97" i="81"/>
  <c r="T96" i="81"/>
  <c r="T95" i="81"/>
  <c r="T94" i="81"/>
  <c r="T93" i="81"/>
  <c r="T92" i="81"/>
  <c r="T91" i="81"/>
  <c r="T90" i="81"/>
  <c r="T89" i="81"/>
  <c r="T88" i="81"/>
  <c r="T87" i="81"/>
  <c r="T86" i="81"/>
  <c r="T85" i="81"/>
  <c r="T84" i="81"/>
  <c r="T83" i="81"/>
  <c r="T82" i="81"/>
  <c r="T81" i="81"/>
  <c r="T80" i="81"/>
  <c r="T79" i="81"/>
  <c r="T78" i="81"/>
  <c r="T77" i="81"/>
  <c r="T76" i="81"/>
  <c r="T75" i="81"/>
  <c r="T74" i="81"/>
  <c r="T73" i="81"/>
  <c r="T72" i="81"/>
  <c r="T71" i="81"/>
  <c r="T70" i="81"/>
  <c r="T69" i="81"/>
  <c r="T68" i="81"/>
  <c r="T67" i="81"/>
  <c r="T66" i="81"/>
  <c r="T65" i="81"/>
  <c r="T64" i="81"/>
  <c r="T63" i="81"/>
  <c r="T62" i="81"/>
  <c r="T61" i="81"/>
  <c r="T60" i="81"/>
  <c r="T59" i="81"/>
  <c r="T58" i="81"/>
  <c r="T57" i="81"/>
  <c r="T56" i="81"/>
  <c r="T55" i="81"/>
  <c r="T54" i="81"/>
  <c r="T53" i="81"/>
  <c r="T52" i="81"/>
  <c r="T51" i="81"/>
  <c r="T50" i="81"/>
  <c r="T49" i="81"/>
  <c r="T48" i="81"/>
  <c r="T47" i="81"/>
  <c r="T46" i="81"/>
  <c r="T45" i="81"/>
  <c r="T44" i="81"/>
  <c r="T43" i="81"/>
  <c r="T42" i="81"/>
  <c r="T41" i="81"/>
  <c r="T40" i="81"/>
  <c r="T39" i="81"/>
  <c r="T38" i="81"/>
  <c r="T37" i="81"/>
  <c r="T36" i="81"/>
  <c r="T35" i="81"/>
  <c r="T34" i="81"/>
  <c r="T33" i="81"/>
  <c r="T32" i="81"/>
  <c r="T31" i="81"/>
  <c r="T30" i="81"/>
  <c r="T29" i="81"/>
  <c r="T28" i="81"/>
  <c r="T27" i="81"/>
  <c r="T26" i="81"/>
  <c r="T25" i="81"/>
  <c r="T24" i="81"/>
  <c r="T23" i="81"/>
  <c r="T22" i="81"/>
  <c r="T21" i="81"/>
  <c r="T20" i="81"/>
  <c r="T19" i="81"/>
  <c r="T18" i="81"/>
  <c r="T17" i="81"/>
  <c r="T16" i="81"/>
  <c r="T15" i="81"/>
  <c r="T14" i="81"/>
  <c r="T13" i="81"/>
  <c r="T12" i="81"/>
  <c r="T11" i="81"/>
  <c r="T10" i="81"/>
  <c r="T9" i="81"/>
  <c r="T8" i="81"/>
  <c r="T7" i="81"/>
  <c r="T6" i="81"/>
  <c r="T5" i="81"/>
  <c r="T4" i="81"/>
  <c r="T3" i="81"/>
  <c r="T220" i="80"/>
  <c r="T219" i="80"/>
  <c r="T218" i="80"/>
  <c r="T217" i="80"/>
  <c r="T216" i="80"/>
  <c r="T215" i="80"/>
  <c r="T214" i="80"/>
  <c r="T213" i="80"/>
  <c r="T212" i="80"/>
  <c r="T211" i="80"/>
  <c r="T210" i="80"/>
  <c r="T209" i="80"/>
  <c r="T208" i="80"/>
  <c r="T207" i="80"/>
  <c r="T206" i="80"/>
  <c r="T205" i="80"/>
  <c r="T204" i="80"/>
  <c r="T203" i="80"/>
  <c r="T202" i="80"/>
  <c r="T201" i="80"/>
  <c r="T200" i="80"/>
  <c r="T199" i="80"/>
  <c r="T198" i="80"/>
  <c r="T197" i="80"/>
  <c r="T196" i="80"/>
  <c r="T195" i="80"/>
  <c r="T194" i="80"/>
  <c r="T193" i="80"/>
  <c r="T192" i="80"/>
  <c r="T191" i="80"/>
  <c r="T190" i="80"/>
  <c r="T189" i="80"/>
  <c r="T188" i="80"/>
  <c r="T187" i="80"/>
  <c r="T186" i="80"/>
  <c r="T185" i="80"/>
  <c r="T184" i="80"/>
  <c r="T183" i="80"/>
  <c r="T182" i="80"/>
  <c r="T181" i="80"/>
  <c r="T180" i="80"/>
  <c r="T179" i="80"/>
  <c r="T178" i="80"/>
  <c r="T177" i="80"/>
  <c r="T176" i="80"/>
  <c r="T175" i="80"/>
  <c r="T174" i="80"/>
  <c r="T173" i="80"/>
  <c r="T172" i="80"/>
  <c r="T171" i="80"/>
  <c r="T170" i="80"/>
  <c r="T169" i="80"/>
  <c r="T168" i="80"/>
  <c r="T167" i="80"/>
  <c r="T166" i="80"/>
  <c r="T165" i="80"/>
  <c r="T164" i="80"/>
  <c r="T163" i="80"/>
  <c r="T162" i="80"/>
  <c r="T161" i="80"/>
  <c r="T160" i="80"/>
  <c r="T159" i="80"/>
  <c r="T158" i="80"/>
  <c r="T157" i="80"/>
  <c r="T156" i="80"/>
  <c r="T155" i="80"/>
  <c r="T154" i="80"/>
  <c r="T153" i="80"/>
  <c r="T152" i="80"/>
  <c r="T151" i="80"/>
  <c r="T150" i="80"/>
  <c r="T149" i="80"/>
  <c r="T148" i="80"/>
  <c r="T147" i="80"/>
  <c r="T146" i="80"/>
  <c r="T145" i="80"/>
  <c r="T144" i="80"/>
  <c r="T143" i="80"/>
  <c r="T142" i="80"/>
  <c r="T141" i="80"/>
  <c r="T140" i="80"/>
  <c r="T139" i="80"/>
  <c r="T138" i="80"/>
  <c r="T137" i="80"/>
  <c r="T136" i="80"/>
  <c r="T135" i="80"/>
  <c r="T134" i="80"/>
  <c r="T133" i="80"/>
  <c r="T132" i="80"/>
  <c r="T131" i="80"/>
  <c r="T130" i="80"/>
  <c r="T129" i="80"/>
  <c r="T128" i="80"/>
  <c r="T127" i="80"/>
  <c r="T126" i="80"/>
  <c r="T125" i="80"/>
  <c r="T124" i="80"/>
  <c r="T123" i="80"/>
  <c r="T122" i="80"/>
  <c r="T121" i="80"/>
  <c r="T120" i="80"/>
  <c r="T119" i="80"/>
  <c r="T118" i="80"/>
  <c r="T117" i="80"/>
  <c r="T116" i="80"/>
  <c r="T115" i="80"/>
  <c r="T114" i="80"/>
  <c r="T113" i="80"/>
  <c r="T112" i="80"/>
  <c r="T111" i="80"/>
  <c r="T110" i="80"/>
  <c r="T109" i="80"/>
  <c r="T108" i="80"/>
  <c r="T107" i="80"/>
  <c r="T106" i="80"/>
  <c r="T105" i="80"/>
  <c r="T104" i="80"/>
  <c r="T103" i="80"/>
  <c r="T102" i="80"/>
  <c r="T101" i="80"/>
  <c r="T100" i="80"/>
  <c r="T99" i="80"/>
  <c r="T98" i="80"/>
  <c r="T97" i="80"/>
  <c r="T96" i="80"/>
  <c r="T95" i="80"/>
  <c r="T94" i="80"/>
  <c r="T93" i="80"/>
  <c r="T92" i="80"/>
  <c r="T91" i="80"/>
  <c r="T90" i="80"/>
  <c r="T89" i="80"/>
  <c r="T88" i="80"/>
  <c r="T87" i="80"/>
  <c r="T86" i="80"/>
  <c r="T85" i="80"/>
  <c r="T84" i="80"/>
  <c r="T83" i="80"/>
  <c r="T82" i="80"/>
  <c r="T81" i="80"/>
  <c r="T80" i="80"/>
  <c r="T79" i="80"/>
  <c r="T78" i="80"/>
  <c r="T77" i="80"/>
  <c r="T76" i="80"/>
  <c r="T75" i="80"/>
  <c r="T74" i="80"/>
  <c r="T73" i="80"/>
  <c r="T72" i="80"/>
  <c r="T71" i="80"/>
  <c r="T70" i="80"/>
  <c r="T69" i="80"/>
  <c r="T68" i="80"/>
  <c r="T67" i="80"/>
  <c r="T66" i="80"/>
  <c r="T65" i="80"/>
  <c r="T64" i="80"/>
  <c r="T63" i="80"/>
  <c r="T62" i="80"/>
  <c r="T61" i="80"/>
  <c r="T60" i="80"/>
  <c r="T59" i="80"/>
  <c r="T58" i="80"/>
  <c r="T57" i="80"/>
  <c r="T56" i="80"/>
  <c r="T55" i="80"/>
  <c r="T54" i="80"/>
  <c r="T53" i="80"/>
  <c r="T52" i="80"/>
  <c r="T51" i="80"/>
  <c r="T50" i="80"/>
  <c r="T49" i="80"/>
  <c r="T48" i="80"/>
  <c r="T47" i="80"/>
  <c r="T46" i="80"/>
  <c r="T45" i="80"/>
  <c r="T44" i="80"/>
  <c r="T43" i="80"/>
  <c r="T42" i="80"/>
  <c r="T41" i="80"/>
  <c r="T40" i="80"/>
  <c r="T39" i="80"/>
  <c r="T38" i="80"/>
  <c r="T37" i="80"/>
  <c r="T36" i="80"/>
  <c r="T35" i="80"/>
  <c r="T34" i="80"/>
  <c r="T33" i="80"/>
  <c r="T32" i="80"/>
  <c r="T31" i="80"/>
  <c r="T30" i="80"/>
  <c r="T29" i="80"/>
  <c r="T28" i="80"/>
  <c r="T27" i="80"/>
  <c r="T26" i="80"/>
  <c r="T25" i="80"/>
  <c r="T24" i="80"/>
  <c r="T23" i="80"/>
  <c r="T22" i="80"/>
  <c r="T21" i="80"/>
  <c r="T20" i="80"/>
  <c r="T19" i="80"/>
  <c r="T18" i="80"/>
  <c r="T17" i="80"/>
  <c r="T16" i="80"/>
  <c r="T15" i="80"/>
  <c r="T14" i="80"/>
  <c r="T13" i="80"/>
  <c r="T12" i="80"/>
  <c r="T11" i="80"/>
  <c r="T10" i="80"/>
  <c r="T9" i="80"/>
  <c r="T8" i="80"/>
  <c r="T7" i="80"/>
  <c r="T6" i="80"/>
  <c r="T5" i="80"/>
  <c r="T4" i="80"/>
  <c r="T3" i="80"/>
  <c r="T220" i="79"/>
  <c r="T219" i="79"/>
  <c r="T218" i="79"/>
  <c r="T217" i="79"/>
  <c r="T216" i="79"/>
  <c r="T215" i="79"/>
  <c r="T214" i="79"/>
  <c r="T213" i="79"/>
  <c r="T212" i="79"/>
  <c r="T211" i="79"/>
  <c r="T210" i="79"/>
  <c r="T209" i="79"/>
  <c r="T208" i="79"/>
  <c r="T207" i="79"/>
  <c r="T206" i="79"/>
  <c r="T205" i="79"/>
  <c r="T204" i="79"/>
  <c r="T203" i="79"/>
  <c r="T202" i="79"/>
  <c r="T201" i="79"/>
  <c r="T200" i="79"/>
  <c r="T199" i="79"/>
  <c r="T198" i="79"/>
  <c r="T197" i="79"/>
  <c r="T196" i="79"/>
  <c r="T195" i="79"/>
  <c r="T194" i="79"/>
  <c r="T193" i="79"/>
  <c r="T192" i="79"/>
  <c r="T191" i="79"/>
  <c r="T190" i="79"/>
  <c r="T189" i="79"/>
  <c r="T188" i="79"/>
  <c r="T187" i="79"/>
  <c r="T186" i="79"/>
  <c r="T185" i="79"/>
  <c r="T184" i="79"/>
  <c r="T183" i="79"/>
  <c r="T182" i="79"/>
  <c r="T181" i="79"/>
  <c r="T180" i="79"/>
  <c r="T179" i="79"/>
  <c r="T178" i="79"/>
  <c r="T177" i="79"/>
  <c r="T176" i="79"/>
  <c r="T175" i="79"/>
  <c r="T174" i="79"/>
  <c r="T173" i="79"/>
  <c r="T172" i="79"/>
  <c r="T171" i="79"/>
  <c r="T170" i="79"/>
  <c r="T169" i="79"/>
  <c r="T168" i="79"/>
  <c r="T167" i="79"/>
  <c r="T166" i="79"/>
  <c r="T165" i="79"/>
  <c r="T164" i="79"/>
  <c r="T163" i="79"/>
  <c r="T162" i="79"/>
  <c r="T161" i="79"/>
  <c r="T160" i="79"/>
  <c r="T159" i="79"/>
  <c r="T158" i="79"/>
  <c r="T157" i="79"/>
  <c r="T156" i="79"/>
  <c r="T155" i="79"/>
  <c r="T154" i="79"/>
  <c r="T153" i="79"/>
  <c r="T152" i="79"/>
  <c r="T151" i="79"/>
  <c r="T150" i="79"/>
  <c r="T149" i="79"/>
  <c r="T148" i="79"/>
  <c r="T147" i="79"/>
  <c r="T146" i="79"/>
  <c r="T145" i="79"/>
  <c r="T144" i="79"/>
  <c r="T143" i="79"/>
  <c r="T142" i="79"/>
  <c r="T141" i="79"/>
  <c r="T140" i="79"/>
  <c r="T139" i="79"/>
  <c r="T138" i="79"/>
  <c r="T137" i="79"/>
  <c r="T136" i="79"/>
  <c r="T135" i="79"/>
  <c r="T134" i="79"/>
  <c r="T133" i="79"/>
  <c r="T132" i="79"/>
  <c r="T131" i="79"/>
  <c r="T130" i="79"/>
  <c r="T129" i="79"/>
  <c r="T128" i="79"/>
  <c r="T127" i="79"/>
  <c r="T126" i="79"/>
  <c r="T125" i="79"/>
  <c r="T124" i="79"/>
  <c r="T123" i="79"/>
  <c r="T122" i="79"/>
  <c r="T121" i="79"/>
  <c r="T120" i="79"/>
  <c r="T119" i="79"/>
  <c r="T118" i="79"/>
  <c r="T117" i="79"/>
  <c r="T116" i="79"/>
  <c r="T115" i="79"/>
  <c r="T114" i="79"/>
  <c r="T113" i="79"/>
  <c r="T112" i="79"/>
  <c r="T111" i="79"/>
  <c r="T110" i="79"/>
  <c r="T109" i="79"/>
  <c r="T108" i="79"/>
  <c r="T107" i="79"/>
  <c r="T106" i="79"/>
  <c r="T105" i="79"/>
  <c r="T104" i="79"/>
  <c r="T103" i="79"/>
  <c r="T102" i="79"/>
  <c r="T101" i="79"/>
  <c r="T100" i="79"/>
  <c r="T99" i="79"/>
  <c r="T98" i="79"/>
  <c r="T97" i="79"/>
  <c r="T96" i="79"/>
  <c r="T95" i="79"/>
  <c r="T94" i="79"/>
  <c r="T93" i="79"/>
  <c r="T92" i="79"/>
  <c r="T91" i="79"/>
  <c r="T90" i="79"/>
  <c r="T89" i="79"/>
  <c r="T88" i="79"/>
  <c r="T87" i="79"/>
  <c r="T86" i="79"/>
  <c r="T85" i="79"/>
  <c r="T84" i="79"/>
  <c r="T83" i="79"/>
  <c r="T82" i="79"/>
  <c r="T81" i="79"/>
  <c r="T80" i="79"/>
  <c r="T79" i="79"/>
  <c r="T78" i="79"/>
  <c r="T77" i="79"/>
  <c r="T76" i="79"/>
  <c r="T75" i="79"/>
  <c r="T74" i="79"/>
  <c r="T73" i="79"/>
  <c r="T72" i="79"/>
  <c r="T71" i="79"/>
  <c r="T70" i="79"/>
  <c r="T69" i="79"/>
  <c r="T68" i="79"/>
  <c r="T67" i="79"/>
  <c r="T66" i="79"/>
  <c r="T65" i="79"/>
  <c r="T64" i="79"/>
  <c r="T63" i="79"/>
  <c r="T62" i="79"/>
  <c r="T61" i="79"/>
  <c r="T60" i="79"/>
  <c r="T59" i="79"/>
  <c r="T58" i="79"/>
  <c r="T57" i="79"/>
  <c r="T56" i="79"/>
  <c r="T55" i="79"/>
  <c r="T54" i="79"/>
  <c r="T53" i="79"/>
  <c r="T52" i="79"/>
  <c r="T51" i="79"/>
  <c r="T50" i="79"/>
  <c r="T49" i="79"/>
  <c r="T48" i="79"/>
  <c r="T47" i="79"/>
  <c r="T46" i="79"/>
  <c r="T45" i="79"/>
  <c r="T44" i="79"/>
  <c r="T43" i="79"/>
  <c r="T42" i="79"/>
  <c r="T41" i="79"/>
  <c r="T40" i="79"/>
  <c r="T39" i="79"/>
  <c r="T38" i="79"/>
  <c r="T37" i="79"/>
  <c r="T36" i="79"/>
  <c r="T35" i="79"/>
  <c r="T34" i="79"/>
  <c r="T33" i="79"/>
  <c r="T32" i="79"/>
  <c r="T31" i="79"/>
  <c r="T30" i="79"/>
  <c r="T29" i="79"/>
  <c r="T28" i="79"/>
  <c r="T27" i="79"/>
  <c r="T26" i="79"/>
  <c r="T25" i="79"/>
  <c r="T24" i="79"/>
  <c r="T23" i="79"/>
  <c r="T22" i="79"/>
  <c r="T21" i="79"/>
  <c r="T20" i="79"/>
  <c r="T19" i="79"/>
  <c r="T18" i="79"/>
  <c r="T17" i="79"/>
  <c r="T16" i="79"/>
  <c r="T15" i="79"/>
  <c r="T14" i="79"/>
  <c r="T13" i="79"/>
  <c r="T12" i="79"/>
  <c r="T11" i="79"/>
  <c r="T10" i="79"/>
  <c r="T9" i="79"/>
  <c r="T8" i="79"/>
  <c r="T7" i="79"/>
  <c r="T6" i="79"/>
  <c r="T5" i="79"/>
  <c r="T4" i="79"/>
  <c r="T3" i="79"/>
  <c r="T220" i="78"/>
  <c r="T219" i="78"/>
  <c r="T218" i="78"/>
  <c r="T217" i="78"/>
  <c r="T216" i="78"/>
  <c r="T215" i="78"/>
  <c r="T214" i="78"/>
  <c r="T213" i="78"/>
  <c r="T212" i="78"/>
  <c r="T211" i="78"/>
  <c r="T210" i="78"/>
  <c r="T209" i="78"/>
  <c r="T208" i="78"/>
  <c r="T207" i="78"/>
  <c r="T206" i="78"/>
  <c r="T205" i="78"/>
  <c r="T204" i="78"/>
  <c r="T203" i="78"/>
  <c r="T202" i="78"/>
  <c r="T201" i="78"/>
  <c r="T200" i="78"/>
  <c r="T199" i="78"/>
  <c r="T198" i="78"/>
  <c r="T197" i="78"/>
  <c r="T196" i="78"/>
  <c r="T195" i="78"/>
  <c r="T194" i="78"/>
  <c r="T193" i="78"/>
  <c r="T192" i="78"/>
  <c r="T191" i="78"/>
  <c r="T190" i="78"/>
  <c r="T189" i="78"/>
  <c r="T188" i="78"/>
  <c r="T187" i="78"/>
  <c r="T186" i="78"/>
  <c r="T185" i="78"/>
  <c r="T184" i="78"/>
  <c r="T183" i="78"/>
  <c r="T182" i="78"/>
  <c r="T181" i="78"/>
  <c r="T180" i="78"/>
  <c r="T179" i="78"/>
  <c r="T178" i="78"/>
  <c r="T177" i="78"/>
  <c r="T176" i="78"/>
  <c r="T175" i="78"/>
  <c r="T174" i="78"/>
  <c r="T173" i="78"/>
  <c r="T172" i="78"/>
  <c r="T171" i="78"/>
  <c r="T170" i="78"/>
  <c r="T169" i="78"/>
  <c r="T168" i="78"/>
  <c r="T167" i="78"/>
  <c r="T166" i="78"/>
  <c r="T165" i="78"/>
  <c r="T164" i="78"/>
  <c r="T163" i="78"/>
  <c r="T162" i="78"/>
  <c r="T161" i="78"/>
  <c r="T160" i="78"/>
  <c r="T159" i="78"/>
  <c r="T158" i="78"/>
  <c r="T157" i="78"/>
  <c r="T156" i="78"/>
  <c r="T155" i="78"/>
  <c r="T154" i="78"/>
  <c r="T153" i="78"/>
  <c r="T152" i="78"/>
  <c r="T151" i="78"/>
  <c r="T150" i="78"/>
  <c r="T149" i="78"/>
  <c r="T148" i="78"/>
  <c r="T147" i="78"/>
  <c r="T146" i="78"/>
  <c r="T145" i="78"/>
  <c r="T144" i="78"/>
  <c r="T143" i="78"/>
  <c r="T142" i="78"/>
  <c r="T141" i="78"/>
  <c r="T140" i="78"/>
  <c r="T139" i="78"/>
  <c r="T138" i="78"/>
  <c r="T137" i="78"/>
  <c r="T136" i="78"/>
  <c r="T135" i="78"/>
  <c r="T134" i="78"/>
  <c r="T133" i="78"/>
  <c r="T132" i="78"/>
  <c r="T131" i="78"/>
  <c r="T130" i="78"/>
  <c r="T129" i="78"/>
  <c r="T128" i="78"/>
  <c r="T127" i="78"/>
  <c r="T126" i="78"/>
  <c r="T125" i="78"/>
  <c r="T124" i="78"/>
  <c r="T123" i="78"/>
  <c r="T122" i="78"/>
  <c r="T121" i="78"/>
  <c r="T120" i="78"/>
  <c r="T119" i="78"/>
  <c r="T118" i="78"/>
  <c r="T117" i="78"/>
  <c r="T116" i="78"/>
  <c r="T115" i="78"/>
  <c r="T114" i="78"/>
  <c r="T113" i="78"/>
  <c r="T112" i="78"/>
  <c r="T111" i="78"/>
  <c r="T110" i="78"/>
  <c r="T109" i="78"/>
  <c r="T108" i="78"/>
  <c r="T107" i="78"/>
  <c r="T106" i="78"/>
  <c r="T105" i="78"/>
  <c r="T104" i="78"/>
  <c r="T103" i="78"/>
  <c r="T102" i="78"/>
  <c r="T101" i="78"/>
  <c r="T100" i="78"/>
  <c r="T99" i="78"/>
  <c r="T98" i="78"/>
  <c r="T97" i="78"/>
  <c r="T96" i="78"/>
  <c r="T95" i="78"/>
  <c r="T94" i="78"/>
  <c r="T93" i="78"/>
  <c r="T92" i="78"/>
  <c r="T91" i="78"/>
  <c r="T90" i="78"/>
  <c r="T89" i="78"/>
  <c r="T88" i="78"/>
  <c r="T87" i="78"/>
  <c r="T86" i="78"/>
  <c r="T85" i="78"/>
  <c r="T84" i="78"/>
  <c r="T83" i="78"/>
  <c r="T82" i="78"/>
  <c r="T81" i="78"/>
  <c r="T80" i="78"/>
  <c r="T79" i="78"/>
  <c r="T78" i="78"/>
  <c r="T77" i="78"/>
  <c r="T76" i="78"/>
  <c r="T75" i="78"/>
  <c r="T74" i="78"/>
  <c r="T73" i="78"/>
  <c r="T72" i="78"/>
  <c r="T71" i="78"/>
  <c r="T70" i="78"/>
  <c r="T69" i="78"/>
  <c r="T68" i="78"/>
  <c r="T67" i="78"/>
  <c r="T66" i="78"/>
  <c r="T65" i="78"/>
  <c r="T64" i="78"/>
  <c r="T63" i="78"/>
  <c r="T62" i="78"/>
  <c r="T61" i="78"/>
  <c r="T60" i="78"/>
  <c r="T59" i="78"/>
  <c r="T58" i="78"/>
  <c r="T57" i="78"/>
  <c r="T56" i="78"/>
  <c r="T55" i="78"/>
  <c r="T54" i="78"/>
  <c r="T53" i="78"/>
  <c r="T52" i="78"/>
  <c r="T51" i="78"/>
  <c r="T50" i="78"/>
  <c r="T49" i="78"/>
  <c r="T48" i="78"/>
  <c r="T47" i="78"/>
  <c r="T46" i="78"/>
  <c r="T45" i="78"/>
  <c r="T44" i="78"/>
  <c r="T43" i="78"/>
  <c r="T42" i="78"/>
  <c r="T41" i="78"/>
  <c r="T40" i="78"/>
  <c r="T39" i="78"/>
  <c r="T38" i="78"/>
  <c r="T37" i="78"/>
  <c r="T36" i="78"/>
  <c r="T35" i="78"/>
  <c r="T34" i="78"/>
  <c r="T33" i="78"/>
  <c r="T32" i="78"/>
  <c r="T31" i="78"/>
  <c r="T30" i="78"/>
  <c r="T29" i="78"/>
  <c r="T28" i="78"/>
  <c r="T27" i="78"/>
  <c r="T26" i="78"/>
  <c r="T25" i="78"/>
  <c r="T24" i="78"/>
  <c r="T23" i="78"/>
  <c r="T22" i="78"/>
  <c r="T21" i="78"/>
  <c r="T20" i="78"/>
  <c r="T19" i="78"/>
  <c r="T18" i="78"/>
  <c r="T17" i="78"/>
  <c r="T16" i="78"/>
  <c r="T15" i="78"/>
  <c r="T14" i="78"/>
  <c r="T13" i="78"/>
  <c r="T12" i="78"/>
  <c r="T11" i="78"/>
  <c r="T10" i="78"/>
  <c r="T9" i="78"/>
  <c r="T8" i="78"/>
  <c r="T7" i="78"/>
  <c r="T6" i="78"/>
  <c r="T5" i="78"/>
  <c r="T4" i="78"/>
  <c r="T3" i="78"/>
  <c r="T220" i="77"/>
  <c r="T219" i="77"/>
  <c r="T218" i="77"/>
  <c r="T217" i="77"/>
  <c r="T216" i="77"/>
  <c r="T215" i="77"/>
  <c r="T214" i="77"/>
  <c r="T213" i="77"/>
  <c r="T212" i="77"/>
  <c r="T211" i="77"/>
  <c r="T210" i="77"/>
  <c r="T209" i="77"/>
  <c r="T208" i="77"/>
  <c r="T207" i="77"/>
  <c r="T206" i="77"/>
  <c r="T205" i="77"/>
  <c r="T204" i="77"/>
  <c r="T203" i="77"/>
  <c r="T202" i="77"/>
  <c r="T201" i="77"/>
  <c r="T200" i="77"/>
  <c r="T199" i="77"/>
  <c r="T198" i="77"/>
  <c r="T197" i="77"/>
  <c r="T196" i="77"/>
  <c r="T195" i="77"/>
  <c r="T194" i="77"/>
  <c r="T193" i="77"/>
  <c r="T192" i="77"/>
  <c r="T191" i="77"/>
  <c r="T190" i="77"/>
  <c r="T189" i="77"/>
  <c r="T188" i="77"/>
  <c r="T187" i="77"/>
  <c r="T186" i="77"/>
  <c r="T185" i="77"/>
  <c r="T184" i="77"/>
  <c r="T183" i="77"/>
  <c r="T182" i="77"/>
  <c r="T181" i="77"/>
  <c r="T180" i="77"/>
  <c r="T179" i="77"/>
  <c r="T178" i="77"/>
  <c r="T177" i="77"/>
  <c r="T176" i="77"/>
  <c r="T175" i="77"/>
  <c r="T174" i="77"/>
  <c r="T173" i="77"/>
  <c r="T172" i="77"/>
  <c r="T171" i="77"/>
  <c r="T170" i="77"/>
  <c r="T169" i="77"/>
  <c r="T168" i="77"/>
  <c r="T167" i="77"/>
  <c r="T166" i="77"/>
  <c r="T165" i="77"/>
  <c r="T164" i="77"/>
  <c r="T163" i="77"/>
  <c r="T162" i="77"/>
  <c r="T161" i="77"/>
  <c r="T160" i="77"/>
  <c r="T159" i="77"/>
  <c r="T158" i="77"/>
  <c r="T157" i="77"/>
  <c r="T156" i="77"/>
  <c r="T155" i="77"/>
  <c r="T154" i="77"/>
  <c r="T153" i="77"/>
  <c r="T152" i="77"/>
  <c r="T151" i="77"/>
  <c r="T150" i="77"/>
  <c r="T149" i="77"/>
  <c r="T148" i="77"/>
  <c r="T147" i="77"/>
  <c r="T146" i="77"/>
  <c r="T145" i="77"/>
  <c r="T144" i="77"/>
  <c r="T143" i="77"/>
  <c r="T142" i="77"/>
  <c r="T141" i="77"/>
  <c r="T140" i="77"/>
  <c r="T139" i="77"/>
  <c r="T138" i="77"/>
  <c r="T137" i="77"/>
  <c r="T136" i="77"/>
  <c r="T135" i="77"/>
  <c r="T134" i="77"/>
  <c r="T133" i="77"/>
  <c r="T132" i="77"/>
  <c r="T131" i="77"/>
  <c r="T130" i="77"/>
  <c r="T129" i="77"/>
  <c r="T128" i="77"/>
  <c r="T127" i="77"/>
  <c r="T126" i="77"/>
  <c r="T125" i="77"/>
  <c r="T124" i="77"/>
  <c r="T123" i="77"/>
  <c r="T122" i="77"/>
  <c r="T121" i="77"/>
  <c r="T120" i="77"/>
  <c r="T119" i="77"/>
  <c r="T118" i="77"/>
  <c r="T117" i="77"/>
  <c r="T116" i="77"/>
  <c r="T115" i="77"/>
  <c r="T114" i="77"/>
  <c r="T113" i="77"/>
  <c r="T112" i="77"/>
  <c r="T111" i="77"/>
  <c r="T110" i="77"/>
  <c r="T109" i="77"/>
  <c r="T108" i="77"/>
  <c r="T107" i="77"/>
  <c r="T106" i="77"/>
  <c r="T105" i="77"/>
  <c r="T104" i="77"/>
  <c r="T103" i="77"/>
  <c r="T102" i="77"/>
  <c r="T101" i="77"/>
  <c r="T100" i="77"/>
  <c r="T99" i="77"/>
  <c r="T98" i="77"/>
  <c r="T97" i="77"/>
  <c r="T96" i="77"/>
  <c r="T95" i="77"/>
  <c r="T94" i="77"/>
  <c r="T93" i="77"/>
  <c r="T92" i="77"/>
  <c r="T91" i="77"/>
  <c r="T90" i="77"/>
  <c r="T89" i="77"/>
  <c r="T88" i="77"/>
  <c r="T87" i="77"/>
  <c r="T86" i="77"/>
  <c r="T85" i="77"/>
  <c r="T84" i="77"/>
  <c r="T83" i="77"/>
  <c r="T82" i="77"/>
  <c r="T81" i="77"/>
  <c r="T80" i="77"/>
  <c r="T79" i="77"/>
  <c r="T78" i="77"/>
  <c r="T77" i="77"/>
  <c r="T76" i="77"/>
  <c r="T75" i="77"/>
  <c r="T74" i="77"/>
  <c r="T73" i="77"/>
  <c r="T72" i="77"/>
  <c r="T71" i="77"/>
  <c r="T70" i="77"/>
  <c r="T69" i="77"/>
  <c r="T68" i="77"/>
  <c r="T67" i="77"/>
  <c r="T66" i="77"/>
  <c r="T65" i="77"/>
  <c r="T64" i="77"/>
  <c r="T63" i="77"/>
  <c r="T62" i="77"/>
  <c r="T61" i="77"/>
  <c r="T60" i="77"/>
  <c r="T59" i="77"/>
  <c r="T58" i="77"/>
  <c r="T57" i="77"/>
  <c r="T56" i="77"/>
  <c r="T55" i="77"/>
  <c r="T54" i="77"/>
  <c r="T53" i="77"/>
  <c r="T52" i="77"/>
  <c r="T51" i="77"/>
  <c r="T50" i="77"/>
  <c r="T49" i="77"/>
  <c r="T48" i="77"/>
  <c r="T47" i="77"/>
  <c r="T46" i="77"/>
  <c r="T45" i="77"/>
  <c r="T44" i="77"/>
  <c r="T43" i="77"/>
  <c r="T42" i="77"/>
  <c r="T41" i="77"/>
  <c r="T40" i="77"/>
  <c r="T39" i="77"/>
  <c r="T38" i="77"/>
  <c r="T37" i="77"/>
  <c r="T36" i="77"/>
  <c r="T35" i="77"/>
  <c r="T34" i="77"/>
  <c r="T33" i="77"/>
  <c r="T32" i="77"/>
  <c r="T31" i="77"/>
  <c r="T30" i="77"/>
  <c r="T29" i="77"/>
  <c r="T28" i="77"/>
  <c r="T27" i="77"/>
  <c r="T26" i="77"/>
  <c r="T25" i="77"/>
  <c r="T24" i="77"/>
  <c r="T23" i="77"/>
  <c r="T22" i="77"/>
  <c r="T21" i="77"/>
  <c r="T20" i="77"/>
  <c r="T19" i="77"/>
  <c r="T18" i="77"/>
  <c r="T17" i="77"/>
  <c r="T16" i="77"/>
  <c r="T15" i="77"/>
  <c r="T14" i="77"/>
  <c r="T13" i="77"/>
  <c r="T12" i="77"/>
  <c r="T11" i="77"/>
  <c r="T10" i="77"/>
  <c r="T9" i="77"/>
  <c r="T8" i="77"/>
  <c r="T7" i="77"/>
  <c r="T6" i="77"/>
  <c r="T5" i="77"/>
  <c r="T4" i="77"/>
  <c r="T3" i="77"/>
  <c r="T220" i="76"/>
  <c r="T219" i="76"/>
  <c r="T218" i="76"/>
  <c r="T217" i="76"/>
  <c r="T216" i="76"/>
  <c r="T215" i="76"/>
  <c r="T214" i="76"/>
  <c r="T213" i="76"/>
  <c r="T212" i="76"/>
  <c r="T211" i="76"/>
  <c r="T210" i="76"/>
  <c r="T209" i="76"/>
  <c r="T208" i="76"/>
  <c r="T207" i="76"/>
  <c r="T206" i="76"/>
  <c r="T205" i="76"/>
  <c r="T204" i="76"/>
  <c r="T203" i="76"/>
  <c r="T202" i="76"/>
  <c r="T201" i="76"/>
  <c r="T200" i="76"/>
  <c r="T199" i="76"/>
  <c r="T198" i="76"/>
  <c r="T197" i="76"/>
  <c r="T196" i="76"/>
  <c r="T195" i="76"/>
  <c r="T194" i="76"/>
  <c r="T193" i="76"/>
  <c r="T192" i="76"/>
  <c r="T191" i="76"/>
  <c r="T190" i="76"/>
  <c r="T189" i="76"/>
  <c r="T188" i="76"/>
  <c r="T187" i="76"/>
  <c r="T186" i="76"/>
  <c r="T185" i="76"/>
  <c r="T184" i="76"/>
  <c r="T183" i="76"/>
  <c r="T182" i="76"/>
  <c r="T181" i="76"/>
  <c r="T180" i="76"/>
  <c r="T179" i="76"/>
  <c r="T178" i="76"/>
  <c r="T177" i="76"/>
  <c r="T176" i="76"/>
  <c r="T175" i="76"/>
  <c r="T174" i="76"/>
  <c r="T173" i="76"/>
  <c r="T172" i="76"/>
  <c r="T171" i="76"/>
  <c r="T170" i="76"/>
  <c r="T169" i="76"/>
  <c r="T168" i="76"/>
  <c r="T167" i="76"/>
  <c r="T166" i="76"/>
  <c r="T165" i="76"/>
  <c r="T164" i="76"/>
  <c r="T163" i="76"/>
  <c r="T162" i="76"/>
  <c r="T161" i="76"/>
  <c r="T160" i="76"/>
  <c r="T159" i="76"/>
  <c r="T158" i="76"/>
  <c r="T157" i="76"/>
  <c r="T156" i="76"/>
  <c r="T155" i="76"/>
  <c r="T154" i="76"/>
  <c r="T153" i="76"/>
  <c r="T152" i="76"/>
  <c r="T151" i="76"/>
  <c r="T150" i="76"/>
  <c r="T149" i="76"/>
  <c r="T148" i="76"/>
  <c r="T147" i="76"/>
  <c r="T146" i="76"/>
  <c r="T145" i="76"/>
  <c r="T144" i="76"/>
  <c r="T143" i="76"/>
  <c r="T142" i="76"/>
  <c r="T141" i="76"/>
  <c r="T140" i="76"/>
  <c r="T139" i="76"/>
  <c r="T138" i="76"/>
  <c r="T137" i="76"/>
  <c r="T136" i="76"/>
  <c r="T135" i="76"/>
  <c r="T134" i="76"/>
  <c r="T133" i="76"/>
  <c r="T132" i="76"/>
  <c r="T131" i="76"/>
  <c r="T130" i="76"/>
  <c r="T129" i="76"/>
  <c r="T128" i="76"/>
  <c r="T127" i="76"/>
  <c r="T126" i="76"/>
  <c r="T125" i="76"/>
  <c r="T124" i="76"/>
  <c r="T123" i="76"/>
  <c r="T122" i="76"/>
  <c r="T121" i="76"/>
  <c r="T120" i="76"/>
  <c r="T119" i="76"/>
  <c r="T118" i="76"/>
  <c r="T117" i="76"/>
  <c r="T116" i="76"/>
  <c r="T115" i="76"/>
  <c r="T114" i="76"/>
  <c r="T113" i="76"/>
  <c r="T112" i="76"/>
  <c r="T111" i="76"/>
  <c r="T110" i="76"/>
  <c r="T109" i="76"/>
  <c r="T108" i="76"/>
  <c r="T107" i="76"/>
  <c r="T106" i="76"/>
  <c r="T105" i="76"/>
  <c r="T104" i="76"/>
  <c r="T103" i="76"/>
  <c r="T102" i="76"/>
  <c r="T101" i="76"/>
  <c r="T100" i="76"/>
  <c r="T99" i="76"/>
  <c r="T98" i="76"/>
  <c r="T97" i="76"/>
  <c r="T96" i="76"/>
  <c r="T95" i="76"/>
  <c r="T94" i="76"/>
  <c r="T93" i="76"/>
  <c r="T92" i="76"/>
  <c r="T91" i="76"/>
  <c r="T90" i="76"/>
  <c r="T89" i="76"/>
  <c r="T88" i="76"/>
  <c r="T87" i="76"/>
  <c r="T86" i="76"/>
  <c r="T85" i="76"/>
  <c r="T84" i="76"/>
  <c r="T83" i="76"/>
  <c r="T82" i="76"/>
  <c r="T81" i="76"/>
  <c r="T80" i="76"/>
  <c r="T79" i="76"/>
  <c r="T78" i="76"/>
  <c r="T77" i="76"/>
  <c r="T76" i="76"/>
  <c r="T75" i="76"/>
  <c r="T74" i="76"/>
  <c r="T73" i="76"/>
  <c r="T72" i="76"/>
  <c r="T71" i="76"/>
  <c r="T70" i="76"/>
  <c r="T69" i="76"/>
  <c r="T68" i="76"/>
  <c r="T67" i="76"/>
  <c r="T66" i="76"/>
  <c r="T65" i="76"/>
  <c r="T64" i="76"/>
  <c r="T63" i="76"/>
  <c r="T62" i="76"/>
  <c r="T61" i="76"/>
  <c r="T60" i="76"/>
  <c r="T59" i="76"/>
  <c r="T58" i="76"/>
  <c r="T57" i="76"/>
  <c r="T56" i="76"/>
  <c r="T55" i="76"/>
  <c r="T54" i="76"/>
  <c r="T53" i="76"/>
  <c r="T52" i="76"/>
  <c r="T51" i="76"/>
  <c r="T50" i="76"/>
  <c r="T49" i="76"/>
  <c r="T48" i="76"/>
  <c r="T47" i="76"/>
  <c r="T46" i="76"/>
  <c r="T45" i="76"/>
  <c r="T44" i="76"/>
  <c r="T43" i="76"/>
  <c r="T42" i="76"/>
  <c r="T41" i="76"/>
  <c r="T40" i="76"/>
  <c r="T39" i="76"/>
  <c r="T38" i="76"/>
  <c r="T37" i="76"/>
  <c r="T36" i="76"/>
  <c r="T35" i="76"/>
  <c r="T34" i="76"/>
  <c r="T33" i="76"/>
  <c r="T32" i="76"/>
  <c r="T31" i="76"/>
  <c r="T30" i="76"/>
  <c r="T29" i="76"/>
  <c r="T28" i="76"/>
  <c r="T27" i="76"/>
  <c r="T26" i="76"/>
  <c r="T25" i="76"/>
  <c r="T24" i="76"/>
  <c r="T23" i="76"/>
  <c r="T22" i="76"/>
  <c r="T21" i="76"/>
  <c r="T20" i="76"/>
  <c r="T19" i="76"/>
  <c r="T18" i="76"/>
  <c r="T17" i="76"/>
  <c r="T16" i="76"/>
  <c r="T15" i="76"/>
  <c r="T14" i="76"/>
  <c r="T13" i="76"/>
  <c r="T12" i="76"/>
  <c r="T11" i="76"/>
  <c r="T10" i="76"/>
  <c r="T9" i="76"/>
  <c r="T8" i="76"/>
  <c r="T7" i="76"/>
  <c r="T6" i="76"/>
  <c r="T5" i="76"/>
  <c r="T4" i="76"/>
  <c r="T3" i="76"/>
  <c r="T220" i="75"/>
  <c r="T219" i="75"/>
  <c r="T218" i="75"/>
  <c r="T217" i="75"/>
  <c r="T216" i="75"/>
  <c r="T215" i="75"/>
  <c r="T214" i="75"/>
  <c r="T213" i="75"/>
  <c r="T212" i="75"/>
  <c r="T211" i="75"/>
  <c r="T210" i="75"/>
  <c r="T209" i="75"/>
  <c r="T208" i="75"/>
  <c r="T207" i="75"/>
  <c r="T206" i="75"/>
  <c r="T205" i="75"/>
  <c r="T204" i="75"/>
  <c r="T203" i="75"/>
  <c r="T202" i="75"/>
  <c r="T201" i="75"/>
  <c r="T200" i="75"/>
  <c r="T199" i="75"/>
  <c r="T198" i="75"/>
  <c r="T197" i="75"/>
  <c r="T196" i="75"/>
  <c r="T195" i="75"/>
  <c r="T194" i="75"/>
  <c r="T193" i="75"/>
  <c r="T192" i="75"/>
  <c r="T191" i="75"/>
  <c r="T190" i="75"/>
  <c r="T189" i="75"/>
  <c r="T188" i="75"/>
  <c r="T187" i="75"/>
  <c r="T186" i="75"/>
  <c r="T185" i="75"/>
  <c r="T184" i="75"/>
  <c r="T183" i="75"/>
  <c r="T182" i="75"/>
  <c r="T181" i="75"/>
  <c r="T180" i="75"/>
  <c r="T179" i="75"/>
  <c r="T178" i="75"/>
  <c r="T177" i="75"/>
  <c r="T176" i="75"/>
  <c r="T175" i="75"/>
  <c r="T174" i="75"/>
  <c r="T173" i="75"/>
  <c r="T172" i="75"/>
  <c r="T171" i="75"/>
  <c r="T170" i="75"/>
  <c r="T169" i="75"/>
  <c r="T168" i="75"/>
  <c r="T167" i="75"/>
  <c r="T166" i="75"/>
  <c r="T165" i="75"/>
  <c r="T164" i="75"/>
  <c r="T163" i="75"/>
  <c r="T162" i="75"/>
  <c r="T161" i="75"/>
  <c r="T160" i="75"/>
  <c r="T159" i="75"/>
  <c r="T158" i="75"/>
  <c r="T157" i="75"/>
  <c r="T156" i="75"/>
  <c r="T155" i="75"/>
  <c r="T154" i="75"/>
  <c r="T153" i="75"/>
  <c r="T152" i="75"/>
  <c r="T151" i="75"/>
  <c r="T150" i="75"/>
  <c r="T149" i="75"/>
  <c r="T148" i="75"/>
  <c r="T147" i="75"/>
  <c r="T146" i="75"/>
  <c r="T145" i="75"/>
  <c r="T144" i="75"/>
  <c r="T143" i="75"/>
  <c r="T142" i="75"/>
  <c r="T141" i="75"/>
  <c r="T140" i="75"/>
  <c r="T139" i="75"/>
  <c r="T138" i="75"/>
  <c r="T137" i="75"/>
  <c r="T136" i="75"/>
  <c r="T135" i="75"/>
  <c r="T134" i="75"/>
  <c r="T133" i="75"/>
  <c r="T132" i="75"/>
  <c r="T131" i="75"/>
  <c r="T130" i="75"/>
  <c r="T129" i="75"/>
  <c r="T128" i="75"/>
  <c r="T127" i="75"/>
  <c r="T126" i="75"/>
  <c r="T125" i="75"/>
  <c r="T124" i="75"/>
  <c r="T123" i="75"/>
  <c r="T122" i="75"/>
  <c r="T121" i="75"/>
  <c r="T120" i="75"/>
  <c r="T119" i="75"/>
  <c r="T118" i="75"/>
  <c r="T117" i="75"/>
  <c r="T116" i="75"/>
  <c r="T115" i="75"/>
  <c r="T114" i="75"/>
  <c r="T113" i="75"/>
  <c r="T112" i="75"/>
  <c r="T111" i="75"/>
  <c r="T110" i="75"/>
  <c r="T109" i="75"/>
  <c r="T108" i="75"/>
  <c r="T107" i="75"/>
  <c r="T106" i="75"/>
  <c r="T105" i="75"/>
  <c r="T104" i="75"/>
  <c r="T103" i="75"/>
  <c r="T102" i="75"/>
  <c r="T101" i="75"/>
  <c r="T100" i="75"/>
  <c r="T99" i="75"/>
  <c r="T98" i="75"/>
  <c r="T97" i="75"/>
  <c r="T96" i="75"/>
  <c r="T95" i="75"/>
  <c r="T94" i="75"/>
  <c r="T93" i="75"/>
  <c r="T92" i="75"/>
  <c r="T91" i="75"/>
  <c r="T90" i="75"/>
  <c r="T89" i="75"/>
  <c r="T88" i="75"/>
  <c r="T87" i="75"/>
  <c r="T86" i="75"/>
  <c r="T85" i="75"/>
  <c r="T84" i="75"/>
  <c r="T83" i="75"/>
  <c r="T82" i="75"/>
  <c r="T81" i="75"/>
  <c r="T80" i="75"/>
  <c r="T79" i="75"/>
  <c r="T78" i="75"/>
  <c r="T77" i="75"/>
  <c r="T76" i="75"/>
  <c r="T75" i="75"/>
  <c r="T74" i="75"/>
  <c r="T73" i="75"/>
  <c r="T72" i="75"/>
  <c r="T71" i="75"/>
  <c r="T70" i="75"/>
  <c r="T69" i="75"/>
  <c r="T68" i="75"/>
  <c r="T67" i="75"/>
  <c r="T66" i="75"/>
  <c r="T65" i="75"/>
  <c r="T64" i="75"/>
  <c r="T63" i="75"/>
  <c r="T62" i="75"/>
  <c r="T61" i="75"/>
  <c r="T60" i="75"/>
  <c r="T59" i="75"/>
  <c r="T58" i="75"/>
  <c r="T57" i="75"/>
  <c r="T56" i="75"/>
  <c r="T55" i="75"/>
  <c r="T54" i="75"/>
  <c r="T53" i="75"/>
  <c r="T52" i="75"/>
  <c r="T51" i="75"/>
  <c r="T50" i="75"/>
  <c r="T49" i="75"/>
  <c r="T48" i="75"/>
  <c r="T47" i="75"/>
  <c r="T46" i="75"/>
  <c r="T45" i="75"/>
  <c r="T44" i="75"/>
  <c r="T43" i="75"/>
  <c r="T42" i="75"/>
  <c r="T41" i="75"/>
  <c r="T40" i="75"/>
  <c r="T39" i="75"/>
  <c r="T38" i="75"/>
  <c r="T37" i="75"/>
  <c r="T36" i="75"/>
  <c r="T35" i="75"/>
  <c r="T34" i="75"/>
  <c r="T33" i="75"/>
  <c r="T32" i="75"/>
  <c r="T31" i="75"/>
  <c r="T30" i="75"/>
  <c r="T29" i="75"/>
  <c r="T28" i="75"/>
  <c r="T27" i="75"/>
  <c r="T26" i="75"/>
  <c r="T25" i="75"/>
  <c r="T24" i="75"/>
  <c r="T23" i="75"/>
  <c r="T22" i="75"/>
  <c r="T21" i="75"/>
  <c r="T20" i="75"/>
  <c r="T19" i="75"/>
  <c r="T18" i="75"/>
  <c r="T17" i="75"/>
  <c r="T16" i="75"/>
  <c r="T15" i="75"/>
  <c r="T14" i="75"/>
  <c r="T13" i="75"/>
  <c r="T12" i="75"/>
  <c r="T11" i="75"/>
  <c r="T10" i="75"/>
  <c r="T9" i="75"/>
  <c r="T8" i="75"/>
  <c r="T7" i="75"/>
  <c r="T6" i="75"/>
  <c r="T5" i="75"/>
  <c r="T4" i="75"/>
  <c r="T3" i="75"/>
  <c r="T220" i="74"/>
  <c r="T219" i="74"/>
  <c r="T218" i="74"/>
  <c r="T217" i="74"/>
  <c r="T216" i="74"/>
  <c r="T215" i="74"/>
  <c r="T214" i="74"/>
  <c r="T213" i="74"/>
  <c r="T212" i="74"/>
  <c r="T211" i="74"/>
  <c r="T210" i="74"/>
  <c r="T209" i="74"/>
  <c r="T208" i="74"/>
  <c r="T207" i="74"/>
  <c r="T206" i="74"/>
  <c r="T205" i="74"/>
  <c r="T204" i="74"/>
  <c r="T203" i="74"/>
  <c r="T202" i="74"/>
  <c r="T201" i="74"/>
  <c r="T200" i="74"/>
  <c r="T199" i="74"/>
  <c r="T198" i="74"/>
  <c r="T197" i="74"/>
  <c r="T196" i="74"/>
  <c r="T195" i="74"/>
  <c r="T194" i="74"/>
  <c r="T193" i="74"/>
  <c r="T192" i="74"/>
  <c r="T191" i="74"/>
  <c r="T190" i="74"/>
  <c r="T189" i="74"/>
  <c r="T188" i="74"/>
  <c r="T187" i="74"/>
  <c r="T186" i="74"/>
  <c r="T185" i="74"/>
  <c r="T184" i="74"/>
  <c r="T183" i="74"/>
  <c r="T182" i="74"/>
  <c r="T181" i="74"/>
  <c r="T180" i="74"/>
  <c r="T179" i="74"/>
  <c r="T178" i="74"/>
  <c r="T177" i="74"/>
  <c r="T176" i="74"/>
  <c r="T175" i="74"/>
  <c r="T174" i="74"/>
  <c r="T173" i="74"/>
  <c r="T172" i="74"/>
  <c r="T171" i="74"/>
  <c r="T170" i="74"/>
  <c r="T169" i="74"/>
  <c r="T168" i="74"/>
  <c r="T167" i="74"/>
  <c r="T166" i="74"/>
  <c r="T165" i="74"/>
  <c r="T164" i="74"/>
  <c r="T163" i="74"/>
  <c r="T162" i="74"/>
  <c r="T161" i="74"/>
  <c r="T160" i="74"/>
  <c r="T159" i="74"/>
  <c r="T158" i="74"/>
  <c r="T157" i="74"/>
  <c r="T156" i="74"/>
  <c r="T155" i="74"/>
  <c r="T154" i="74"/>
  <c r="T153" i="74"/>
  <c r="T152" i="74"/>
  <c r="T151" i="74"/>
  <c r="T150" i="74"/>
  <c r="T149" i="74"/>
  <c r="T148" i="74"/>
  <c r="T147" i="74"/>
  <c r="T146" i="74"/>
  <c r="T145" i="74"/>
  <c r="T144" i="74"/>
  <c r="T143" i="74"/>
  <c r="T142" i="74"/>
  <c r="T141" i="74"/>
  <c r="T140" i="74"/>
  <c r="T139" i="74"/>
  <c r="T138" i="74"/>
  <c r="T137" i="74"/>
  <c r="T136" i="74"/>
  <c r="T135" i="74"/>
  <c r="T134" i="74"/>
  <c r="T133" i="74"/>
  <c r="T132" i="74"/>
  <c r="T131" i="74"/>
  <c r="T130" i="74"/>
  <c r="T129" i="74"/>
  <c r="T128" i="74"/>
  <c r="T127" i="74"/>
  <c r="T126" i="74"/>
  <c r="T125" i="74"/>
  <c r="T124" i="74"/>
  <c r="T123" i="74"/>
  <c r="T122" i="74"/>
  <c r="T121" i="74"/>
  <c r="T120" i="74"/>
  <c r="T119" i="74"/>
  <c r="T118" i="74"/>
  <c r="T117" i="74"/>
  <c r="T116" i="74"/>
  <c r="T115" i="74"/>
  <c r="T114" i="74"/>
  <c r="T113" i="74"/>
  <c r="T112" i="74"/>
  <c r="T111" i="74"/>
  <c r="T110" i="74"/>
  <c r="T109" i="74"/>
  <c r="T108" i="74"/>
  <c r="T107" i="74"/>
  <c r="T106" i="74"/>
  <c r="T105" i="74"/>
  <c r="T104" i="74"/>
  <c r="T103" i="74"/>
  <c r="T102" i="74"/>
  <c r="T101" i="74"/>
  <c r="T100" i="74"/>
  <c r="T99" i="74"/>
  <c r="T98" i="74"/>
  <c r="T97" i="74"/>
  <c r="T96" i="74"/>
  <c r="T95" i="74"/>
  <c r="T94" i="74"/>
  <c r="T93" i="74"/>
  <c r="T92" i="74"/>
  <c r="T91" i="74"/>
  <c r="T90" i="74"/>
  <c r="T89" i="74"/>
  <c r="T88" i="74"/>
  <c r="T87" i="74"/>
  <c r="T86" i="74"/>
  <c r="T85" i="74"/>
  <c r="T84" i="74"/>
  <c r="T83" i="74"/>
  <c r="T82" i="74"/>
  <c r="T81" i="74"/>
  <c r="T80" i="74"/>
  <c r="T79" i="74"/>
  <c r="T78" i="74"/>
  <c r="T77" i="74"/>
  <c r="T76" i="74"/>
  <c r="T75" i="74"/>
  <c r="T74" i="74"/>
  <c r="T73" i="74"/>
  <c r="T72" i="74"/>
  <c r="T71" i="74"/>
  <c r="T70" i="74"/>
  <c r="T69" i="74"/>
  <c r="T68" i="74"/>
  <c r="T67" i="74"/>
  <c r="T66" i="74"/>
  <c r="T65" i="74"/>
  <c r="T64" i="74"/>
  <c r="T63" i="74"/>
  <c r="T62" i="74"/>
  <c r="T61" i="74"/>
  <c r="T60" i="74"/>
  <c r="T59" i="74"/>
  <c r="T58" i="74"/>
  <c r="T57" i="74"/>
  <c r="T56" i="74"/>
  <c r="T55" i="74"/>
  <c r="T54" i="74"/>
  <c r="T53" i="74"/>
  <c r="T52" i="74"/>
  <c r="T51" i="74"/>
  <c r="T50" i="74"/>
  <c r="T49" i="74"/>
  <c r="T48" i="74"/>
  <c r="T47" i="74"/>
  <c r="T46" i="74"/>
  <c r="T45" i="74"/>
  <c r="T44" i="74"/>
  <c r="T43" i="74"/>
  <c r="T42" i="74"/>
  <c r="T41" i="74"/>
  <c r="T40" i="74"/>
  <c r="T39" i="74"/>
  <c r="T38" i="74"/>
  <c r="T37" i="74"/>
  <c r="T36" i="74"/>
  <c r="T35" i="74"/>
  <c r="T34" i="74"/>
  <c r="T33" i="74"/>
  <c r="T32" i="74"/>
  <c r="T31" i="74"/>
  <c r="T30" i="74"/>
  <c r="T29" i="74"/>
  <c r="T28" i="74"/>
  <c r="T27" i="74"/>
  <c r="T26" i="74"/>
  <c r="T25" i="74"/>
  <c r="T24" i="74"/>
  <c r="T23" i="74"/>
  <c r="T22" i="74"/>
  <c r="T21" i="74"/>
  <c r="T20" i="74"/>
  <c r="T19" i="74"/>
  <c r="T18" i="74"/>
  <c r="T17" i="74"/>
  <c r="T16" i="74"/>
  <c r="T15" i="74"/>
  <c r="T14" i="74"/>
  <c r="T13" i="74"/>
  <c r="T12" i="74"/>
  <c r="T11" i="74"/>
  <c r="T10" i="74"/>
  <c r="T9" i="74"/>
  <c r="T8" i="74"/>
  <c r="T7" i="74"/>
  <c r="T6" i="74"/>
  <c r="T5" i="74"/>
  <c r="T4" i="74"/>
  <c r="T3" i="74"/>
  <c r="T2" i="81"/>
  <c r="T2" i="80"/>
  <c r="T2" i="79"/>
  <c r="T2" i="78"/>
  <c r="T2" i="77"/>
  <c r="T2" i="76"/>
  <c r="T2" i="75"/>
  <c r="T2" i="74"/>
  <c r="S220" i="81"/>
  <c r="R220" i="81"/>
  <c r="S219" i="81"/>
  <c r="R219" i="81"/>
  <c r="S218" i="81"/>
  <c r="R218" i="81"/>
  <c r="S217" i="81"/>
  <c r="R217" i="81"/>
  <c r="S216" i="81"/>
  <c r="R216" i="81"/>
  <c r="S215" i="81"/>
  <c r="R215" i="81"/>
  <c r="S214" i="81"/>
  <c r="R214" i="81"/>
  <c r="S213" i="81"/>
  <c r="R213" i="81"/>
  <c r="S212" i="81"/>
  <c r="R212" i="81"/>
  <c r="S211" i="81"/>
  <c r="R211" i="81"/>
  <c r="S210" i="81"/>
  <c r="R210" i="81"/>
  <c r="S209" i="81"/>
  <c r="R209" i="81"/>
  <c r="S208" i="81"/>
  <c r="R208" i="81"/>
  <c r="S207" i="81"/>
  <c r="R207" i="81"/>
  <c r="S206" i="81"/>
  <c r="R206" i="81"/>
  <c r="S205" i="81"/>
  <c r="R205" i="81"/>
  <c r="S204" i="81"/>
  <c r="R204" i="81"/>
  <c r="S203" i="81"/>
  <c r="R203" i="81"/>
  <c r="S202" i="81"/>
  <c r="R202" i="81"/>
  <c r="S201" i="81"/>
  <c r="R201" i="81"/>
  <c r="S200" i="81"/>
  <c r="R200" i="81"/>
  <c r="S199" i="81"/>
  <c r="R199" i="81"/>
  <c r="S198" i="81"/>
  <c r="R198" i="81"/>
  <c r="S197" i="81"/>
  <c r="R197" i="81"/>
  <c r="S196" i="81"/>
  <c r="R196" i="81"/>
  <c r="S195" i="81"/>
  <c r="R195" i="81"/>
  <c r="S194" i="81"/>
  <c r="R194" i="81"/>
  <c r="S193" i="81"/>
  <c r="R193" i="81"/>
  <c r="S192" i="81"/>
  <c r="R192" i="81"/>
  <c r="S191" i="81"/>
  <c r="R191" i="81"/>
  <c r="S190" i="81"/>
  <c r="R190" i="81"/>
  <c r="S189" i="81"/>
  <c r="R189" i="81"/>
  <c r="S188" i="81"/>
  <c r="R188" i="81"/>
  <c r="S187" i="81"/>
  <c r="R187" i="81"/>
  <c r="S186" i="81"/>
  <c r="R186" i="81"/>
  <c r="S185" i="81"/>
  <c r="R185" i="81"/>
  <c r="S184" i="81"/>
  <c r="R184" i="81"/>
  <c r="S183" i="81"/>
  <c r="R183" i="81"/>
  <c r="S182" i="81"/>
  <c r="R182" i="81"/>
  <c r="S181" i="81"/>
  <c r="R181" i="81"/>
  <c r="S180" i="81"/>
  <c r="R180" i="81"/>
  <c r="S179" i="81"/>
  <c r="R179" i="81"/>
  <c r="S178" i="81"/>
  <c r="R178" i="81"/>
  <c r="S177" i="81"/>
  <c r="R177" i="81"/>
  <c r="S176" i="81"/>
  <c r="R176" i="81"/>
  <c r="S175" i="81"/>
  <c r="R175" i="81"/>
  <c r="S174" i="81"/>
  <c r="R174" i="81"/>
  <c r="S173" i="81"/>
  <c r="R173" i="81"/>
  <c r="S172" i="81"/>
  <c r="R172" i="81"/>
  <c r="S171" i="81"/>
  <c r="R171" i="81"/>
  <c r="S170" i="81"/>
  <c r="R170" i="81"/>
  <c r="S169" i="81"/>
  <c r="R169" i="81"/>
  <c r="S168" i="81"/>
  <c r="R168" i="81"/>
  <c r="S167" i="81"/>
  <c r="R167" i="81"/>
  <c r="S166" i="81"/>
  <c r="R166" i="81"/>
  <c r="S165" i="81"/>
  <c r="R165" i="81"/>
  <c r="S164" i="81"/>
  <c r="R164" i="81"/>
  <c r="S163" i="81"/>
  <c r="R163" i="81"/>
  <c r="S162" i="81"/>
  <c r="R162" i="81"/>
  <c r="S161" i="81"/>
  <c r="R161" i="81"/>
  <c r="S160" i="81"/>
  <c r="R160" i="81"/>
  <c r="S159" i="81"/>
  <c r="R159" i="81"/>
  <c r="S158" i="81"/>
  <c r="R158" i="81"/>
  <c r="S157" i="81"/>
  <c r="R157" i="81"/>
  <c r="S156" i="81"/>
  <c r="R156" i="81"/>
  <c r="S155" i="81"/>
  <c r="R155" i="81"/>
  <c r="S154" i="81"/>
  <c r="R154" i="81"/>
  <c r="S153" i="81"/>
  <c r="R153" i="81"/>
  <c r="S152" i="81"/>
  <c r="R152" i="81"/>
  <c r="S151" i="81"/>
  <c r="R151" i="81"/>
  <c r="S150" i="81"/>
  <c r="R150" i="81"/>
  <c r="S149" i="81"/>
  <c r="R149" i="81"/>
  <c r="S148" i="81"/>
  <c r="R148" i="81"/>
  <c r="S147" i="81"/>
  <c r="R147" i="81"/>
  <c r="S146" i="81"/>
  <c r="R146" i="81"/>
  <c r="S145" i="81"/>
  <c r="R145" i="81"/>
  <c r="S144" i="81"/>
  <c r="R144" i="81"/>
  <c r="S143" i="81"/>
  <c r="R143" i="81"/>
  <c r="S142" i="81"/>
  <c r="R142" i="81"/>
  <c r="S141" i="81"/>
  <c r="R141" i="81"/>
  <c r="S140" i="81"/>
  <c r="R140" i="81"/>
  <c r="S139" i="81"/>
  <c r="R139" i="81"/>
  <c r="S138" i="81"/>
  <c r="R138" i="81"/>
  <c r="S137" i="81"/>
  <c r="R137" i="81"/>
  <c r="S136" i="81"/>
  <c r="R136" i="81"/>
  <c r="S135" i="81"/>
  <c r="R135" i="81"/>
  <c r="S134" i="81"/>
  <c r="R134" i="81"/>
  <c r="S133" i="81"/>
  <c r="R133" i="81"/>
  <c r="S132" i="81"/>
  <c r="R132" i="81"/>
  <c r="S131" i="81"/>
  <c r="R131" i="81"/>
  <c r="S130" i="81"/>
  <c r="R130" i="81"/>
  <c r="S129" i="81"/>
  <c r="R129" i="81"/>
  <c r="S128" i="81"/>
  <c r="R128" i="81"/>
  <c r="S127" i="81"/>
  <c r="R127" i="81"/>
  <c r="S126" i="81"/>
  <c r="R126" i="81"/>
  <c r="S125" i="81"/>
  <c r="R125" i="81"/>
  <c r="S124" i="81"/>
  <c r="R124" i="81"/>
  <c r="S123" i="81"/>
  <c r="R123" i="81"/>
  <c r="S122" i="81"/>
  <c r="R122" i="81"/>
  <c r="S121" i="81"/>
  <c r="R121" i="81"/>
  <c r="S120" i="81"/>
  <c r="R120" i="81"/>
  <c r="S119" i="81"/>
  <c r="R119" i="81"/>
  <c r="S118" i="81"/>
  <c r="R118" i="81"/>
  <c r="S117" i="81"/>
  <c r="R117" i="81"/>
  <c r="S116" i="81"/>
  <c r="R116" i="81"/>
  <c r="S115" i="81"/>
  <c r="R115" i="81"/>
  <c r="S114" i="81"/>
  <c r="R114" i="81"/>
  <c r="S113" i="81"/>
  <c r="R113" i="81"/>
  <c r="S112" i="81"/>
  <c r="R112" i="81"/>
  <c r="S111" i="81"/>
  <c r="R111" i="81"/>
  <c r="S110" i="81"/>
  <c r="R110" i="81"/>
  <c r="S109" i="81"/>
  <c r="R109" i="81"/>
  <c r="S108" i="81"/>
  <c r="R108" i="81"/>
  <c r="S107" i="81"/>
  <c r="R107" i="81"/>
  <c r="S106" i="81"/>
  <c r="R106" i="81"/>
  <c r="S105" i="81"/>
  <c r="R105" i="81"/>
  <c r="S104" i="81"/>
  <c r="R104" i="81"/>
  <c r="S103" i="81"/>
  <c r="R103" i="81"/>
  <c r="S102" i="81"/>
  <c r="R102" i="81"/>
  <c r="S101" i="81"/>
  <c r="R101" i="81"/>
  <c r="S100" i="81"/>
  <c r="R100" i="81"/>
  <c r="S99" i="81"/>
  <c r="R99" i="81"/>
  <c r="S98" i="81"/>
  <c r="R98" i="81"/>
  <c r="S97" i="81"/>
  <c r="R97" i="81"/>
  <c r="S96" i="81"/>
  <c r="R96" i="81"/>
  <c r="S95" i="81"/>
  <c r="R95" i="81"/>
  <c r="S94" i="81"/>
  <c r="R94" i="81"/>
  <c r="S93" i="81"/>
  <c r="R93" i="81"/>
  <c r="S92" i="81"/>
  <c r="R92" i="81"/>
  <c r="S91" i="81"/>
  <c r="R91" i="81"/>
  <c r="S90" i="81"/>
  <c r="R90" i="81"/>
  <c r="S89" i="81"/>
  <c r="R89" i="81"/>
  <c r="S88" i="81"/>
  <c r="R88" i="81"/>
  <c r="S87" i="81"/>
  <c r="R87" i="81"/>
  <c r="S86" i="81"/>
  <c r="R86" i="81"/>
  <c r="S85" i="81"/>
  <c r="R85" i="81"/>
  <c r="S84" i="81"/>
  <c r="R84" i="81"/>
  <c r="S83" i="81"/>
  <c r="R83" i="81"/>
  <c r="S82" i="81"/>
  <c r="R82" i="81"/>
  <c r="S81" i="81"/>
  <c r="R81" i="81"/>
  <c r="S80" i="81"/>
  <c r="R80" i="81"/>
  <c r="S79" i="81"/>
  <c r="R79" i="81"/>
  <c r="S78" i="81"/>
  <c r="R78" i="81"/>
  <c r="S77" i="81"/>
  <c r="R77" i="81"/>
  <c r="S76" i="81"/>
  <c r="R76" i="81"/>
  <c r="S75" i="81"/>
  <c r="R75" i="81"/>
  <c r="S74" i="81"/>
  <c r="R74" i="81"/>
  <c r="S73" i="81"/>
  <c r="R73" i="81"/>
  <c r="S72" i="81"/>
  <c r="R72" i="81"/>
  <c r="S71" i="81"/>
  <c r="R71" i="81"/>
  <c r="S70" i="81"/>
  <c r="R70" i="81"/>
  <c r="S69" i="81"/>
  <c r="R69" i="81"/>
  <c r="S68" i="81"/>
  <c r="R68" i="81"/>
  <c r="S67" i="81"/>
  <c r="R67" i="81"/>
  <c r="S66" i="81"/>
  <c r="R66" i="81"/>
  <c r="S65" i="81"/>
  <c r="R65" i="81"/>
  <c r="S64" i="81"/>
  <c r="R64" i="81"/>
  <c r="S63" i="81"/>
  <c r="R63" i="81"/>
  <c r="S62" i="81"/>
  <c r="R62" i="81"/>
  <c r="S61" i="81"/>
  <c r="R61" i="81"/>
  <c r="S60" i="81"/>
  <c r="R60" i="81"/>
  <c r="S59" i="81"/>
  <c r="R59" i="81"/>
  <c r="S58" i="81"/>
  <c r="R58" i="81"/>
  <c r="S57" i="81"/>
  <c r="R57" i="81"/>
  <c r="S56" i="81"/>
  <c r="R56" i="81"/>
  <c r="S55" i="81"/>
  <c r="R55" i="81"/>
  <c r="S54" i="81"/>
  <c r="R54" i="81"/>
  <c r="S53" i="81"/>
  <c r="R53" i="81"/>
  <c r="S52" i="81"/>
  <c r="R52" i="81"/>
  <c r="S51" i="81"/>
  <c r="R51" i="81"/>
  <c r="S50" i="81"/>
  <c r="R50" i="81"/>
  <c r="S49" i="81"/>
  <c r="R49" i="81"/>
  <c r="S48" i="81"/>
  <c r="R48" i="81"/>
  <c r="S47" i="81"/>
  <c r="R47" i="81"/>
  <c r="S46" i="81"/>
  <c r="R46" i="81"/>
  <c r="S45" i="81"/>
  <c r="R45" i="81"/>
  <c r="S44" i="81"/>
  <c r="R44" i="81"/>
  <c r="S43" i="81"/>
  <c r="R43" i="81"/>
  <c r="S42" i="81"/>
  <c r="R42" i="81"/>
  <c r="S41" i="81"/>
  <c r="R41" i="81"/>
  <c r="S40" i="81"/>
  <c r="R40" i="81"/>
  <c r="S39" i="81"/>
  <c r="R39" i="81"/>
  <c r="S38" i="81"/>
  <c r="R38" i="81"/>
  <c r="S37" i="81"/>
  <c r="R37" i="81"/>
  <c r="S36" i="81"/>
  <c r="R36" i="81"/>
  <c r="S35" i="81"/>
  <c r="R35" i="81"/>
  <c r="S34" i="81"/>
  <c r="R34" i="81"/>
  <c r="S33" i="81"/>
  <c r="R33" i="81"/>
  <c r="S32" i="81"/>
  <c r="R32" i="81"/>
  <c r="S31" i="81"/>
  <c r="R31" i="81"/>
  <c r="S30" i="81"/>
  <c r="R30" i="81"/>
  <c r="S29" i="81"/>
  <c r="R29" i="81"/>
  <c r="S28" i="81"/>
  <c r="R28" i="81"/>
  <c r="S27" i="81"/>
  <c r="R27" i="81"/>
  <c r="S26" i="81"/>
  <c r="R26" i="81"/>
  <c r="S25" i="81"/>
  <c r="R25" i="81"/>
  <c r="S24" i="81"/>
  <c r="R24" i="81"/>
  <c r="S23" i="81"/>
  <c r="R23" i="81"/>
  <c r="S22" i="81"/>
  <c r="R22" i="81"/>
  <c r="S21" i="81"/>
  <c r="R21" i="81"/>
  <c r="S20" i="81"/>
  <c r="R20" i="81"/>
  <c r="S19" i="81"/>
  <c r="R19" i="81"/>
  <c r="S18" i="81"/>
  <c r="R18" i="81"/>
  <c r="S17" i="81"/>
  <c r="R17" i="81"/>
  <c r="S16" i="81"/>
  <c r="R16" i="81"/>
  <c r="S15" i="81"/>
  <c r="R15" i="81"/>
  <c r="S14" i="81"/>
  <c r="R14" i="81"/>
  <c r="S13" i="81"/>
  <c r="R13" i="81"/>
  <c r="S12" i="81"/>
  <c r="R12" i="81"/>
  <c r="S11" i="81"/>
  <c r="R11" i="81"/>
  <c r="S10" i="81"/>
  <c r="R10" i="81"/>
  <c r="S9" i="81"/>
  <c r="R9" i="81"/>
  <c r="S8" i="81"/>
  <c r="R8" i="81"/>
  <c r="S7" i="81"/>
  <c r="R7" i="81"/>
  <c r="S6" i="81"/>
  <c r="R6" i="81"/>
  <c r="S5" i="81"/>
  <c r="R5" i="81"/>
  <c r="S4" i="81"/>
  <c r="R4" i="81"/>
  <c r="S3" i="81"/>
  <c r="R3" i="81"/>
  <c r="S2" i="81"/>
  <c r="R2" i="81"/>
  <c r="S220" i="80"/>
  <c r="R220" i="80"/>
  <c r="S219" i="80"/>
  <c r="R219" i="80"/>
  <c r="S218" i="80"/>
  <c r="R218" i="80"/>
  <c r="S217" i="80"/>
  <c r="R217" i="80"/>
  <c r="S216" i="80"/>
  <c r="R216" i="80"/>
  <c r="S215" i="80"/>
  <c r="R215" i="80"/>
  <c r="S214" i="80"/>
  <c r="R214" i="80"/>
  <c r="S213" i="80"/>
  <c r="R213" i="80"/>
  <c r="S212" i="80"/>
  <c r="R212" i="80"/>
  <c r="S211" i="80"/>
  <c r="R211" i="80"/>
  <c r="S210" i="80"/>
  <c r="R210" i="80"/>
  <c r="S209" i="80"/>
  <c r="R209" i="80"/>
  <c r="S208" i="80"/>
  <c r="R208" i="80"/>
  <c r="S207" i="80"/>
  <c r="R207" i="80"/>
  <c r="S206" i="80"/>
  <c r="R206" i="80"/>
  <c r="S205" i="80"/>
  <c r="R205" i="80"/>
  <c r="S204" i="80"/>
  <c r="R204" i="80"/>
  <c r="S203" i="80"/>
  <c r="R203" i="80"/>
  <c r="S202" i="80"/>
  <c r="R202" i="80"/>
  <c r="S201" i="80"/>
  <c r="R201" i="80"/>
  <c r="S200" i="80"/>
  <c r="R200" i="80"/>
  <c r="S199" i="80"/>
  <c r="R199" i="80"/>
  <c r="S198" i="80"/>
  <c r="R198" i="80"/>
  <c r="S197" i="80"/>
  <c r="R197" i="80"/>
  <c r="S196" i="80"/>
  <c r="R196" i="80"/>
  <c r="S195" i="80"/>
  <c r="R195" i="80"/>
  <c r="S194" i="80"/>
  <c r="R194" i="80"/>
  <c r="S193" i="80"/>
  <c r="R193" i="80"/>
  <c r="S192" i="80"/>
  <c r="R192" i="80"/>
  <c r="S191" i="80"/>
  <c r="R191" i="80"/>
  <c r="S190" i="80"/>
  <c r="R190" i="80"/>
  <c r="S189" i="80"/>
  <c r="R189" i="80"/>
  <c r="S188" i="80"/>
  <c r="R188" i="80"/>
  <c r="S187" i="80"/>
  <c r="R187" i="80"/>
  <c r="S186" i="80"/>
  <c r="R186" i="80"/>
  <c r="S185" i="80"/>
  <c r="R185" i="80"/>
  <c r="S184" i="80"/>
  <c r="R184" i="80"/>
  <c r="S183" i="80"/>
  <c r="R183" i="80"/>
  <c r="S182" i="80"/>
  <c r="R182" i="80"/>
  <c r="S181" i="80"/>
  <c r="R181" i="80"/>
  <c r="S180" i="80"/>
  <c r="R180" i="80"/>
  <c r="S179" i="80"/>
  <c r="R179" i="80"/>
  <c r="S178" i="80"/>
  <c r="R178" i="80"/>
  <c r="S177" i="80"/>
  <c r="R177" i="80"/>
  <c r="S176" i="80"/>
  <c r="R176" i="80"/>
  <c r="S175" i="80"/>
  <c r="R175" i="80"/>
  <c r="S174" i="80"/>
  <c r="R174" i="80"/>
  <c r="S173" i="80"/>
  <c r="R173" i="80"/>
  <c r="S172" i="80"/>
  <c r="R172" i="80"/>
  <c r="S171" i="80"/>
  <c r="R171" i="80"/>
  <c r="S170" i="80"/>
  <c r="R170" i="80"/>
  <c r="S169" i="80"/>
  <c r="R169" i="80"/>
  <c r="S168" i="80"/>
  <c r="R168" i="80"/>
  <c r="S167" i="80"/>
  <c r="R167" i="80"/>
  <c r="S166" i="80"/>
  <c r="R166" i="80"/>
  <c r="S165" i="80"/>
  <c r="R165" i="80"/>
  <c r="S164" i="80"/>
  <c r="R164" i="80"/>
  <c r="S163" i="80"/>
  <c r="R163" i="80"/>
  <c r="S162" i="80"/>
  <c r="R162" i="80"/>
  <c r="S161" i="80"/>
  <c r="R161" i="80"/>
  <c r="S160" i="80"/>
  <c r="R160" i="80"/>
  <c r="S159" i="80"/>
  <c r="R159" i="80"/>
  <c r="S158" i="80"/>
  <c r="R158" i="80"/>
  <c r="S157" i="80"/>
  <c r="R157" i="80"/>
  <c r="S156" i="80"/>
  <c r="R156" i="80"/>
  <c r="S155" i="80"/>
  <c r="R155" i="80"/>
  <c r="S154" i="80"/>
  <c r="R154" i="80"/>
  <c r="S153" i="80"/>
  <c r="R153" i="80"/>
  <c r="S152" i="80"/>
  <c r="R152" i="80"/>
  <c r="S151" i="80"/>
  <c r="R151" i="80"/>
  <c r="S150" i="80"/>
  <c r="R150" i="80"/>
  <c r="S149" i="80"/>
  <c r="R149" i="80"/>
  <c r="S148" i="80"/>
  <c r="R148" i="80"/>
  <c r="S147" i="80"/>
  <c r="R147" i="80"/>
  <c r="S146" i="80"/>
  <c r="R146" i="80"/>
  <c r="S145" i="80"/>
  <c r="R145" i="80"/>
  <c r="S144" i="80"/>
  <c r="R144" i="80"/>
  <c r="S143" i="80"/>
  <c r="R143" i="80"/>
  <c r="S142" i="80"/>
  <c r="R142" i="80"/>
  <c r="S141" i="80"/>
  <c r="R141" i="80"/>
  <c r="S140" i="80"/>
  <c r="R140" i="80"/>
  <c r="S139" i="80"/>
  <c r="R139" i="80"/>
  <c r="S138" i="80"/>
  <c r="R138" i="80"/>
  <c r="S137" i="80"/>
  <c r="R137" i="80"/>
  <c r="S136" i="80"/>
  <c r="R136" i="80"/>
  <c r="S135" i="80"/>
  <c r="R135" i="80"/>
  <c r="S134" i="80"/>
  <c r="R134" i="80"/>
  <c r="S133" i="80"/>
  <c r="R133" i="80"/>
  <c r="S132" i="80"/>
  <c r="R132" i="80"/>
  <c r="S131" i="80"/>
  <c r="R131" i="80"/>
  <c r="S130" i="80"/>
  <c r="R130" i="80"/>
  <c r="S129" i="80"/>
  <c r="R129" i="80"/>
  <c r="S128" i="80"/>
  <c r="R128" i="80"/>
  <c r="S127" i="80"/>
  <c r="R127" i="80"/>
  <c r="S126" i="80"/>
  <c r="R126" i="80"/>
  <c r="S125" i="80"/>
  <c r="R125" i="80"/>
  <c r="S124" i="80"/>
  <c r="R124" i="80"/>
  <c r="S123" i="80"/>
  <c r="R123" i="80"/>
  <c r="S122" i="80"/>
  <c r="R122" i="80"/>
  <c r="S121" i="80"/>
  <c r="R121" i="80"/>
  <c r="S120" i="80"/>
  <c r="R120" i="80"/>
  <c r="S119" i="80"/>
  <c r="R119" i="80"/>
  <c r="S118" i="80"/>
  <c r="R118" i="80"/>
  <c r="S117" i="80"/>
  <c r="R117" i="80"/>
  <c r="S116" i="80"/>
  <c r="R116" i="80"/>
  <c r="S115" i="80"/>
  <c r="R115" i="80"/>
  <c r="S114" i="80"/>
  <c r="R114" i="80"/>
  <c r="S113" i="80"/>
  <c r="R113" i="80"/>
  <c r="S112" i="80"/>
  <c r="R112" i="80"/>
  <c r="S111" i="80"/>
  <c r="R111" i="80"/>
  <c r="S110" i="80"/>
  <c r="R110" i="80"/>
  <c r="S109" i="80"/>
  <c r="R109" i="80"/>
  <c r="S108" i="80"/>
  <c r="R108" i="80"/>
  <c r="S107" i="80"/>
  <c r="R107" i="80"/>
  <c r="S106" i="80"/>
  <c r="R106" i="80"/>
  <c r="S105" i="80"/>
  <c r="R105" i="80"/>
  <c r="S104" i="80"/>
  <c r="R104" i="80"/>
  <c r="S103" i="80"/>
  <c r="R103" i="80"/>
  <c r="S102" i="80"/>
  <c r="R102" i="80"/>
  <c r="S101" i="80"/>
  <c r="R101" i="80"/>
  <c r="S100" i="80"/>
  <c r="R100" i="80"/>
  <c r="S99" i="80"/>
  <c r="R99" i="80"/>
  <c r="S98" i="80"/>
  <c r="R98" i="80"/>
  <c r="S97" i="80"/>
  <c r="R97" i="80"/>
  <c r="S96" i="80"/>
  <c r="R96" i="80"/>
  <c r="S95" i="80"/>
  <c r="R95" i="80"/>
  <c r="S94" i="80"/>
  <c r="R94" i="80"/>
  <c r="S93" i="80"/>
  <c r="R93" i="80"/>
  <c r="S92" i="80"/>
  <c r="R92" i="80"/>
  <c r="S91" i="80"/>
  <c r="R91" i="80"/>
  <c r="S90" i="80"/>
  <c r="R90" i="80"/>
  <c r="S89" i="80"/>
  <c r="R89" i="80"/>
  <c r="S88" i="80"/>
  <c r="R88" i="80"/>
  <c r="S87" i="80"/>
  <c r="R87" i="80"/>
  <c r="S86" i="80"/>
  <c r="R86" i="80"/>
  <c r="S85" i="80"/>
  <c r="R85" i="80"/>
  <c r="S84" i="80"/>
  <c r="R84" i="80"/>
  <c r="S83" i="80"/>
  <c r="R83" i="80"/>
  <c r="S82" i="80"/>
  <c r="R82" i="80"/>
  <c r="S81" i="80"/>
  <c r="R81" i="80"/>
  <c r="S80" i="80"/>
  <c r="R80" i="80"/>
  <c r="S79" i="80"/>
  <c r="R79" i="80"/>
  <c r="S78" i="80"/>
  <c r="R78" i="80"/>
  <c r="S77" i="80"/>
  <c r="R77" i="80"/>
  <c r="S76" i="80"/>
  <c r="R76" i="80"/>
  <c r="S75" i="80"/>
  <c r="R75" i="80"/>
  <c r="S74" i="80"/>
  <c r="R74" i="80"/>
  <c r="S73" i="80"/>
  <c r="R73" i="80"/>
  <c r="S72" i="80"/>
  <c r="R72" i="80"/>
  <c r="S71" i="80"/>
  <c r="R71" i="80"/>
  <c r="S70" i="80"/>
  <c r="R70" i="80"/>
  <c r="S69" i="80"/>
  <c r="R69" i="80"/>
  <c r="S68" i="80"/>
  <c r="R68" i="80"/>
  <c r="S67" i="80"/>
  <c r="R67" i="80"/>
  <c r="S66" i="80"/>
  <c r="R66" i="80"/>
  <c r="S65" i="80"/>
  <c r="R65" i="80"/>
  <c r="S64" i="80"/>
  <c r="R64" i="80"/>
  <c r="S63" i="80"/>
  <c r="R63" i="80"/>
  <c r="S62" i="80"/>
  <c r="R62" i="80"/>
  <c r="S61" i="80"/>
  <c r="R61" i="80"/>
  <c r="S60" i="80"/>
  <c r="R60" i="80"/>
  <c r="S59" i="80"/>
  <c r="R59" i="80"/>
  <c r="S58" i="80"/>
  <c r="R58" i="80"/>
  <c r="S57" i="80"/>
  <c r="R57" i="80"/>
  <c r="S56" i="80"/>
  <c r="R56" i="80"/>
  <c r="S55" i="80"/>
  <c r="R55" i="80"/>
  <c r="S54" i="80"/>
  <c r="R54" i="80"/>
  <c r="S53" i="80"/>
  <c r="R53" i="80"/>
  <c r="S52" i="80"/>
  <c r="R52" i="80"/>
  <c r="S51" i="80"/>
  <c r="R51" i="80"/>
  <c r="S50" i="80"/>
  <c r="R50" i="80"/>
  <c r="S49" i="80"/>
  <c r="R49" i="80"/>
  <c r="S48" i="80"/>
  <c r="R48" i="80"/>
  <c r="S47" i="80"/>
  <c r="R47" i="80"/>
  <c r="S46" i="80"/>
  <c r="R46" i="80"/>
  <c r="S45" i="80"/>
  <c r="R45" i="80"/>
  <c r="S44" i="80"/>
  <c r="R44" i="80"/>
  <c r="S43" i="80"/>
  <c r="R43" i="80"/>
  <c r="S42" i="80"/>
  <c r="R42" i="80"/>
  <c r="S41" i="80"/>
  <c r="R41" i="80"/>
  <c r="S40" i="80"/>
  <c r="R40" i="80"/>
  <c r="S39" i="80"/>
  <c r="R39" i="80"/>
  <c r="S38" i="80"/>
  <c r="R38" i="80"/>
  <c r="S37" i="80"/>
  <c r="R37" i="80"/>
  <c r="S36" i="80"/>
  <c r="R36" i="80"/>
  <c r="S35" i="80"/>
  <c r="R35" i="80"/>
  <c r="S34" i="80"/>
  <c r="R34" i="80"/>
  <c r="S33" i="80"/>
  <c r="R33" i="80"/>
  <c r="S32" i="80"/>
  <c r="R32" i="80"/>
  <c r="S31" i="80"/>
  <c r="R31" i="80"/>
  <c r="S30" i="80"/>
  <c r="R30" i="80"/>
  <c r="S29" i="80"/>
  <c r="R29" i="80"/>
  <c r="S28" i="80"/>
  <c r="R28" i="80"/>
  <c r="S27" i="80"/>
  <c r="R27" i="80"/>
  <c r="S26" i="80"/>
  <c r="R26" i="80"/>
  <c r="S25" i="80"/>
  <c r="R25" i="80"/>
  <c r="S24" i="80"/>
  <c r="R24" i="80"/>
  <c r="S23" i="80"/>
  <c r="R23" i="80"/>
  <c r="S22" i="80"/>
  <c r="R22" i="80"/>
  <c r="S21" i="80"/>
  <c r="R21" i="80"/>
  <c r="S20" i="80"/>
  <c r="R20" i="80"/>
  <c r="S19" i="80"/>
  <c r="R19" i="80"/>
  <c r="S18" i="80"/>
  <c r="R18" i="80"/>
  <c r="S17" i="80"/>
  <c r="R17" i="80"/>
  <c r="S16" i="80"/>
  <c r="R16" i="80"/>
  <c r="S15" i="80"/>
  <c r="R15" i="80"/>
  <c r="S14" i="80"/>
  <c r="R14" i="80"/>
  <c r="S13" i="80"/>
  <c r="R13" i="80"/>
  <c r="S12" i="80"/>
  <c r="R12" i="80"/>
  <c r="S11" i="80"/>
  <c r="R11" i="80"/>
  <c r="S10" i="80"/>
  <c r="R10" i="80"/>
  <c r="S9" i="80"/>
  <c r="R9" i="80"/>
  <c r="S8" i="80"/>
  <c r="R8" i="80"/>
  <c r="S7" i="80"/>
  <c r="R7" i="80"/>
  <c r="S6" i="80"/>
  <c r="R6" i="80"/>
  <c r="S5" i="80"/>
  <c r="R5" i="80"/>
  <c r="S4" i="80"/>
  <c r="R4" i="80"/>
  <c r="S3" i="80"/>
  <c r="R3" i="80"/>
  <c r="S2" i="80"/>
  <c r="R2" i="80"/>
  <c r="R39" i="78"/>
  <c r="C217" i="32" a="1"/>
  <c r="D217" i="32" s="1" a="1"/>
  <c r="C216" i="32" a="1"/>
  <c r="D216" i="32" s="1" a="1"/>
  <c r="C215" i="32" a="1"/>
  <c r="D215" i="32" s="1" a="1"/>
  <c r="C214" i="32" a="1"/>
  <c r="D214" i="32" s="1" a="1"/>
  <c r="C213" i="32" a="1"/>
  <c r="D213" i="32" s="1" a="1"/>
  <c r="C212" i="32" a="1"/>
  <c r="D212" i="32" s="1" a="1"/>
  <c r="C211" i="32" a="1"/>
  <c r="D211" i="32" s="1" a="1"/>
  <c r="R220" i="79"/>
  <c r="R219" i="79"/>
  <c r="R218" i="79"/>
  <c r="R217" i="79"/>
  <c r="R216" i="79"/>
  <c r="R215" i="79"/>
  <c r="R214" i="79"/>
  <c r="R213" i="79"/>
  <c r="R212" i="79"/>
  <c r="R211" i="79"/>
  <c r="R210" i="79"/>
  <c r="R209" i="79"/>
  <c r="R208" i="79"/>
  <c r="R207" i="79"/>
  <c r="R206" i="79"/>
  <c r="R205" i="79"/>
  <c r="R204" i="79"/>
  <c r="R203" i="79"/>
  <c r="R202" i="79"/>
  <c r="R201" i="79"/>
  <c r="R200" i="79"/>
  <c r="R199" i="79"/>
  <c r="R198" i="79"/>
  <c r="R197" i="79"/>
  <c r="R196" i="79"/>
  <c r="R195" i="79"/>
  <c r="R194" i="79"/>
  <c r="R193" i="79"/>
  <c r="R192" i="79"/>
  <c r="R191" i="79"/>
  <c r="R190" i="79"/>
  <c r="R189" i="79"/>
  <c r="R188" i="79"/>
  <c r="R187" i="79"/>
  <c r="R186" i="79"/>
  <c r="R185" i="79"/>
  <c r="R184" i="79"/>
  <c r="R183" i="79"/>
  <c r="R182" i="79"/>
  <c r="R181" i="79"/>
  <c r="R180" i="79"/>
  <c r="R179" i="79"/>
  <c r="R178" i="79"/>
  <c r="R177" i="79"/>
  <c r="R176" i="79"/>
  <c r="R175" i="79"/>
  <c r="R174" i="79"/>
  <c r="R173" i="79"/>
  <c r="R172" i="79"/>
  <c r="R171" i="79"/>
  <c r="R170" i="79"/>
  <c r="R169" i="79"/>
  <c r="R168" i="79"/>
  <c r="R167" i="79"/>
  <c r="R166" i="79"/>
  <c r="R165" i="79"/>
  <c r="R164" i="79"/>
  <c r="R163" i="79"/>
  <c r="R162" i="79"/>
  <c r="R161" i="79"/>
  <c r="R160" i="79"/>
  <c r="R159" i="79"/>
  <c r="R158" i="79"/>
  <c r="R157" i="79"/>
  <c r="R156" i="79"/>
  <c r="R155" i="79"/>
  <c r="R154" i="79"/>
  <c r="R153" i="79"/>
  <c r="R152" i="79"/>
  <c r="R151" i="79"/>
  <c r="R150" i="79"/>
  <c r="R149" i="79"/>
  <c r="R148" i="79"/>
  <c r="R147" i="79"/>
  <c r="R146" i="79"/>
  <c r="R145" i="79"/>
  <c r="R144" i="79"/>
  <c r="R143" i="79"/>
  <c r="R142" i="79"/>
  <c r="R141" i="79"/>
  <c r="R140" i="79"/>
  <c r="R139" i="79"/>
  <c r="R138" i="79"/>
  <c r="R137" i="79"/>
  <c r="R136" i="79"/>
  <c r="R135" i="79"/>
  <c r="R134" i="79"/>
  <c r="R133" i="79"/>
  <c r="R132" i="79"/>
  <c r="R131" i="79"/>
  <c r="R130" i="79"/>
  <c r="R129" i="79"/>
  <c r="R128" i="79"/>
  <c r="R127" i="79"/>
  <c r="R126" i="79"/>
  <c r="R125" i="79"/>
  <c r="R124" i="79"/>
  <c r="R123" i="79"/>
  <c r="R122" i="79"/>
  <c r="R121" i="79"/>
  <c r="R120" i="79"/>
  <c r="R119" i="79"/>
  <c r="R118" i="79"/>
  <c r="R117" i="79"/>
  <c r="R116" i="79"/>
  <c r="R115" i="79"/>
  <c r="R114" i="79"/>
  <c r="R113" i="79"/>
  <c r="R112" i="79"/>
  <c r="R111" i="79"/>
  <c r="R110" i="79"/>
  <c r="R109" i="79"/>
  <c r="R108" i="79"/>
  <c r="R107" i="79"/>
  <c r="R106" i="79"/>
  <c r="R105" i="79"/>
  <c r="R104" i="79"/>
  <c r="R103" i="79"/>
  <c r="R102" i="79"/>
  <c r="R101" i="79"/>
  <c r="R100" i="79"/>
  <c r="R99" i="79"/>
  <c r="R98" i="79"/>
  <c r="R97" i="79"/>
  <c r="R96" i="79"/>
  <c r="R95" i="79"/>
  <c r="R94" i="79"/>
  <c r="R93" i="79"/>
  <c r="R92" i="79"/>
  <c r="R91" i="79"/>
  <c r="R90" i="79"/>
  <c r="R89" i="79"/>
  <c r="R88" i="79"/>
  <c r="R87" i="79"/>
  <c r="R86" i="79"/>
  <c r="R85" i="79"/>
  <c r="R84" i="79"/>
  <c r="R83" i="79"/>
  <c r="R82" i="79"/>
  <c r="R81" i="79"/>
  <c r="R80" i="79"/>
  <c r="R79" i="79"/>
  <c r="R78" i="79"/>
  <c r="R77" i="79"/>
  <c r="R76" i="79"/>
  <c r="R75" i="79"/>
  <c r="R74" i="79"/>
  <c r="R73" i="79"/>
  <c r="R72" i="79"/>
  <c r="R71" i="79"/>
  <c r="R70" i="79"/>
  <c r="R69" i="79"/>
  <c r="R68" i="79"/>
  <c r="R67" i="79"/>
  <c r="R66" i="79"/>
  <c r="R65" i="79"/>
  <c r="R64" i="79"/>
  <c r="R63" i="79"/>
  <c r="R62" i="79"/>
  <c r="R61" i="79"/>
  <c r="R60" i="79"/>
  <c r="R59" i="79"/>
  <c r="R58" i="79"/>
  <c r="R57" i="79"/>
  <c r="R56" i="79"/>
  <c r="R55" i="79"/>
  <c r="R54" i="79"/>
  <c r="R53" i="79"/>
  <c r="R52" i="79"/>
  <c r="R51" i="79"/>
  <c r="R50" i="79"/>
  <c r="R49" i="79"/>
  <c r="R48" i="79"/>
  <c r="R47" i="79"/>
  <c r="R46" i="79"/>
  <c r="R45" i="79"/>
  <c r="R44" i="79"/>
  <c r="R43" i="79"/>
  <c r="R42" i="79"/>
  <c r="R41" i="79"/>
  <c r="R40" i="79"/>
  <c r="R39" i="79"/>
  <c r="R38" i="79"/>
  <c r="R37" i="79"/>
  <c r="R36" i="79"/>
  <c r="R35" i="79"/>
  <c r="R34" i="79"/>
  <c r="R33" i="79"/>
  <c r="R32" i="79"/>
  <c r="R31" i="79"/>
  <c r="R30" i="79"/>
  <c r="R29" i="79"/>
  <c r="R28" i="79"/>
  <c r="R27" i="79"/>
  <c r="R26" i="79"/>
  <c r="R25" i="79"/>
  <c r="R24" i="79"/>
  <c r="R23" i="79"/>
  <c r="R22" i="79"/>
  <c r="R21" i="79"/>
  <c r="R20" i="79"/>
  <c r="R19" i="79"/>
  <c r="R18" i="79"/>
  <c r="R17" i="79"/>
  <c r="R16" i="79"/>
  <c r="R15" i="79"/>
  <c r="R14" i="79"/>
  <c r="R13" i="79"/>
  <c r="R12" i="79"/>
  <c r="R11" i="79"/>
  <c r="R10" i="79"/>
  <c r="R9" i="79"/>
  <c r="R8" i="79"/>
  <c r="R7" i="79"/>
  <c r="R6" i="79"/>
  <c r="R5" i="79"/>
  <c r="R4" i="79"/>
  <c r="R3" i="79"/>
  <c r="R2" i="79"/>
  <c r="R220" i="78"/>
  <c r="R219" i="78"/>
  <c r="R218" i="78"/>
  <c r="R217" i="78"/>
  <c r="R216" i="78"/>
  <c r="R215" i="78"/>
  <c r="R214" i="78"/>
  <c r="R213" i="78"/>
  <c r="R212" i="78"/>
  <c r="R211" i="78"/>
  <c r="R210" i="78"/>
  <c r="R209" i="78"/>
  <c r="R208" i="78"/>
  <c r="R207" i="78"/>
  <c r="R206" i="78"/>
  <c r="R205" i="78"/>
  <c r="R204" i="78"/>
  <c r="R203" i="78"/>
  <c r="R202" i="78"/>
  <c r="R201" i="78"/>
  <c r="R200" i="78"/>
  <c r="R199" i="78"/>
  <c r="R198" i="78"/>
  <c r="R197" i="78"/>
  <c r="R196" i="78"/>
  <c r="R195" i="78"/>
  <c r="R194" i="78"/>
  <c r="R193" i="78"/>
  <c r="R192" i="78"/>
  <c r="R191" i="78"/>
  <c r="R190" i="78"/>
  <c r="R189" i="78"/>
  <c r="R188" i="78"/>
  <c r="R187" i="78"/>
  <c r="R186" i="78"/>
  <c r="R185" i="78"/>
  <c r="R184" i="78"/>
  <c r="R183" i="78"/>
  <c r="R182" i="78"/>
  <c r="R181" i="78"/>
  <c r="R180" i="78"/>
  <c r="R179" i="78"/>
  <c r="R178" i="78"/>
  <c r="R177" i="78"/>
  <c r="R176" i="78"/>
  <c r="R175" i="78"/>
  <c r="R174" i="78"/>
  <c r="R173" i="78"/>
  <c r="R172" i="78"/>
  <c r="R171" i="78"/>
  <c r="R170" i="78"/>
  <c r="R169" i="78"/>
  <c r="R168" i="78"/>
  <c r="R167" i="78"/>
  <c r="R166" i="78"/>
  <c r="R165" i="78"/>
  <c r="R164" i="78"/>
  <c r="R163" i="78"/>
  <c r="R162" i="78"/>
  <c r="R161" i="78"/>
  <c r="R160" i="78"/>
  <c r="R159" i="78"/>
  <c r="R158" i="78"/>
  <c r="R157" i="78"/>
  <c r="R156" i="78"/>
  <c r="R155" i="78"/>
  <c r="R154" i="78"/>
  <c r="R153" i="78"/>
  <c r="R152" i="78"/>
  <c r="R151" i="78"/>
  <c r="R150" i="78"/>
  <c r="R149" i="78"/>
  <c r="R148" i="78"/>
  <c r="R147" i="78"/>
  <c r="R146" i="78"/>
  <c r="R145" i="78"/>
  <c r="R144" i="78"/>
  <c r="R143" i="78"/>
  <c r="R142" i="78"/>
  <c r="R141" i="78"/>
  <c r="R140" i="78"/>
  <c r="R139" i="78"/>
  <c r="R138" i="78"/>
  <c r="R137" i="78"/>
  <c r="R136" i="78"/>
  <c r="R135" i="78"/>
  <c r="R134" i="78"/>
  <c r="R133" i="78"/>
  <c r="R132" i="78"/>
  <c r="R131" i="78"/>
  <c r="R130" i="78"/>
  <c r="R129" i="78"/>
  <c r="R128" i="78"/>
  <c r="R127" i="78"/>
  <c r="R126" i="78"/>
  <c r="R125" i="78"/>
  <c r="R124" i="78"/>
  <c r="R123" i="78"/>
  <c r="R122" i="78"/>
  <c r="R121" i="78"/>
  <c r="R120" i="78"/>
  <c r="R119" i="78"/>
  <c r="R118" i="78"/>
  <c r="R117" i="78"/>
  <c r="R116" i="78"/>
  <c r="R115" i="78"/>
  <c r="R114" i="78"/>
  <c r="R113" i="78"/>
  <c r="R112" i="78"/>
  <c r="R111" i="78"/>
  <c r="R110" i="78"/>
  <c r="R109" i="78"/>
  <c r="R108" i="78"/>
  <c r="R107" i="78"/>
  <c r="R106" i="78"/>
  <c r="R105" i="78"/>
  <c r="R104" i="78"/>
  <c r="R103" i="78"/>
  <c r="R102" i="78"/>
  <c r="R101" i="78"/>
  <c r="R100" i="78"/>
  <c r="R99" i="78"/>
  <c r="R98" i="78"/>
  <c r="R97" i="78"/>
  <c r="R96" i="78"/>
  <c r="R95" i="78"/>
  <c r="R94" i="78"/>
  <c r="R93" i="78"/>
  <c r="R92" i="78"/>
  <c r="R91" i="78"/>
  <c r="R90" i="78"/>
  <c r="R89" i="78"/>
  <c r="R88" i="78"/>
  <c r="R87" i="78"/>
  <c r="R86" i="78"/>
  <c r="R85" i="78"/>
  <c r="R84" i="78"/>
  <c r="R83" i="78"/>
  <c r="R82" i="78"/>
  <c r="R81" i="78"/>
  <c r="R80" i="78"/>
  <c r="R79" i="78"/>
  <c r="R78" i="78"/>
  <c r="R77" i="78"/>
  <c r="R76" i="78"/>
  <c r="R75" i="78"/>
  <c r="R74" i="78"/>
  <c r="R73" i="78"/>
  <c r="R72" i="78"/>
  <c r="R71" i="78"/>
  <c r="R70" i="78"/>
  <c r="R69" i="78"/>
  <c r="R68" i="78"/>
  <c r="R67" i="78"/>
  <c r="R66" i="78"/>
  <c r="R65" i="78"/>
  <c r="R64" i="78"/>
  <c r="R63" i="78"/>
  <c r="R62" i="78"/>
  <c r="R61" i="78"/>
  <c r="R60" i="78"/>
  <c r="R59" i="78"/>
  <c r="R58" i="78"/>
  <c r="R57" i="78"/>
  <c r="R56" i="78"/>
  <c r="R55" i="78"/>
  <c r="R54" i="78"/>
  <c r="R53" i="78"/>
  <c r="R52" i="78"/>
  <c r="R51" i="78"/>
  <c r="R50" i="78"/>
  <c r="R49" i="78"/>
  <c r="R48" i="78"/>
  <c r="R47" i="78"/>
  <c r="R46" i="78"/>
  <c r="R45" i="78"/>
  <c r="R44" i="78"/>
  <c r="R43" i="78"/>
  <c r="R42" i="78"/>
  <c r="R41" i="78"/>
  <c r="R40" i="78"/>
  <c r="R38" i="78"/>
  <c r="R37" i="78"/>
  <c r="R36" i="78"/>
  <c r="R35" i="78"/>
  <c r="R34" i="78"/>
  <c r="R33" i="78"/>
  <c r="R32" i="78"/>
  <c r="R31" i="78"/>
  <c r="R30" i="78"/>
  <c r="R29" i="78"/>
  <c r="R28" i="78"/>
  <c r="R27" i="78"/>
  <c r="R26" i="78"/>
  <c r="R25" i="78"/>
  <c r="R24" i="78"/>
  <c r="R23" i="78"/>
  <c r="R22" i="78"/>
  <c r="R21" i="78"/>
  <c r="R20" i="78"/>
  <c r="R19" i="78"/>
  <c r="R18" i="78"/>
  <c r="R17" i="78"/>
  <c r="R16" i="78"/>
  <c r="R15" i="78"/>
  <c r="R14" i="78"/>
  <c r="R13" i="78"/>
  <c r="R12" i="78"/>
  <c r="R11" i="78"/>
  <c r="R10" i="78"/>
  <c r="R9" i="78"/>
  <c r="R8" i="78"/>
  <c r="R7" i="78"/>
  <c r="R6" i="78"/>
  <c r="R5" i="78"/>
  <c r="R4" i="78"/>
  <c r="R3" i="78"/>
  <c r="R2" i="78"/>
  <c r="R220" i="77"/>
  <c r="R219" i="77"/>
  <c r="R218" i="77"/>
  <c r="R217" i="77"/>
  <c r="R216" i="77"/>
  <c r="R215" i="77"/>
  <c r="R214" i="77"/>
  <c r="R213" i="77"/>
  <c r="R212" i="77"/>
  <c r="R211" i="77"/>
  <c r="R210" i="77"/>
  <c r="R209" i="77"/>
  <c r="R208" i="77"/>
  <c r="R207" i="77"/>
  <c r="R206" i="77"/>
  <c r="R205" i="77"/>
  <c r="R204" i="77"/>
  <c r="R203" i="77"/>
  <c r="R202" i="77"/>
  <c r="R201" i="77"/>
  <c r="R200" i="77"/>
  <c r="R199" i="77"/>
  <c r="R198" i="77"/>
  <c r="R197" i="77"/>
  <c r="R196" i="77"/>
  <c r="R195" i="77"/>
  <c r="R194" i="77"/>
  <c r="R193" i="77"/>
  <c r="R192" i="77"/>
  <c r="R191" i="77"/>
  <c r="R190" i="77"/>
  <c r="R189" i="77"/>
  <c r="R188" i="77"/>
  <c r="R187" i="77"/>
  <c r="R186" i="77"/>
  <c r="R185" i="77"/>
  <c r="R184" i="77"/>
  <c r="R183" i="77"/>
  <c r="R182" i="77"/>
  <c r="R181" i="77"/>
  <c r="R180" i="77"/>
  <c r="R179" i="77"/>
  <c r="R178" i="77"/>
  <c r="R177" i="77"/>
  <c r="R176" i="77"/>
  <c r="R175" i="77"/>
  <c r="R174" i="77"/>
  <c r="R173" i="77"/>
  <c r="R172" i="77"/>
  <c r="R171" i="77"/>
  <c r="R170" i="77"/>
  <c r="R169" i="77"/>
  <c r="R168" i="77"/>
  <c r="R167" i="77"/>
  <c r="R166" i="77"/>
  <c r="R165" i="77"/>
  <c r="R164" i="77"/>
  <c r="R163" i="77"/>
  <c r="R162" i="77"/>
  <c r="R161" i="77"/>
  <c r="R160" i="77"/>
  <c r="R159" i="77"/>
  <c r="R158" i="77"/>
  <c r="R157" i="77"/>
  <c r="R156" i="77"/>
  <c r="R155" i="77"/>
  <c r="R154" i="77"/>
  <c r="R153" i="77"/>
  <c r="R152" i="77"/>
  <c r="R151" i="77"/>
  <c r="R150" i="77"/>
  <c r="R149" i="77"/>
  <c r="R148" i="77"/>
  <c r="R147" i="77"/>
  <c r="R146" i="77"/>
  <c r="R145" i="77"/>
  <c r="R144" i="77"/>
  <c r="R143" i="77"/>
  <c r="R142" i="77"/>
  <c r="R141" i="77"/>
  <c r="R140" i="77"/>
  <c r="R139" i="77"/>
  <c r="R138" i="77"/>
  <c r="R137" i="77"/>
  <c r="R136" i="77"/>
  <c r="R135" i="77"/>
  <c r="R134" i="77"/>
  <c r="R133" i="77"/>
  <c r="R132" i="77"/>
  <c r="R131" i="77"/>
  <c r="R130" i="77"/>
  <c r="R129" i="77"/>
  <c r="R128" i="77"/>
  <c r="R127" i="77"/>
  <c r="R126" i="77"/>
  <c r="R125" i="77"/>
  <c r="R124" i="77"/>
  <c r="R123" i="77"/>
  <c r="R122" i="77"/>
  <c r="R121" i="77"/>
  <c r="R120" i="77"/>
  <c r="R119" i="77"/>
  <c r="R118" i="77"/>
  <c r="R117" i="77"/>
  <c r="R116" i="77"/>
  <c r="R115" i="77"/>
  <c r="R114" i="77"/>
  <c r="R113" i="77"/>
  <c r="R112" i="77"/>
  <c r="R111" i="77"/>
  <c r="R110" i="77"/>
  <c r="R109" i="77"/>
  <c r="R108" i="77"/>
  <c r="R107" i="77"/>
  <c r="R106" i="77"/>
  <c r="R105" i="77"/>
  <c r="R104" i="77"/>
  <c r="R103" i="77"/>
  <c r="R102" i="77"/>
  <c r="R101" i="77"/>
  <c r="R100" i="77"/>
  <c r="R99" i="77"/>
  <c r="R98" i="77"/>
  <c r="R97" i="77"/>
  <c r="R96" i="77"/>
  <c r="R95" i="77"/>
  <c r="R94" i="77"/>
  <c r="R93" i="77"/>
  <c r="R92" i="77"/>
  <c r="R91" i="77"/>
  <c r="R90" i="77"/>
  <c r="R89" i="77"/>
  <c r="R88" i="77"/>
  <c r="R87" i="77"/>
  <c r="R86" i="77"/>
  <c r="R85" i="77"/>
  <c r="R84" i="77"/>
  <c r="R83" i="77"/>
  <c r="R82" i="77"/>
  <c r="R81" i="77"/>
  <c r="R80" i="77"/>
  <c r="R79" i="77"/>
  <c r="R78" i="77"/>
  <c r="R77" i="77"/>
  <c r="R76" i="77"/>
  <c r="R75" i="77"/>
  <c r="R74" i="77"/>
  <c r="R73" i="77"/>
  <c r="R72" i="77"/>
  <c r="R71" i="77"/>
  <c r="R70" i="77"/>
  <c r="R69" i="77"/>
  <c r="R68" i="77"/>
  <c r="R67" i="77"/>
  <c r="R66" i="77"/>
  <c r="R65" i="77"/>
  <c r="R64" i="77"/>
  <c r="R63" i="77"/>
  <c r="R62" i="77"/>
  <c r="R61" i="77"/>
  <c r="R60" i="77"/>
  <c r="R59" i="77"/>
  <c r="R58" i="77"/>
  <c r="R57" i="77"/>
  <c r="R56" i="77"/>
  <c r="R55" i="77"/>
  <c r="R54" i="77"/>
  <c r="R53" i="77"/>
  <c r="R52" i="77"/>
  <c r="R51" i="77"/>
  <c r="R50" i="77"/>
  <c r="R49" i="77"/>
  <c r="R48" i="77"/>
  <c r="R47" i="77"/>
  <c r="R46" i="77"/>
  <c r="R45" i="77"/>
  <c r="R44" i="77"/>
  <c r="R43" i="77"/>
  <c r="R42" i="77"/>
  <c r="R41" i="77"/>
  <c r="R40" i="77"/>
  <c r="R39" i="77"/>
  <c r="R38" i="77"/>
  <c r="R37" i="77"/>
  <c r="R36" i="77"/>
  <c r="R35" i="77"/>
  <c r="R34" i="77"/>
  <c r="R33" i="77"/>
  <c r="R32" i="77"/>
  <c r="R31" i="77"/>
  <c r="R30" i="77"/>
  <c r="R29" i="77"/>
  <c r="R28" i="77"/>
  <c r="R27" i="77"/>
  <c r="R26" i="77"/>
  <c r="R25" i="77"/>
  <c r="R24" i="77"/>
  <c r="R23" i="77"/>
  <c r="R22" i="77"/>
  <c r="R21" i="77"/>
  <c r="R20" i="77"/>
  <c r="R19" i="77"/>
  <c r="R18" i="77"/>
  <c r="R17" i="77"/>
  <c r="R16" i="77"/>
  <c r="R15" i="77"/>
  <c r="R14" i="77"/>
  <c r="R13" i="77"/>
  <c r="R12" i="77"/>
  <c r="R11" i="77"/>
  <c r="R10" i="77"/>
  <c r="R9" i="77"/>
  <c r="R8" i="77"/>
  <c r="R7" i="77"/>
  <c r="R6" i="77"/>
  <c r="R5" i="77"/>
  <c r="R4" i="77"/>
  <c r="R3" i="77"/>
  <c r="R2" i="77"/>
  <c r="R220" i="76"/>
  <c r="R219" i="76"/>
  <c r="R218" i="76"/>
  <c r="R217" i="76"/>
  <c r="R216" i="76"/>
  <c r="R215" i="76"/>
  <c r="R214" i="76"/>
  <c r="R213" i="76"/>
  <c r="R212" i="76"/>
  <c r="R211" i="76"/>
  <c r="R210" i="76"/>
  <c r="R209" i="76"/>
  <c r="R208" i="76"/>
  <c r="R207" i="76"/>
  <c r="R206" i="76"/>
  <c r="R205" i="76"/>
  <c r="R204" i="76"/>
  <c r="R203" i="76"/>
  <c r="R202" i="76"/>
  <c r="R201" i="76"/>
  <c r="R200" i="76"/>
  <c r="R199" i="76"/>
  <c r="R198" i="76"/>
  <c r="R197" i="76"/>
  <c r="R196" i="76"/>
  <c r="R195" i="76"/>
  <c r="R194" i="76"/>
  <c r="R193" i="76"/>
  <c r="R192" i="76"/>
  <c r="R191" i="76"/>
  <c r="R190" i="76"/>
  <c r="R189" i="76"/>
  <c r="R188" i="76"/>
  <c r="R187" i="76"/>
  <c r="R186" i="76"/>
  <c r="R185" i="76"/>
  <c r="R184" i="76"/>
  <c r="R183" i="76"/>
  <c r="R182" i="76"/>
  <c r="R181" i="76"/>
  <c r="R180" i="76"/>
  <c r="R179" i="76"/>
  <c r="R178" i="76"/>
  <c r="R177" i="76"/>
  <c r="R176" i="76"/>
  <c r="R175" i="76"/>
  <c r="R174" i="76"/>
  <c r="R173" i="76"/>
  <c r="R172" i="76"/>
  <c r="R171" i="76"/>
  <c r="R170" i="76"/>
  <c r="R169" i="76"/>
  <c r="R168" i="76"/>
  <c r="R167" i="76"/>
  <c r="R166" i="76"/>
  <c r="R165" i="76"/>
  <c r="R164" i="76"/>
  <c r="R163" i="76"/>
  <c r="R162" i="76"/>
  <c r="R161" i="76"/>
  <c r="R160" i="76"/>
  <c r="R159" i="76"/>
  <c r="R158" i="76"/>
  <c r="R157" i="76"/>
  <c r="R156" i="76"/>
  <c r="R155" i="76"/>
  <c r="R154" i="76"/>
  <c r="R153" i="76"/>
  <c r="R152" i="76"/>
  <c r="R151" i="76"/>
  <c r="R150" i="76"/>
  <c r="R149" i="76"/>
  <c r="R148" i="76"/>
  <c r="R147" i="76"/>
  <c r="R146" i="76"/>
  <c r="R145" i="76"/>
  <c r="R144" i="76"/>
  <c r="R143" i="76"/>
  <c r="R142" i="76"/>
  <c r="R141" i="76"/>
  <c r="R140" i="76"/>
  <c r="R139" i="76"/>
  <c r="R138" i="76"/>
  <c r="R137" i="76"/>
  <c r="R136" i="76"/>
  <c r="R135" i="76"/>
  <c r="R134" i="76"/>
  <c r="R133" i="76"/>
  <c r="R132" i="76"/>
  <c r="R131" i="76"/>
  <c r="R130" i="76"/>
  <c r="R129" i="76"/>
  <c r="R128" i="76"/>
  <c r="R127" i="76"/>
  <c r="R126" i="76"/>
  <c r="R125" i="76"/>
  <c r="R124" i="76"/>
  <c r="R123" i="76"/>
  <c r="R122" i="76"/>
  <c r="R121" i="76"/>
  <c r="R120" i="76"/>
  <c r="R119" i="76"/>
  <c r="R118" i="76"/>
  <c r="R117" i="76"/>
  <c r="R116" i="76"/>
  <c r="R115" i="76"/>
  <c r="R114" i="76"/>
  <c r="R113" i="76"/>
  <c r="R112" i="76"/>
  <c r="R111" i="76"/>
  <c r="R110" i="76"/>
  <c r="R109" i="76"/>
  <c r="R108" i="76"/>
  <c r="R107" i="76"/>
  <c r="R106" i="76"/>
  <c r="R105" i="76"/>
  <c r="R104" i="76"/>
  <c r="R103" i="76"/>
  <c r="R102" i="76"/>
  <c r="R101" i="76"/>
  <c r="R100" i="76"/>
  <c r="R99" i="76"/>
  <c r="R98" i="76"/>
  <c r="R97" i="76"/>
  <c r="R96" i="76"/>
  <c r="R95" i="76"/>
  <c r="R94" i="76"/>
  <c r="R93" i="76"/>
  <c r="R92" i="76"/>
  <c r="R91" i="76"/>
  <c r="R90" i="76"/>
  <c r="R89" i="76"/>
  <c r="R88" i="76"/>
  <c r="R87" i="76"/>
  <c r="R86" i="76"/>
  <c r="R85" i="76"/>
  <c r="R84" i="76"/>
  <c r="R83" i="76"/>
  <c r="R82" i="76"/>
  <c r="R81" i="76"/>
  <c r="R80" i="76"/>
  <c r="R79" i="76"/>
  <c r="R78" i="76"/>
  <c r="R77" i="76"/>
  <c r="R76" i="76"/>
  <c r="R75" i="76"/>
  <c r="R74" i="76"/>
  <c r="R73" i="76"/>
  <c r="R72" i="76"/>
  <c r="R71" i="76"/>
  <c r="R70" i="76"/>
  <c r="R69" i="76"/>
  <c r="R68" i="76"/>
  <c r="R67" i="76"/>
  <c r="R66" i="76"/>
  <c r="R65" i="76"/>
  <c r="R64" i="76"/>
  <c r="R63" i="76"/>
  <c r="R62" i="76"/>
  <c r="R61" i="76"/>
  <c r="R60" i="76"/>
  <c r="R59" i="76"/>
  <c r="R58" i="76"/>
  <c r="R57" i="76"/>
  <c r="R56" i="76"/>
  <c r="R55" i="76"/>
  <c r="R54" i="76"/>
  <c r="R53" i="76"/>
  <c r="R52" i="76"/>
  <c r="R51" i="76"/>
  <c r="R50" i="76"/>
  <c r="R49" i="76"/>
  <c r="R48" i="76"/>
  <c r="R47" i="76"/>
  <c r="R46" i="76"/>
  <c r="R45" i="76"/>
  <c r="R44" i="76"/>
  <c r="R43" i="76"/>
  <c r="R42" i="76"/>
  <c r="R41" i="76"/>
  <c r="R40" i="76"/>
  <c r="R39" i="76"/>
  <c r="R34" i="76"/>
  <c r="R29" i="76"/>
  <c r="R21" i="76"/>
  <c r="R20" i="76"/>
  <c r="R19" i="76"/>
  <c r="R18" i="76"/>
  <c r="R17" i="76"/>
  <c r="R16" i="76"/>
  <c r="R14" i="76"/>
  <c r="R13" i="76"/>
  <c r="R12" i="76"/>
  <c r="R11" i="76"/>
  <c r="R10" i="76"/>
  <c r="R9" i="76"/>
  <c r="R8" i="76"/>
  <c r="R7" i="76"/>
  <c r="R6" i="76"/>
  <c r="R5" i="76"/>
  <c r="R4" i="76"/>
  <c r="R3" i="76"/>
  <c r="R2" i="76"/>
  <c r="R220" i="75"/>
  <c r="R219" i="75"/>
  <c r="R218" i="75"/>
  <c r="R217" i="75"/>
  <c r="R216" i="75"/>
  <c r="R215" i="75"/>
  <c r="R214" i="75"/>
  <c r="R213" i="75"/>
  <c r="R212" i="75"/>
  <c r="R211" i="75"/>
  <c r="R210" i="75"/>
  <c r="R209" i="75"/>
  <c r="R208" i="75"/>
  <c r="R207" i="75"/>
  <c r="R206" i="75"/>
  <c r="R205" i="75"/>
  <c r="R204" i="75"/>
  <c r="R203" i="75"/>
  <c r="R202" i="75"/>
  <c r="R201" i="75"/>
  <c r="R200" i="75"/>
  <c r="R199" i="75"/>
  <c r="R198" i="75"/>
  <c r="R197" i="75"/>
  <c r="R196" i="75"/>
  <c r="R195" i="75"/>
  <c r="R194" i="75"/>
  <c r="R193" i="75"/>
  <c r="R192" i="75"/>
  <c r="R191" i="75"/>
  <c r="R190" i="75"/>
  <c r="R189" i="75"/>
  <c r="R188" i="75"/>
  <c r="R187" i="75"/>
  <c r="R186" i="75"/>
  <c r="R185" i="75"/>
  <c r="R184" i="75"/>
  <c r="R183" i="75"/>
  <c r="R182" i="75"/>
  <c r="R181" i="75"/>
  <c r="R180" i="75"/>
  <c r="R179" i="75"/>
  <c r="R178" i="75"/>
  <c r="R177" i="75"/>
  <c r="R176" i="75"/>
  <c r="R175" i="75"/>
  <c r="R174" i="75"/>
  <c r="R173" i="75"/>
  <c r="R172" i="75"/>
  <c r="R171" i="75"/>
  <c r="R170" i="75"/>
  <c r="R169" i="75"/>
  <c r="R168" i="75"/>
  <c r="R167" i="75"/>
  <c r="R166" i="75"/>
  <c r="R165" i="75"/>
  <c r="R164" i="75"/>
  <c r="R163" i="75"/>
  <c r="R162" i="75"/>
  <c r="R161" i="75"/>
  <c r="R160" i="75"/>
  <c r="R159" i="75"/>
  <c r="R158" i="75"/>
  <c r="R157" i="75"/>
  <c r="R156" i="75"/>
  <c r="R155" i="75"/>
  <c r="R154" i="75"/>
  <c r="R153" i="75"/>
  <c r="R152" i="75"/>
  <c r="R151" i="75"/>
  <c r="R150" i="75"/>
  <c r="R149" i="75"/>
  <c r="R148" i="75"/>
  <c r="R147" i="75"/>
  <c r="R146" i="75"/>
  <c r="R145" i="75"/>
  <c r="R144" i="75"/>
  <c r="R143" i="75"/>
  <c r="R142" i="75"/>
  <c r="R141" i="75"/>
  <c r="R140" i="75"/>
  <c r="R139" i="75"/>
  <c r="R138" i="75"/>
  <c r="R137" i="75"/>
  <c r="R136" i="75"/>
  <c r="R135" i="75"/>
  <c r="R134" i="75"/>
  <c r="R133" i="75"/>
  <c r="R132" i="75"/>
  <c r="R131" i="75"/>
  <c r="R130" i="75"/>
  <c r="R129" i="75"/>
  <c r="R128" i="75"/>
  <c r="R127" i="75"/>
  <c r="R126" i="75"/>
  <c r="R125" i="75"/>
  <c r="R124" i="75"/>
  <c r="R123" i="75"/>
  <c r="R122" i="75"/>
  <c r="R121" i="75"/>
  <c r="R120" i="75"/>
  <c r="R119" i="75"/>
  <c r="R118" i="75"/>
  <c r="R117" i="75"/>
  <c r="R116" i="75"/>
  <c r="R115" i="75"/>
  <c r="R114" i="75"/>
  <c r="R113" i="75"/>
  <c r="R112" i="75"/>
  <c r="R111" i="75"/>
  <c r="R110" i="75"/>
  <c r="R109" i="75"/>
  <c r="R108" i="75"/>
  <c r="R107" i="75"/>
  <c r="R106" i="75"/>
  <c r="R105" i="75"/>
  <c r="R104" i="75"/>
  <c r="R103" i="75"/>
  <c r="R102" i="75"/>
  <c r="R101" i="75"/>
  <c r="R100" i="75"/>
  <c r="R99" i="75"/>
  <c r="R98" i="75"/>
  <c r="R97" i="75"/>
  <c r="R96" i="75"/>
  <c r="R95" i="75"/>
  <c r="R94" i="75"/>
  <c r="R93" i="75"/>
  <c r="R92" i="75"/>
  <c r="R91" i="75"/>
  <c r="R90" i="75"/>
  <c r="R89" i="75"/>
  <c r="R88" i="75"/>
  <c r="R87" i="75"/>
  <c r="R86" i="75"/>
  <c r="R85" i="75"/>
  <c r="R84" i="75"/>
  <c r="R83" i="75"/>
  <c r="R82" i="75"/>
  <c r="R81" i="75"/>
  <c r="R80" i="75"/>
  <c r="R79" i="75"/>
  <c r="R78" i="75"/>
  <c r="R77" i="75"/>
  <c r="R76" i="75"/>
  <c r="R75" i="75"/>
  <c r="R74" i="75"/>
  <c r="R73" i="75"/>
  <c r="R72" i="75"/>
  <c r="R71" i="75"/>
  <c r="R70" i="75"/>
  <c r="R69" i="75"/>
  <c r="R68" i="75"/>
  <c r="R67" i="75"/>
  <c r="R66" i="75"/>
  <c r="R65" i="75"/>
  <c r="R64" i="75"/>
  <c r="R63" i="75"/>
  <c r="R62" i="75"/>
  <c r="R61" i="75"/>
  <c r="R60" i="75"/>
  <c r="R59" i="75"/>
  <c r="R58" i="75"/>
  <c r="R57" i="75"/>
  <c r="R56" i="75"/>
  <c r="R55" i="75"/>
  <c r="R54" i="75"/>
  <c r="R53" i="75"/>
  <c r="R52" i="75"/>
  <c r="R51" i="75"/>
  <c r="R50" i="75"/>
  <c r="R49" i="75"/>
  <c r="R48" i="75"/>
  <c r="R47" i="75"/>
  <c r="R46" i="75"/>
  <c r="R45" i="75"/>
  <c r="R44" i="75"/>
  <c r="R43" i="75"/>
  <c r="R42" i="75"/>
  <c r="R41" i="75"/>
  <c r="R40" i="75"/>
  <c r="R39" i="75"/>
  <c r="R38" i="75"/>
  <c r="R37" i="75"/>
  <c r="R36" i="75"/>
  <c r="R35" i="75"/>
  <c r="R34" i="75"/>
  <c r="R33" i="75"/>
  <c r="R32" i="75"/>
  <c r="R31" i="75"/>
  <c r="R30" i="75"/>
  <c r="R29" i="75"/>
  <c r="R28" i="75"/>
  <c r="R27" i="75"/>
  <c r="R26" i="75"/>
  <c r="R25" i="75"/>
  <c r="R24" i="75"/>
  <c r="R23" i="75"/>
  <c r="R22" i="75"/>
  <c r="R21" i="75"/>
  <c r="R20" i="75"/>
  <c r="R19" i="75"/>
  <c r="R18" i="75"/>
  <c r="R17" i="75"/>
  <c r="R16" i="75"/>
  <c r="R15" i="75"/>
  <c r="R14" i="75"/>
  <c r="R13" i="75"/>
  <c r="R12" i="75"/>
  <c r="R11" i="75"/>
  <c r="R10" i="75"/>
  <c r="R9" i="75"/>
  <c r="R8" i="75"/>
  <c r="R7" i="75"/>
  <c r="R6" i="75"/>
  <c r="R5" i="75"/>
  <c r="R4" i="75"/>
  <c r="R3" i="75"/>
  <c r="R2" i="75"/>
  <c r="R220" i="74"/>
  <c r="R219" i="74"/>
  <c r="R218" i="74"/>
  <c r="R217" i="74"/>
  <c r="R216" i="74"/>
  <c r="R215" i="74"/>
  <c r="R214" i="74"/>
  <c r="R213" i="74"/>
  <c r="R212" i="74"/>
  <c r="R211" i="74"/>
  <c r="R210" i="74"/>
  <c r="R209" i="74"/>
  <c r="R208" i="74"/>
  <c r="R207" i="74"/>
  <c r="R206" i="74"/>
  <c r="R205" i="74"/>
  <c r="R204" i="74"/>
  <c r="R203" i="74"/>
  <c r="R202" i="74"/>
  <c r="R201" i="74"/>
  <c r="R200" i="74"/>
  <c r="R199" i="74"/>
  <c r="R198" i="74"/>
  <c r="R197" i="74"/>
  <c r="R196" i="74"/>
  <c r="R195" i="74"/>
  <c r="R194" i="74"/>
  <c r="R193" i="74"/>
  <c r="R192" i="74"/>
  <c r="R191" i="74"/>
  <c r="R190" i="74"/>
  <c r="R189" i="74"/>
  <c r="R188" i="74"/>
  <c r="R187" i="74"/>
  <c r="R186" i="74"/>
  <c r="R185" i="74"/>
  <c r="R184" i="74"/>
  <c r="R183" i="74"/>
  <c r="R182" i="74"/>
  <c r="R181" i="74"/>
  <c r="R180" i="74"/>
  <c r="R179" i="74"/>
  <c r="R178" i="74"/>
  <c r="R177" i="74"/>
  <c r="R176" i="74"/>
  <c r="R175" i="74"/>
  <c r="R174" i="74"/>
  <c r="R173" i="74"/>
  <c r="R172" i="74"/>
  <c r="R171" i="74"/>
  <c r="R170" i="74"/>
  <c r="R169" i="74"/>
  <c r="R168" i="74"/>
  <c r="R167" i="74"/>
  <c r="R166" i="74"/>
  <c r="R165" i="74"/>
  <c r="R164" i="74"/>
  <c r="R163" i="74"/>
  <c r="R162" i="74"/>
  <c r="R161" i="74"/>
  <c r="R160" i="74"/>
  <c r="R159" i="74"/>
  <c r="R158" i="74"/>
  <c r="R157" i="74"/>
  <c r="R156" i="74"/>
  <c r="R155" i="74"/>
  <c r="R154" i="74"/>
  <c r="R153" i="74"/>
  <c r="R152" i="74"/>
  <c r="R151" i="74"/>
  <c r="R150" i="74"/>
  <c r="R149" i="74"/>
  <c r="R148" i="74"/>
  <c r="R147" i="74"/>
  <c r="R146" i="74"/>
  <c r="R145" i="74"/>
  <c r="R144" i="74"/>
  <c r="R143" i="74"/>
  <c r="R142" i="74"/>
  <c r="R141" i="74"/>
  <c r="R140" i="74"/>
  <c r="R139" i="74"/>
  <c r="R138" i="74"/>
  <c r="R137" i="74"/>
  <c r="R136" i="74"/>
  <c r="R135" i="74"/>
  <c r="R134" i="74"/>
  <c r="R133" i="74"/>
  <c r="R132" i="74"/>
  <c r="R131" i="74"/>
  <c r="R130" i="74"/>
  <c r="R129" i="74"/>
  <c r="R128" i="74"/>
  <c r="R127" i="74"/>
  <c r="R126" i="74"/>
  <c r="R125" i="74"/>
  <c r="R124" i="74"/>
  <c r="R123" i="74"/>
  <c r="R122" i="74"/>
  <c r="R121" i="74"/>
  <c r="R120" i="74"/>
  <c r="R119" i="74"/>
  <c r="R118" i="74"/>
  <c r="R117" i="74"/>
  <c r="R116" i="74"/>
  <c r="R115" i="74"/>
  <c r="R114" i="74"/>
  <c r="R113" i="74"/>
  <c r="R112" i="74"/>
  <c r="R111" i="74"/>
  <c r="R110" i="74"/>
  <c r="R109" i="74"/>
  <c r="R108" i="74"/>
  <c r="R107" i="74"/>
  <c r="R106" i="74"/>
  <c r="R105" i="74"/>
  <c r="R104" i="74"/>
  <c r="R103" i="74"/>
  <c r="R102" i="74"/>
  <c r="R101" i="74"/>
  <c r="R100" i="74"/>
  <c r="R99" i="74"/>
  <c r="R98" i="74"/>
  <c r="R97" i="74"/>
  <c r="R96" i="74"/>
  <c r="R95" i="74"/>
  <c r="R94" i="74"/>
  <c r="R93" i="74"/>
  <c r="R92" i="74"/>
  <c r="R91" i="74"/>
  <c r="R90" i="74"/>
  <c r="R89" i="74"/>
  <c r="R88" i="74"/>
  <c r="R87" i="74"/>
  <c r="R86" i="74"/>
  <c r="R85" i="74"/>
  <c r="R84" i="74"/>
  <c r="R83" i="74"/>
  <c r="R82" i="74"/>
  <c r="R81" i="74"/>
  <c r="R80" i="74"/>
  <c r="R79" i="74"/>
  <c r="R78" i="74"/>
  <c r="R77" i="74"/>
  <c r="R76" i="74"/>
  <c r="R75" i="74"/>
  <c r="R74" i="74"/>
  <c r="R73" i="74"/>
  <c r="R72" i="74"/>
  <c r="R71" i="74"/>
  <c r="R70" i="74"/>
  <c r="R69" i="74"/>
  <c r="R68" i="74"/>
  <c r="R67" i="74"/>
  <c r="R66" i="74"/>
  <c r="R65" i="74"/>
  <c r="R64" i="74"/>
  <c r="R63" i="74"/>
  <c r="R62" i="74"/>
  <c r="R61" i="74"/>
  <c r="R60" i="74"/>
  <c r="R59" i="74"/>
  <c r="R58" i="74"/>
  <c r="R57" i="74"/>
  <c r="R56" i="74"/>
  <c r="R55" i="74"/>
  <c r="R54" i="74"/>
  <c r="R53" i="74"/>
  <c r="R52" i="74"/>
  <c r="R51" i="74"/>
  <c r="R50" i="74"/>
  <c r="R49" i="74"/>
  <c r="R48" i="74"/>
  <c r="R47" i="74"/>
  <c r="R46" i="74"/>
  <c r="R45" i="74"/>
  <c r="R44" i="74"/>
  <c r="R43" i="74"/>
  <c r="R42" i="74"/>
  <c r="R41" i="74"/>
  <c r="R40" i="74"/>
  <c r="R39" i="74"/>
  <c r="R38" i="74"/>
  <c r="R37" i="74"/>
  <c r="R36" i="74"/>
  <c r="R35" i="74"/>
  <c r="R34" i="74"/>
  <c r="R33" i="74"/>
  <c r="R32" i="74"/>
  <c r="R31" i="74"/>
  <c r="R30" i="74"/>
  <c r="R29" i="74"/>
  <c r="R28" i="74"/>
  <c r="R27" i="74"/>
  <c r="R26" i="74"/>
  <c r="R25" i="74"/>
  <c r="R24" i="74"/>
  <c r="R23" i="74"/>
  <c r="R22" i="74"/>
  <c r="R21" i="74"/>
  <c r="R20" i="74"/>
  <c r="R19" i="74"/>
  <c r="R18" i="74"/>
  <c r="R17" i="74"/>
  <c r="R16" i="74"/>
  <c r="R15" i="74"/>
  <c r="R14" i="74"/>
  <c r="R13" i="74"/>
  <c r="R12" i="74"/>
  <c r="R11" i="74"/>
  <c r="R10" i="74"/>
  <c r="R9" i="74"/>
  <c r="R8" i="74"/>
  <c r="R7" i="74"/>
  <c r="R6" i="74"/>
  <c r="R5" i="74"/>
  <c r="R4" i="74"/>
  <c r="R3" i="74"/>
  <c r="R2" i="74"/>
  <c r="C210" i="32" a="1"/>
  <c r="D210" i="32" s="1" a="1"/>
  <c r="S220" i="79"/>
  <c r="S219" i="79"/>
  <c r="S218" i="79"/>
  <c r="S217" i="79"/>
  <c r="S216" i="79"/>
  <c r="S215" i="79"/>
  <c r="S214" i="79"/>
  <c r="S213" i="79"/>
  <c r="S212" i="79"/>
  <c r="S211" i="79"/>
  <c r="S210" i="79"/>
  <c r="S209" i="79"/>
  <c r="S208" i="79"/>
  <c r="S207" i="79"/>
  <c r="S206" i="79"/>
  <c r="S205" i="79"/>
  <c r="S204" i="79"/>
  <c r="S203" i="79"/>
  <c r="S202" i="79"/>
  <c r="S201" i="79"/>
  <c r="S200" i="79"/>
  <c r="S199" i="79"/>
  <c r="S198" i="79"/>
  <c r="S197" i="79"/>
  <c r="S196" i="79"/>
  <c r="S195" i="79"/>
  <c r="S194" i="79"/>
  <c r="S193" i="79"/>
  <c r="S192" i="79"/>
  <c r="S191" i="79"/>
  <c r="S190" i="79"/>
  <c r="S189" i="79"/>
  <c r="S188" i="79"/>
  <c r="S187" i="79"/>
  <c r="S186" i="79"/>
  <c r="S185" i="79"/>
  <c r="S184" i="79"/>
  <c r="S183" i="79"/>
  <c r="S182" i="79"/>
  <c r="S181" i="79"/>
  <c r="S180" i="79"/>
  <c r="S179" i="79"/>
  <c r="S178" i="79"/>
  <c r="S177" i="79"/>
  <c r="S176" i="79"/>
  <c r="S175" i="79"/>
  <c r="S174" i="79"/>
  <c r="S173" i="79"/>
  <c r="S172" i="79"/>
  <c r="S171" i="79"/>
  <c r="S170" i="79"/>
  <c r="S169" i="79"/>
  <c r="S168" i="79"/>
  <c r="S167" i="79"/>
  <c r="S166" i="79"/>
  <c r="S165" i="79"/>
  <c r="S164" i="79"/>
  <c r="S163" i="79"/>
  <c r="S162" i="79"/>
  <c r="S161" i="79"/>
  <c r="S160" i="79"/>
  <c r="S159" i="79"/>
  <c r="S158" i="79"/>
  <c r="S157" i="79"/>
  <c r="S156" i="79"/>
  <c r="S155" i="79"/>
  <c r="S154" i="79"/>
  <c r="S153" i="79"/>
  <c r="S152" i="79"/>
  <c r="S151" i="79"/>
  <c r="S150" i="79"/>
  <c r="S149" i="79"/>
  <c r="S148" i="79"/>
  <c r="S147" i="79"/>
  <c r="S146" i="79"/>
  <c r="S145" i="79"/>
  <c r="S144" i="79"/>
  <c r="S143" i="79"/>
  <c r="S142" i="79"/>
  <c r="S141" i="79"/>
  <c r="S140" i="79"/>
  <c r="S139" i="79"/>
  <c r="S138" i="79"/>
  <c r="S137" i="79"/>
  <c r="S136" i="79"/>
  <c r="S135" i="79"/>
  <c r="S134" i="79"/>
  <c r="S133" i="79"/>
  <c r="S132" i="79"/>
  <c r="S131" i="79"/>
  <c r="S130" i="79"/>
  <c r="S129" i="79"/>
  <c r="S128" i="79"/>
  <c r="S127" i="79"/>
  <c r="S126" i="79"/>
  <c r="S125" i="79"/>
  <c r="S124" i="79"/>
  <c r="S123" i="79"/>
  <c r="S122" i="79"/>
  <c r="S121" i="79"/>
  <c r="S120" i="79"/>
  <c r="S119" i="79"/>
  <c r="S118" i="79"/>
  <c r="S117" i="79"/>
  <c r="S116" i="79"/>
  <c r="S115" i="79"/>
  <c r="S114" i="79"/>
  <c r="S113" i="79"/>
  <c r="S112" i="79"/>
  <c r="S111" i="79"/>
  <c r="S110" i="79"/>
  <c r="S109" i="79"/>
  <c r="S108" i="79"/>
  <c r="S107" i="79"/>
  <c r="S106" i="79"/>
  <c r="S105" i="79"/>
  <c r="S104" i="79"/>
  <c r="S103" i="79"/>
  <c r="S102" i="79"/>
  <c r="S101" i="79"/>
  <c r="S100" i="79"/>
  <c r="S99" i="79"/>
  <c r="S98" i="79"/>
  <c r="S97" i="79"/>
  <c r="S96" i="79"/>
  <c r="S95" i="79"/>
  <c r="S94" i="79"/>
  <c r="S93" i="79"/>
  <c r="S92" i="79"/>
  <c r="S91" i="79"/>
  <c r="S90" i="79"/>
  <c r="S89" i="79"/>
  <c r="S88" i="79"/>
  <c r="S87" i="79"/>
  <c r="S86" i="79"/>
  <c r="S85" i="79"/>
  <c r="S84" i="79"/>
  <c r="S83" i="79"/>
  <c r="S82" i="79"/>
  <c r="S81" i="79"/>
  <c r="S80" i="79"/>
  <c r="S79" i="79"/>
  <c r="S78" i="79"/>
  <c r="S77" i="79"/>
  <c r="S76" i="79"/>
  <c r="S75" i="79"/>
  <c r="S74" i="79"/>
  <c r="S73" i="79"/>
  <c r="S72" i="79"/>
  <c r="S71" i="79"/>
  <c r="S70" i="79"/>
  <c r="S69" i="79"/>
  <c r="S68" i="79"/>
  <c r="S67" i="79"/>
  <c r="S66" i="79"/>
  <c r="S65" i="79"/>
  <c r="S64" i="79"/>
  <c r="S63" i="79"/>
  <c r="S62" i="79"/>
  <c r="S61" i="79"/>
  <c r="S60" i="79"/>
  <c r="S59" i="79"/>
  <c r="S58" i="79"/>
  <c r="S57" i="79"/>
  <c r="S56" i="79"/>
  <c r="S55" i="79"/>
  <c r="S54" i="79"/>
  <c r="S53" i="79"/>
  <c r="S52" i="79"/>
  <c r="S51" i="79"/>
  <c r="S50" i="79"/>
  <c r="S49" i="79"/>
  <c r="S48" i="79"/>
  <c r="S47" i="79"/>
  <c r="S46" i="79"/>
  <c r="S45" i="79"/>
  <c r="S44" i="79"/>
  <c r="S43" i="79"/>
  <c r="S42" i="79"/>
  <c r="S41" i="79"/>
  <c r="S40" i="79"/>
  <c r="S39" i="79"/>
  <c r="S38" i="79"/>
  <c r="S37" i="79"/>
  <c r="S36" i="79"/>
  <c r="S35" i="79"/>
  <c r="S34" i="79"/>
  <c r="S33" i="79"/>
  <c r="S32" i="79"/>
  <c r="S31" i="79"/>
  <c r="S30" i="79"/>
  <c r="S29" i="79"/>
  <c r="S28" i="79"/>
  <c r="S27" i="79"/>
  <c r="S26" i="79"/>
  <c r="S25" i="79"/>
  <c r="S24" i="79"/>
  <c r="S23" i="79"/>
  <c r="S22" i="79"/>
  <c r="S21" i="79"/>
  <c r="S20" i="79"/>
  <c r="S19" i="79"/>
  <c r="S18" i="79"/>
  <c r="S17" i="79"/>
  <c r="S16" i="79"/>
  <c r="S15" i="79"/>
  <c r="S14" i="79"/>
  <c r="S13" i="79"/>
  <c r="S12" i="79"/>
  <c r="S11" i="79"/>
  <c r="S10" i="79"/>
  <c r="S9" i="79"/>
  <c r="S8" i="79"/>
  <c r="S7" i="79"/>
  <c r="S6" i="79"/>
  <c r="S5" i="79"/>
  <c r="S4" i="79"/>
  <c r="S3" i="79"/>
  <c r="S2" i="79"/>
  <c r="S220" i="78"/>
  <c r="S219" i="78"/>
  <c r="S218" i="78"/>
  <c r="S217" i="78"/>
  <c r="S216" i="78"/>
  <c r="S215" i="78"/>
  <c r="S214" i="78"/>
  <c r="S213" i="78"/>
  <c r="S212" i="78"/>
  <c r="S211" i="78"/>
  <c r="S210" i="78"/>
  <c r="S209" i="78"/>
  <c r="S208" i="78"/>
  <c r="S207" i="78"/>
  <c r="S206" i="78"/>
  <c r="S205" i="78"/>
  <c r="S204" i="78"/>
  <c r="S203" i="78"/>
  <c r="S202" i="78"/>
  <c r="S201" i="78"/>
  <c r="S200" i="78"/>
  <c r="S199" i="78"/>
  <c r="S198" i="78"/>
  <c r="S197" i="78"/>
  <c r="S196" i="78"/>
  <c r="S195" i="78"/>
  <c r="S194" i="78"/>
  <c r="S193" i="78"/>
  <c r="S192" i="78"/>
  <c r="S191" i="78"/>
  <c r="S190" i="78"/>
  <c r="S189" i="78"/>
  <c r="S188" i="78"/>
  <c r="S187" i="78"/>
  <c r="S186" i="78"/>
  <c r="S185" i="78"/>
  <c r="S184" i="78"/>
  <c r="S183" i="78"/>
  <c r="S182" i="78"/>
  <c r="S181" i="78"/>
  <c r="S180" i="78"/>
  <c r="S179" i="78"/>
  <c r="S178" i="78"/>
  <c r="S177" i="78"/>
  <c r="S176" i="78"/>
  <c r="S175" i="78"/>
  <c r="S174" i="78"/>
  <c r="S173" i="78"/>
  <c r="S172" i="78"/>
  <c r="S171" i="78"/>
  <c r="S170" i="78"/>
  <c r="S169" i="78"/>
  <c r="S168" i="78"/>
  <c r="S167" i="78"/>
  <c r="S166" i="78"/>
  <c r="S165" i="78"/>
  <c r="S164" i="78"/>
  <c r="S163" i="78"/>
  <c r="S162" i="78"/>
  <c r="S161" i="78"/>
  <c r="S160" i="78"/>
  <c r="S159" i="78"/>
  <c r="S158" i="78"/>
  <c r="S157" i="78"/>
  <c r="S156" i="78"/>
  <c r="S155" i="78"/>
  <c r="S154" i="78"/>
  <c r="S153" i="78"/>
  <c r="S152" i="78"/>
  <c r="S151" i="78"/>
  <c r="S150" i="78"/>
  <c r="S149" i="78"/>
  <c r="S148" i="78"/>
  <c r="S147" i="78"/>
  <c r="S146" i="78"/>
  <c r="S145" i="78"/>
  <c r="S144" i="78"/>
  <c r="S143" i="78"/>
  <c r="S142" i="78"/>
  <c r="S141" i="78"/>
  <c r="S140" i="78"/>
  <c r="S139" i="78"/>
  <c r="S138" i="78"/>
  <c r="S137" i="78"/>
  <c r="S136" i="78"/>
  <c r="S135" i="78"/>
  <c r="S134" i="78"/>
  <c r="S133" i="78"/>
  <c r="S132" i="78"/>
  <c r="S131" i="78"/>
  <c r="S130" i="78"/>
  <c r="S129" i="78"/>
  <c r="S128" i="78"/>
  <c r="S127" i="78"/>
  <c r="S126" i="78"/>
  <c r="S125" i="78"/>
  <c r="S124" i="78"/>
  <c r="S123" i="78"/>
  <c r="S122" i="78"/>
  <c r="S121" i="78"/>
  <c r="S120" i="78"/>
  <c r="S119" i="78"/>
  <c r="S118" i="78"/>
  <c r="S117" i="78"/>
  <c r="S116" i="78"/>
  <c r="S115" i="78"/>
  <c r="S114" i="78"/>
  <c r="S113" i="78"/>
  <c r="S112" i="78"/>
  <c r="S111" i="78"/>
  <c r="S110" i="78"/>
  <c r="S109" i="78"/>
  <c r="S108" i="78"/>
  <c r="S107" i="78"/>
  <c r="S106" i="78"/>
  <c r="S105" i="78"/>
  <c r="S104" i="78"/>
  <c r="S103" i="78"/>
  <c r="S102" i="78"/>
  <c r="S101" i="78"/>
  <c r="S100" i="78"/>
  <c r="S99" i="78"/>
  <c r="S98" i="78"/>
  <c r="S97" i="78"/>
  <c r="S96" i="78"/>
  <c r="S95" i="78"/>
  <c r="S94" i="78"/>
  <c r="S93" i="78"/>
  <c r="S92" i="78"/>
  <c r="S91" i="78"/>
  <c r="S90" i="78"/>
  <c r="S89" i="78"/>
  <c r="S88" i="78"/>
  <c r="S87" i="78"/>
  <c r="S86" i="78"/>
  <c r="S85" i="78"/>
  <c r="S84" i="78"/>
  <c r="S83" i="78"/>
  <c r="S82" i="78"/>
  <c r="S81" i="78"/>
  <c r="S80" i="78"/>
  <c r="S79" i="78"/>
  <c r="S78" i="78"/>
  <c r="S77" i="78"/>
  <c r="S76" i="78"/>
  <c r="S75" i="78"/>
  <c r="S74" i="78"/>
  <c r="S73" i="78"/>
  <c r="S72" i="78"/>
  <c r="S71" i="78"/>
  <c r="S70" i="78"/>
  <c r="S69" i="78"/>
  <c r="S68" i="78"/>
  <c r="S67" i="78"/>
  <c r="S66" i="78"/>
  <c r="S65" i="78"/>
  <c r="S64" i="78"/>
  <c r="S63" i="78"/>
  <c r="S62" i="78"/>
  <c r="S61" i="78"/>
  <c r="S60" i="78"/>
  <c r="S59" i="78"/>
  <c r="S58" i="78"/>
  <c r="S57" i="78"/>
  <c r="S56" i="78"/>
  <c r="S55" i="78"/>
  <c r="S54" i="78"/>
  <c r="S53" i="78"/>
  <c r="S52" i="78"/>
  <c r="S51" i="78"/>
  <c r="S50" i="78"/>
  <c r="S49" i="78"/>
  <c r="S48" i="78"/>
  <c r="S47" i="78"/>
  <c r="S46" i="78"/>
  <c r="S45" i="78"/>
  <c r="S44" i="78"/>
  <c r="S43" i="78"/>
  <c r="S42" i="78"/>
  <c r="S41" i="78"/>
  <c r="S40" i="78"/>
  <c r="S39" i="78"/>
  <c r="S38" i="78"/>
  <c r="S37" i="78"/>
  <c r="S36" i="78"/>
  <c r="S35" i="78"/>
  <c r="S34" i="78"/>
  <c r="S33" i="78"/>
  <c r="S32" i="78"/>
  <c r="S31" i="78"/>
  <c r="S30" i="78"/>
  <c r="S29" i="78"/>
  <c r="S28" i="78"/>
  <c r="S27" i="78"/>
  <c r="S26" i="78"/>
  <c r="S25" i="78"/>
  <c r="S24" i="78"/>
  <c r="S23" i="78"/>
  <c r="S22" i="78"/>
  <c r="S21" i="78"/>
  <c r="S20" i="78"/>
  <c r="S19" i="78"/>
  <c r="S18" i="78"/>
  <c r="S17" i="78"/>
  <c r="S16" i="78"/>
  <c r="S15" i="78"/>
  <c r="S14" i="78"/>
  <c r="S13" i="78"/>
  <c r="S12" i="78"/>
  <c r="S11" i="78"/>
  <c r="S10" i="78"/>
  <c r="S9" i="78"/>
  <c r="S8" i="78"/>
  <c r="S7" i="78"/>
  <c r="S6" i="78"/>
  <c r="S5" i="78"/>
  <c r="S4" i="78"/>
  <c r="S3" i="78"/>
  <c r="S2" i="78"/>
  <c r="S220" i="77"/>
  <c r="S219" i="77"/>
  <c r="S218" i="77"/>
  <c r="S217" i="77"/>
  <c r="S216" i="77"/>
  <c r="S215" i="77"/>
  <c r="S214" i="77"/>
  <c r="S213" i="77"/>
  <c r="S212" i="77"/>
  <c r="S211" i="77"/>
  <c r="S210" i="77"/>
  <c r="S209" i="77"/>
  <c r="S208" i="77"/>
  <c r="S207" i="77"/>
  <c r="S206" i="77"/>
  <c r="S205" i="77"/>
  <c r="S204" i="77"/>
  <c r="S203" i="77"/>
  <c r="S202" i="77"/>
  <c r="S201" i="77"/>
  <c r="S200" i="77"/>
  <c r="S199" i="77"/>
  <c r="S198" i="77"/>
  <c r="S197" i="77"/>
  <c r="S196" i="77"/>
  <c r="S195" i="77"/>
  <c r="S194" i="77"/>
  <c r="S193" i="77"/>
  <c r="S192" i="77"/>
  <c r="S191" i="77"/>
  <c r="S190" i="77"/>
  <c r="S189" i="77"/>
  <c r="S188" i="77"/>
  <c r="S187" i="77"/>
  <c r="S186" i="77"/>
  <c r="S185" i="77"/>
  <c r="S184" i="77"/>
  <c r="S183" i="77"/>
  <c r="S182" i="77"/>
  <c r="S181" i="77"/>
  <c r="S180" i="77"/>
  <c r="S179" i="77"/>
  <c r="S178" i="77"/>
  <c r="S177" i="77"/>
  <c r="S176" i="77"/>
  <c r="S175" i="77"/>
  <c r="S174" i="77"/>
  <c r="S173" i="77"/>
  <c r="S172" i="77"/>
  <c r="S171" i="77"/>
  <c r="S170" i="77"/>
  <c r="S169" i="77"/>
  <c r="S168" i="77"/>
  <c r="S167" i="77"/>
  <c r="S166" i="77"/>
  <c r="S165" i="77"/>
  <c r="S164" i="77"/>
  <c r="S163" i="77"/>
  <c r="S162" i="77"/>
  <c r="S161" i="77"/>
  <c r="S160" i="77"/>
  <c r="S159" i="77"/>
  <c r="S158" i="77"/>
  <c r="S157" i="77"/>
  <c r="S156" i="77"/>
  <c r="S155" i="77"/>
  <c r="S154" i="77"/>
  <c r="S153" i="77"/>
  <c r="S152" i="77"/>
  <c r="S151" i="77"/>
  <c r="S150" i="77"/>
  <c r="S149" i="77"/>
  <c r="S148" i="77"/>
  <c r="S147" i="77"/>
  <c r="S146" i="77"/>
  <c r="S145" i="77"/>
  <c r="S144" i="77"/>
  <c r="S143" i="77"/>
  <c r="S142" i="77"/>
  <c r="S141" i="77"/>
  <c r="S140" i="77"/>
  <c r="S139" i="77"/>
  <c r="S138" i="77"/>
  <c r="S137" i="77"/>
  <c r="S136" i="77"/>
  <c r="S135" i="77"/>
  <c r="S134" i="77"/>
  <c r="S133" i="77"/>
  <c r="S132" i="77"/>
  <c r="S131" i="77"/>
  <c r="S130" i="77"/>
  <c r="S129" i="77"/>
  <c r="S128" i="77"/>
  <c r="S127" i="77"/>
  <c r="S126" i="77"/>
  <c r="S125" i="77"/>
  <c r="S124" i="77"/>
  <c r="S123" i="77"/>
  <c r="S122" i="77"/>
  <c r="S121" i="77"/>
  <c r="S120" i="77"/>
  <c r="S119" i="77"/>
  <c r="S118" i="77"/>
  <c r="S117" i="77"/>
  <c r="S116" i="77"/>
  <c r="S115" i="77"/>
  <c r="S114" i="77"/>
  <c r="S113" i="77"/>
  <c r="S112" i="77"/>
  <c r="S111" i="77"/>
  <c r="S110" i="77"/>
  <c r="S109" i="77"/>
  <c r="S108" i="77"/>
  <c r="S107" i="77"/>
  <c r="S106" i="77"/>
  <c r="S105" i="77"/>
  <c r="S104" i="77"/>
  <c r="S103" i="77"/>
  <c r="S102" i="77"/>
  <c r="S101" i="77"/>
  <c r="S100" i="77"/>
  <c r="S99" i="77"/>
  <c r="S98" i="77"/>
  <c r="S97" i="77"/>
  <c r="S96" i="77"/>
  <c r="S95" i="77"/>
  <c r="S94" i="77"/>
  <c r="S93" i="77"/>
  <c r="S92" i="77"/>
  <c r="S91" i="77"/>
  <c r="S90" i="77"/>
  <c r="S89" i="77"/>
  <c r="S88" i="77"/>
  <c r="S87" i="77"/>
  <c r="S86" i="77"/>
  <c r="S85" i="77"/>
  <c r="S84" i="77"/>
  <c r="S83" i="77"/>
  <c r="S82" i="77"/>
  <c r="S81" i="77"/>
  <c r="S80" i="77"/>
  <c r="S79" i="77"/>
  <c r="S78" i="77"/>
  <c r="S77" i="77"/>
  <c r="S76" i="77"/>
  <c r="S75" i="77"/>
  <c r="S74" i="77"/>
  <c r="S73" i="77"/>
  <c r="S72" i="77"/>
  <c r="S71" i="77"/>
  <c r="S70" i="77"/>
  <c r="S69" i="77"/>
  <c r="S68" i="77"/>
  <c r="S67" i="77"/>
  <c r="S66" i="77"/>
  <c r="S65" i="77"/>
  <c r="S64" i="77"/>
  <c r="S63" i="77"/>
  <c r="S62" i="77"/>
  <c r="S61" i="77"/>
  <c r="S60" i="77"/>
  <c r="S59" i="77"/>
  <c r="S58" i="77"/>
  <c r="S57" i="77"/>
  <c r="S56" i="77"/>
  <c r="S55" i="77"/>
  <c r="S54" i="77"/>
  <c r="S53" i="77"/>
  <c r="S52" i="77"/>
  <c r="S51" i="77"/>
  <c r="S50" i="77"/>
  <c r="S49" i="77"/>
  <c r="S48" i="77"/>
  <c r="S47" i="77"/>
  <c r="S46" i="77"/>
  <c r="S45" i="77"/>
  <c r="S44" i="77"/>
  <c r="S43" i="77"/>
  <c r="S42" i="77"/>
  <c r="S41" i="77"/>
  <c r="S40" i="77"/>
  <c r="S39" i="77"/>
  <c r="S38" i="77"/>
  <c r="S37" i="77"/>
  <c r="S36" i="77"/>
  <c r="S35" i="77"/>
  <c r="S34" i="77"/>
  <c r="S33" i="77"/>
  <c r="S32" i="77"/>
  <c r="S31" i="77"/>
  <c r="S30" i="77"/>
  <c r="S29" i="77"/>
  <c r="S28" i="77"/>
  <c r="S27" i="77"/>
  <c r="S26" i="77"/>
  <c r="S25" i="77"/>
  <c r="S24" i="77"/>
  <c r="S23" i="77"/>
  <c r="S22" i="77"/>
  <c r="S21" i="77"/>
  <c r="S20" i="77"/>
  <c r="S19" i="77"/>
  <c r="S18" i="77"/>
  <c r="S17" i="77"/>
  <c r="S16" i="77"/>
  <c r="S15" i="77"/>
  <c r="S14" i="77"/>
  <c r="S13" i="77"/>
  <c r="S12" i="77"/>
  <c r="S11" i="77"/>
  <c r="S10" i="77"/>
  <c r="S9" i="77"/>
  <c r="S8" i="77"/>
  <c r="S7" i="77"/>
  <c r="S6" i="77"/>
  <c r="S5" i="77"/>
  <c r="S4" i="77"/>
  <c r="S3" i="77"/>
  <c r="S2" i="77"/>
  <c r="S220" i="76"/>
  <c r="S219" i="76"/>
  <c r="S218" i="76"/>
  <c r="S217" i="76"/>
  <c r="S216" i="76"/>
  <c r="S215" i="76"/>
  <c r="S214" i="76"/>
  <c r="S213" i="76"/>
  <c r="S212" i="76"/>
  <c r="S211" i="76"/>
  <c r="S210" i="76"/>
  <c r="S209" i="76"/>
  <c r="S208" i="76"/>
  <c r="S207" i="76"/>
  <c r="S206" i="76"/>
  <c r="S205" i="76"/>
  <c r="S204" i="76"/>
  <c r="S203" i="76"/>
  <c r="S202" i="76"/>
  <c r="S201" i="76"/>
  <c r="S200" i="76"/>
  <c r="S199" i="76"/>
  <c r="S198" i="76"/>
  <c r="S197" i="76"/>
  <c r="S196" i="76"/>
  <c r="S195" i="76"/>
  <c r="S194" i="76"/>
  <c r="S193" i="76"/>
  <c r="S192" i="76"/>
  <c r="S191" i="76"/>
  <c r="S190" i="76"/>
  <c r="S189" i="76"/>
  <c r="S188" i="76"/>
  <c r="S187" i="76"/>
  <c r="S186" i="76"/>
  <c r="S185" i="76"/>
  <c r="S184" i="76"/>
  <c r="S183" i="76"/>
  <c r="S182" i="76"/>
  <c r="S181" i="76"/>
  <c r="S180" i="76"/>
  <c r="S179" i="76"/>
  <c r="S178" i="76"/>
  <c r="S177" i="76"/>
  <c r="S176" i="76"/>
  <c r="S175" i="76"/>
  <c r="S174" i="76"/>
  <c r="S173" i="76"/>
  <c r="S172" i="76"/>
  <c r="S171" i="76"/>
  <c r="S170" i="76"/>
  <c r="S169" i="76"/>
  <c r="S168" i="76"/>
  <c r="S167" i="76"/>
  <c r="S166" i="76"/>
  <c r="S165" i="76"/>
  <c r="S164" i="76"/>
  <c r="S163" i="76"/>
  <c r="S162" i="76"/>
  <c r="S161" i="76"/>
  <c r="S160" i="76"/>
  <c r="S159" i="76"/>
  <c r="S158" i="76"/>
  <c r="S157" i="76"/>
  <c r="S156" i="76"/>
  <c r="S155" i="76"/>
  <c r="S154" i="76"/>
  <c r="S153" i="76"/>
  <c r="S152" i="76"/>
  <c r="S151" i="76"/>
  <c r="S150" i="76"/>
  <c r="S149" i="76"/>
  <c r="S148" i="76"/>
  <c r="S147" i="76"/>
  <c r="S146" i="76"/>
  <c r="S145" i="76"/>
  <c r="S144" i="76"/>
  <c r="S143" i="76"/>
  <c r="S142" i="76"/>
  <c r="S141" i="76"/>
  <c r="S140" i="76"/>
  <c r="S139" i="76"/>
  <c r="S138" i="76"/>
  <c r="S137" i="76"/>
  <c r="S136" i="76"/>
  <c r="S135" i="76"/>
  <c r="S134" i="76"/>
  <c r="S133" i="76"/>
  <c r="S132" i="76"/>
  <c r="S131" i="76"/>
  <c r="S130" i="76"/>
  <c r="S129" i="76"/>
  <c r="S128" i="76"/>
  <c r="S127" i="76"/>
  <c r="S126" i="76"/>
  <c r="S125" i="76"/>
  <c r="S124" i="76"/>
  <c r="S123" i="76"/>
  <c r="S122" i="76"/>
  <c r="S121" i="76"/>
  <c r="S120" i="76"/>
  <c r="S119" i="76"/>
  <c r="S118" i="76"/>
  <c r="S117" i="76"/>
  <c r="S116" i="76"/>
  <c r="S115" i="76"/>
  <c r="S114" i="76"/>
  <c r="S113" i="76"/>
  <c r="S112" i="76"/>
  <c r="S111" i="76"/>
  <c r="S110" i="76"/>
  <c r="S109" i="76"/>
  <c r="S108" i="76"/>
  <c r="S107" i="76"/>
  <c r="S106" i="76"/>
  <c r="S105" i="76"/>
  <c r="S104" i="76"/>
  <c r="S103" i="76"/>
  <c r="S102" i="76"/>
  <c r="S101" i="76"/>
  <c r="S100" i="76"/>
  <c r="S99" i="76"/>
  <c r="S98" i="76"/>
  <c r="S97" i="76"/>
  <c r="S96" i="76"/>
  <c r="S95" i="76"/>
  <c r="S94" i="76"/>
  <c r="S93" i="76"/>
  <c r="S92" i="76"/>
  <c r="S91" i="76"/>
  <c r="S90" i="76"/>
  <c r="S89" i="76"/>
  <c r="S88" i="76"/>
  <c r="S87" i="76"/>
  <c r="S86" i="76"/>
  <c r="S85" i="76"/>
  <c r="S84" i="76"/>
  <c r="S83" i="76"/>
  <c r="S82" i="76"/>
  <c r="S81" i="76"/>
  <c r="S80" i="76"/>
  <c r="S79" i="76"/>
  <c r="S78" i="76"/>
  <c r="S77" i="76"/>
  <c r="S76" i="76"/>
  <c r="S75" i="76"/>
  <c r="S74" i="76"/>
  <c r="S73" i="76"/>
  <c r="S72" i="76"/>
  <c r="S71" i="76"/>
  <c r="S70" i="76"/>
  <c r="S69" i="76"/>
  <c r="S68" i="76"/>
  <c r="S67" i="76"/>
  <c r="S66" i="76"/>
  <c r="S65" i="76"/>
  <c r="S64" i="76"/>
  <c r="S63" i="76"/>
  <c r="S62" i="76"/>
  <c r="S61" i="76"/>
  <c r="S60" i="76"/>
  <c r="S59" i="76"/>
  <c r="S58" i="76"/>
  <c r="S57" i="76"/>
  <c r="S56" i="76"/>
  <c r="S55" i="76"/>
  <c r="S54" i="76"/>
  <c r="S53" i="76"/>
  <c r="S52" i="76"/>
  <c r="S51" i="76"/>
  <c r="S50" i="76"/>
  <c r="S49" i="76"/>
  <c r="S48" i="76"/>
  <c r="S47" i="76"/>
  <c r="S46" i="76"/>
  <c r="S45" i="76"/>
  <c r="S44" i="76"/>
  <c r="S43" i="76"/>
  <c r="S42" i="76"/>
  <c r="S41" i="76"/>
  <c r="S40" i="76"/>
  <c r="S39" i="76"/>
  <c r="S38" i="76"/>
  <c r="S37" i="76"/>
  <c r="S36" i="76"/>
  <c r="S35" i="76"/>
  <c r="S34" i="76"/>
  <c r="S33" i="76"/>
  <c r="S32" i="76"/>
  <c r="S31" i="76"/>
  <c r="S30" i="76"/>
  <c r="S29" i="76"/>
  <c r="S28" i="76"/>
  <c r="S27" i="76"/>
  <c r="S26" i="76"/>
  <c r="S25" i="76"/>
  <c r="S24" i="76"/>
  <c r="S23" i="76"/>
  <c r="S22" i="76"/>
  <c r="S21" i="76"/>
  <c r="S20" i="76"/>
  <c r="S19" i="76"/>
  <c r="S18" i="76"/>
  <c r="S17" i="76"/>
  <c r="S16" i="76"/>
  <c r="S15" i="76"/>
  <c r="S14" i="76"/>
  <c r="S13" i="76"/>
  <c r="S12" i="76"/>
  <c r="S11" i="76"/>
  <c r="S10" i="76"/>
  <c r="S9" i="76"/>
  <c r="S8" i="76"/>
  <c r="S7" i="76"/>
  <c r="S6" i="76"/>
  <c r="S5" i="76"/>
  <c r="S4" i="76"/>
  <c r="S3" i="76"/>
  <c r="S2" i="76"/>
  <c r="S220" i="75"/>
  <c r="S219" i="75"/>
  <c r="S218" i="75"/>
  <c r="S217" i="75"/>
  <c r="S216" i="75"/>
  <c r="S215" i="75"/>
  <c r="S214" i="75"/>
  <c r="S213" i="75"/>
  <c r="S212" i="75"/>
  <c r="S211" i="75"/>
  <c r="S210" i="75"/>
  <c r="S209" i="75"/>
  <c r="S208" i="75"/>
  <c r="S207" i="75"/>
  <c r="S206" i="75"/>
  <c r="S205" i="75"/>
  <c r="S204" i="75"/>
  <c r="S203" i="75"/>
  <c r="S202" i="75"/>
  <c r="S201" i="75"/>
  <c r="S200" i="75"/>
  <c r="S199" i="75"/>
  <c r="S198" i="75"/>
  <c r="S197" i="75"/>
  <c r="S196" i="75"/>
  <c r="S195" i="75"/>
  <c r="S194" i="75"/>
  <c r="S193" i="75"/>
  <c r="S192" i="75"/>
  <c r="S191" i="75"/>
  <c r="S190" i="75"/>
  <c r="S189" i="75"/>
  <c r="S188" i="75"/>
  <c r="S187" i="75"/>
  <c r="S186" i="75"/>
  <c r="S185" i="75"/>
  <c r="S184" i="75"/>
  <c r="S183" i="75"/>
  <c r="S182" i="75"/>
  <c r="S181" i="75"/>
  <c r="S180" i="75"/>
  <c r="S179" i="75"/>
  <c r="S178" i="75"/>
  <c r="S177" i="75"/>
  <c r="S176" i="75"/>
  <c r="S175" i="75"/>
  <c r="S174" i="75"/>
  <c r="S173" i="75"/>
  <c r="S172" i="75"/>
  <c r="S171" i="75"/>
  <c r="S170" i="75"/>
  <c r="S169" i="75"/>
  <c r="S168" i="75"/>
  <c r="S167" i="75"/>
  <c r="S166" i="75"/>
  <c r="S165" i="75"/>
  <c r="S164" i="75"/>
  <c r="S163" i="75"/>
  <c r="S162" i="75"/>
  <c r="S161" i="75"/>
  <c r="S160" i="75"/>
  <c r="S159" i="75"/>
  <c r="S158" i="75"/>
  <c r="S157" i="75"/>
  <c r="S156" i="75"/>
  <c r="S155" i="75"/>
  <c r="S154" i="75"/>
  <c r="S153" i="75"/>
  <c r="S152" i="75"/>
  <c r="S151" i="75"/>
  <c r="S150" i="75"/>
  <c r="S149" i="75"/>
  <c r="S148" i="75"/>
  <c r="S147" i="75"/>
  <c r="S146" i="75"/>
  <c r="S145" i="75"/>
  <c r="S144" i="75"/>
  <c r="S143" i="75"/>
  <c r="S142" i="75"/>
  <c r="S141" i="75"/>
  <c r="S140" i="75"/>
  <c r="S139" i="75"/>
  <c r="S138" i="75"/>
  <c r="S137" i="75"/>
  <c r="S136" i="75"/>
  <c r="S135" i="75"/>
  <c r="S134" i="75"/>
  <c r="S133" i="75"/>
  <c r="S132" i="75"/>
  <c r="S131" i="75"/>
  <c r="S130" i="75"/>
  <c r="S129" i="75"/>
  <c r="S128" i="75"/>
  <c r="S127" i="75"/>
  <c r="S126" i="75"/>
  <c r="S125" i="75"/>
  <c r="S124" i="75"/>
  <c r="S123" i="75"/>
  <c r="S122" i="75"/>
  <c r="S121" i="75"/>
  <c r="S120" i="75"/>
  <c r="S119" i="75"/>
  <c r="S118" i="75"/>
  <c r="S117" i="75"/>
  <c r="S116" i="75"/>
  <c r="S115" i="75"/>
  <c r="S114" i="75"/>
  <c r="S113" i="75"/>
  <c r="S112" i="75"/>
  <c r="S111" i="75"/>
  <c r="S110" i="75"/>
  <c r="S109" i="75"/>
  <c r="S108" i="75"/>
  <c r="S107" i="75"/>
  <c r="S106" i="75"/>
  <c r="S105" i="75"/>
  <c r="S104" i="75"/>
  <c r="S103" i="75"/>
  <c r="S102" i="75"/>
  <c r="S101" i="75"/>
  <c r="S100" i="75"/>
  <c r="S99" i="75"/>
  <c r="S98" i="75"/>
  <c r="S97" i="75"/>
  <c r="S96" i="75"/>
  <c r="S95" i="75"/>
  <c r="S94" i="75"/>
  <c r="S93" i="75"/>
  <c r="S92" i="75"/>
  <c r="S91" i="75"/>
  <c r="S90" i="75"/>
  <c r="S89" i="75"/>
  <c r="S88" i="75"/>
  <c r="S87" i="75"/>
  <c r="S86" i="75"/>
  <c r="S85" i="75"/>
  <c r="S84" i="75"/>
  <c r="S83" i="75"/>
  <c r="S82" i="75"/>
  <c r="S81" i="75"/>
  <c r="S80" i="75"/>
  <c r="S79" i="75"/>
  <c r="S78" i="75"/>
  <c r="S77" i="75"/>
  <c r="S76" i="75"/>
  <c r="S75" i="75"/>
  <c r="S74" i="75"/>
  <c r="S73" i="75"/>
  <c r="S72" i="75"/>
  <c r="S71" i="75"/>
  <c r="S70" i="75"/>
  <c r="S69" i="75"/>
  <c r="S68" i="75"/>
  <c r="S67" i="75"/>
  <c r="S66" i="75"/>
  <c r="S65" i="75"/>
  <c r="S64" i="75"/>
  <c r="S63" i="75"/>
  <c r="S62" i="75"/>
  <c r="S61" i="75"/>
  <c r="S60" i="75"/>
  <c r="S59" i="75"/>
  <c r="S58" i="75"/>
  <c r="S57" i="75"/>
  <c r="S56" i="75"/>
  <c r="S55" i="75"/>
  <c r="S54" i="75"/>
  <c r="S53" i="75"/>
  <c r="S52" i="75"/>
  <c r="S51" i="75"/>
  <c r="S50" i="75"/>
  <c r="S49" i="75"/>
  <c r="S48" i="75"/>
  <c r="S47" i="75"/>
  <c r="S46" i="75"/>
  <c r="S45" i="75"/>
  <c r="S44" i="75"/>
  <c r="S43" i="75"/>
  <c r="S42" i="75"/>
  <c r="S41" i="75"/>
  <c r="S40" i="75"/>
  <c r="S39" i="75"/>
  <c r="S38" i="75"/>
  <c r="S37" i="75"/>
  <c r="S36" i="75"/>
  <c r="S35" i="75"/>
  <c r="S34" i="75"/>
  <c r="S33" i="75"/>
  <c r="S32" i="75"/>
  <c r="S31" i="75"/>
  <c r="S30" i="75"/>
  <c r="S29" i="75"/>
  <c r="S28" i="75"/>
  <c r="S27" i="75"/>
  <c r="S26" i="75"/>
  <c r="S25" i="75"/>
  <c r="S24" i="75"/>
  <c r="S23" i="75"/>
  <c r="S22" i="75"/>
  <c r="S21" i="75"/>
  <c r="S20" i="75"/>
  <c r="S19" i="75"/>
  <c r="S18" i="75"/>
  <c r="S17" i="75"/>
  <c r="S16" i="75"/>
  <c r="S15" i="75"/>
  <c r="S14" i="75"/>
  <c r="S13" i="75"/>
  <c r="S12" i="75"/>
  <c r="S11" i="75"/>
  <c r="S10" i="75"/>
  <c r="S9" i="75"/>
  <c r="S8" i="75"/>
  <c r="S7" i="75"/>
  <c r="S6" i="75"/>
  <c r="S5" i="75"/>
  <c r="S4" i="75"/>
  <c r="S3" i="75"/>
  <c r="S2" i="75"/>
  <c r="S220" i="74"/>
  <c r="S219" i="74"/>
  <c r="S218" i="74"/>
  <c r="S217" i="74"/>
  <c r="S216" i="74"/>
  <c r="S215" i="74"/>
  <c r="S214" i="74"/>
  <c r="S213" i="74"/>
  <c r="S212" i="74"/>
  <c r="S211" i="74"/>
  <c r="S210" i="74"/>
  <c r="S209" i="74"/>
  <c r="S208" i="74"/>
  <c r="S207" i="74"/>
  <c r="S206" i="74"/>
  <c r="S205" i="74"/>
  <c r="S204" i="74"/>
  <c r="S203" i="74"/>
  <c r="S202" i="74"/>
  <c r="S201" i="74"/>
  <c r="S200" i="74"/>
  <c r="S199" i="74"/>
  <c r="S198" i="74"/>
  <c r="S197" i="74"/>
  <c r="S196" i="74"/>
  <c r="S195" i="74"/>
  <c r="S194" i="74"/>
  <c r="S193" i="74"/>
  <c r="S192" i="74"/>
  <c r="S191" i="74"/>
  <c r="S190" i="74"/>
  <c r="S189" i="74"/>
  <c r="S188" i="74"/>
  <c r="S187" i="74"/>
  <c r="S186" i="74"/>
  <c r="S185" i="74"/>
  <c r="S184" i="74"/>
  <c r="S183" i="74"/>
  <c r="S182" i="74"/>
  <c r="S181" i="74"/>
  <c r="S180" i="74"/>
  <c r="S179" i="74"/>
  <c r="S178" i="74"/>
  <c r="S177" i="74"/>
  <c r="S176" i="74"/>
  <c r="S175" i="74"/>
  <c r="S174" i="74"/>
  <c r="S173" i="74"/>
  <c r="S172" i="74"/>
  <c r="S171" i="74"/>
  <c r="S170" i="74"/>
  <c r="S169" i="74"/>
  <c r="S168" i="74"/>
  <c r="S167" i="74"/>
  <c r="S166" i="74"/>
  <c r="S165" i="74"/>
  <c r="S164" i="74"/>
  <c r="S163" i="74"/>
  <c r="S162" i="74"/>
  <c r="S161" i="74"/>
  <c r="S160" i="74"/>
  <c r="S159" i="74"/>
  <c r="S158" i="74"/>
  <c r="S157" i="74"/>
  <c r="S156" i="74"/>
  <c r="S155" i="74"/>
  <c r="S154" i="74"/>
  <c r="S153" i="74"/>
  <c r="S152" i="74"/>
  <c r="S151" i="74"/>
  <c r="S150" i="74"/>
  <c r="S149" i="74"/>
  <c r="S148" i="74"/>
  <c r="S147" i="74"/>
  <c r="S146" i="74"/>
  <c r="S145" i="74"/>
  <c r="S144" i="74"/>
  <c r="S143" i="74"/>
  <c r="S142" i="74"/>
  <c r="S141" i="74"/>
  <c r="S140" i="74"/>
  <c r="S139" i="74"/>
  <c r="S138" i="74"/>
  <c r="S137" i="74"/>
  <c r="S136" i="74"/>
  <c r="S135" i="74"/>
  <c r="S134" i="74"/>
  <c r="S133" i="74"/>
  <c r="S132" i="74"/>
  <c r="S131" i="74"/>
  <c r="S130" i="74"/>
  <c r="S129" i="74"/>
  <c r="S128" i="74"/>
  <c r="S127" i="74"/>
  <c r="S126" i="74"/>
  <c r="S125" i="74"/>
  <c r="S124" i="74"/>
  <c r="S123" i="74"/>
  <c r="S122" i="74"/>
  <c r="S121" i="74"/>
  <c r="S120" i="74"/>
  <c r="S119" i="74"/>
  <c r="S118" i="74"/>
  <c r="S117" i="74"/>
  <c r="S116" i="74"/>
  <c r="S115" i="74"/>
  <c r="S114" i="74"/>
  <c r="S113" i="74"/>
  <c r="S112" i="74"/>
  <c r="S111" i="74"/>
  <c r="S110" i="74"/>
  <c r="S109" i="74"/>
  <c r="S108" i="74"/>
  <c r="S107" i="74"/>
  <c r="S106" i="74"/>
  <c r="S105" i="74"/>
  <c r="S104" i="74"/>
  <c r="S103" i="74"/>
  <c r="S102" i="74"/>
  <c r="S101" i="74"/>
  <c r="S100" i="74"/>
  <c r="S99" i="74"/>
  <c r="S98" i="74"/>
  <c r="S97" i="74"/>
  <c r="S96" i="74"/>
  <c r="S95" i="74"/>
  <c r="S94" i="74"/>
  <c r="S93" i="74"/>
  <c r="S92" i="74"/>
  <c r="S91" i="74"/>
  <c r="S90" i="74"/>
  <c r="S89" i="74"/>
  <c r="S88" i="74"/>
  <c r="S87" i="74"/>
  <c r="S86" i="74"/>
  <c r="S85" i="74"/>
  <c r="S84" i="74"/>
  <c r="S83" i="74"/>
  <c r="S82" i="74"/>
  <c r="S81" i="74"/>
  <c r="S80" i="74"/>
  <c r="S79" i="74"/>
  <c r="S78" i="74"/>
  <c r="S77" i="74"/>
  <c r="S76" i="74"/>
  <c r="S75" i="74"/>
  <c r="S74" i="74"/>
  <c r="S73" i="74"/>
  <c r="S72" i="74"/>
  <c r="S71" i="74"/>
  <c r="S70" i="74"/>
  <c r="S69" i="74"/>
  <c r="S68" i="74"/>
  <c r="S67" i="74"/>
  <c r="S66" i="74"/>
  <c r="S65" i="74"/>
  <c r="S64" i="74"/>
  <c r="S63" i="74"/>
  <c r="S62" i="74"/>
  <c r="S61" i="74"/>
  <c r="S60" i="74"/>
  <c r="S59" i="74"/>
  <c r="S58" i="74"/>
  <c r="S57" i="74"/>
  <c r="S56" i="74"/>
  <c r="S55" i="74"/>
  <c r="S54" i="74"/>
  <c r="S53" i="74"/>
  <c r="S52" i="74"/>
  <c r="S51" i="74"/>
  <c r="S50" i="74"/>
  <c r="S49" i="74"/>
  <c r="S48" i="74"/>
  <c r="S47" i="74"/>
  <c r="S46" i="74"/>
  <c r="S45" i="74"/>
  <c r="S44" i="74"/>
  <c r="S43" i="74"/>
  <c r="S42" i="74"/>
  <c r="S41" i="74"/>
  <c r="S40" i="74"/>
  <c r="S39" i="74"/>
  <c r="S38" i="74"/>
  <c r="S37" i="74"/>
  <c r="S36" i="74"/>
  <c r="S35" i="74"/>
  <c r="S34" i="74"/>
  <c r="S33" i="74"/>
  <c r="S32" i="74"/>
  <c r="S31" i="74"/>
  <c r="S30" i="74"/>
  <c r="S29" i="74"/>
  <c r="S28" i="74"/>
  <c r="S27" i="74"/>
  <c r="S26" i="74"/>
  <c r="S25" i="74"/>
  <c r="S24" i="74"/>
  <c r="S23" i="74"/>
  <c r="S22" i="74"/>
  <c r="S21" i="74"/>
  <c r="S20" i="74"/>
  <c r="S19" i="74"/>
  <c r="S18" i="74"/>
  <c r="S17" i="74"/>
  <c r="S16" i="74"/>
  <c r="S15" i="74"/>
  <c r="S14" i="74"/>
  <c r="S13" i="74"/>
  <c r="S12" i="74"/>
  <c r="S11" i="74"/>
  <c r="S10" i="74"/>
  <c r="S9" i="74"/>
  <c r="S8" i="74"/>
  <c r="S7" i="74"/>
  <c r="S6" i="74"/>
  <c r="S5" i="74"/>
  <c r="S4" i="74"/>
  <c r="S3" i="74"/>
  <c r="S2" i="74"/>
  <c r="C209" i="32" a="1"/>
  <c r="D209" i="32" s="1" a="1"/>
  <c r="C208" i="32" a="1"/>
  <c r="D208" i="32" s="1" a="1"/>
  <c r="C207" i="32" a="1"/>
  <c r="C206" i="32" a="1"/>
  <c r="D206" i="32" s="1" a="1"/>
  <c r="C205" i="32" a="1"/>
  <c r="D205" i="32" s="1" a="1"/>
  <c r="C204" i="32" a="1"/>
  <c r="D204" i="32" s="1" a="1"/>
  <c r="C203" i="32" a="1"/>
  <c r="D203" i="32" s="1" a="1"/>
  <c r="C202" i="32" a="1"/>
  <c r="D202" i="32" s="1" a="1"/>
  <c r="C201" i="32" a="1"/>
  <c r="D201" i="32" s="1" a="1"/>
  <c r="C200" i="32" a="1"/>
  <c r="D200" i="32" s="1" a="1"/>
  <c r="C199" i="32" a="1"/>
  <c r="D199" i="32" s="1" a="1"/>
  <c r="C198" i="32" a="1"/>
  <c r="D198" i="32" s="1" a="1"/>
  <c r="C197" i="32" a="1"/>
  <c r="D197" i="32" s="1" a="1"/>
  <c r="C196" i="32" a="1"/>
  <c r="D196" i="32" s="1" a="1"/>
  <c r="C195" i="32" a="1"/>
  <c r="D195" i="32" s="1" a="1"/>
  <c r="C194" i="32" a="1"/>
  <c r="D194" i="32" s="1" a="1"/>
  <c r="C193" i="32" a="1"/>
  <c r="D193" i="32" s="1" a="1"/>
  <c r="C192" i="32" a="1"/>
  <c r="D192" i="32" s="1" a="1"/>
  <c r="C191" i="32" a="1"/>
  <c r="C190" i="32" a="1"/>
  <c r="D190" i="32" s="1" a="1"/>
  <c r="C189" i="32" a="1"/>
  <c r="D189" i="32" s="1" a="1"/>
  <c r="C188" i="32" a="1"/>
  <c r="D188" i="32" s="1" a="1"/>
  <c r="C187" i="32" a="1"/>
  <c r="D187" i="32" s="1" a="1"/>
  <c r="C186" i="32" a="1"/>
  <c r="D186" i="32" s="1" a="1"/>
  <c r="D272" i="87" l="1"/>
  <c r="C272" i="87"/>
  <c r="B272" i="87"/>
  <c r="E272" i="87" s="1"/>
  <c r="D271" i="87"/>
  <c r="C271" i="87"/>
  <c r="B271" i="87"/>
  <c r="E271" i="87" s="1"/>
  <c r="D270" i="87"/>
  <c r="C270" i="87"/>
  <c r="B270" i="87"/>
  <c r="E270" i="87" s="1"/>
  <c r="D269" i="87"/>
  <c r="C269" i="87"/>
  <c r="B269" i="87"/>
  <c r="E269" i="87" s="1"/>
  <c r="D268" i="87"/>
  <c r="C268" i="87"/>
  <c r="B268" i="87"/>
  <c r="D267" i="87"/>
  <c r="C267" i="87"/>
  <c r="B267" i="87"/>
  <c r="D266" i="87"/>
  <c r="B266" i="87"/>
  <c r="D265" i="87"/>
  <c r="B265" i="87"/>
  <c r="B264" i="87"/>
  <c r="H235" i="87"/>
  <c r="G235" i="87"/>
  <c r="F235" i="87"/>
  <c r="E235" i="87"/>
  <c r="D235" i="87"/>
  <c r="C235" i="87"/>
  <c r="H234" i="87"/>
  <c r="F234" i="87"/>
  <c r="H233" i="87"/>
  <c r="C233" i="87"/>
  <c r="F232" i="87"/>
  <c r="H231" i="87"/>
  <c r="E231" i="87"/>
  <c r="G230" i="87"/>
  <c r="B230" i="87"/>
  <c r="F229" i="87"/>
  <c r="E229" i="87"/>
  <c r="G228" i="87"/>
  <c r="B228" i="87"/>
  <c r="G227" i="87"/>
  <c r="B227" i="87"/>
  <c r="C264" i="87"/>
  <c r="B235" i="87"/>
  <c r="I235" i="87" s="1"/>
  <c r="E234" i="87"/>
  <c r="E233" i="87"/>
  <c r="G232" i="87"/>
  <c r="B232" i="87"/>
  <c r="C231" i="87"/>
  <c r="E230" i="87"/>
  <c r="G229" i="87"/>
  <c r="B229" i="87"/>
  <c r="E228" i="87"/>
  <c r="D227" i="87"/>
  <c r="C263" i="87"/>
  <c r="C234" i="87"/>
  <c r="D233" i="87"/>
  <c r="D232" i="87"/>
  <c r="D231" i="87"/>
  <c r="C230" i="87"/>
  <c r="D229" i="87"/>
  <c r="D228" i="87"/>
  <c r="E227" i="87"/>
  <c r="C266" i="87"/>
  <c r="C265" i="87"/>
  <c r="D264" i="87"/>
  <c r="B263" i="87"/>
  <c r="G234" i="87"/>
  <c r="D234" i="87"/>
  <c r="B234" i="87"/>
  <c r="F233" i="87"/>
  <c r="H232" i="87"/>
  <c r="C232" i="87"/>
  <c r="F231" i="87"/>
  <c r="B231" i="87"/>
  <c r="F230" i="87"/>
  <c r="H229" i="87"/>
  <c r="H228" i="87"/>
  <c r="C228" i="87"/>
  <c r="H227" i="87"/>
  <c r="C227" i="87"/>
  <c r="D263" i="87"/>
  <c r="G233" i="87"/>
  <c r="B233" i="87"/>
  <c r="E232" i="87"/>
  <c r="G231" i="87"/>
  <c r="H230" i="87"/>
  <c r="D230" i="87"/>
  <c r="C229" i="87"/>
  <c r="F228" i="87"/>
  <c r="F227" i="87"/>
  <c r="D272" i="86"/>
  <c r="C272" i="86"/>
  <c r="B272" i="86"/>
  <c r="D271" i="86"/>
  <c r="C271" i="86"/>
  <c r="B271" i="86"/>
  <c r="E271" i="86" s="1"/>
  <c r="D270" i="86"/>
  <c r="C270" i="86"/>
  <c r="D269" i="86"/>
  <c r="C269" i="86"/>
  <c r="C268" i="86"/>
  <c r="D267" i="86"/>
  <c r="D266" i="86"/>
  <c r="B266" i="86"/>
  <c r="C265" i="86"/>
  <c r="C264" i="86"/>
  <c r="C263" i="86"/>
  <c r="B263" i="86"/>
  <c r="D235" i="86"/>
  <c r="H234" i="86"/>
  <c r="E234" i="86"/>
  <c r="C234" i="86"/>
  <c r="H233" i="86"/>
  <c r="E233" i="86"/>
  <c r="C233" i="86"/>
  <c r="H232" i="86"/>
  <c r="F232" i="86"/>
  <c r="C232" i="86"/>
  <c r="H231" i="86"/>
  <c r="F231" i="86"/>
  <c r="C231" i="86"/>
  <c r="H230" i="86"/>
  <c r="E230" i="86"/>
  <c r="C230" i="86"/>
  <c r="H229" i="86"/>
  <c r="E229" i="86"/>
  <c r="C229" i="86"/>
  <c r="G228" i="86"/>
  <c r="E228" i="86"/>
  <c r="C228" i="86"/>
  <c r="H227" i="86"/>
  <c r="F227" i="86"/>
  <c r="D227" i="86"/>
  <c r="B265" i="86"/>
  <c r="C235" i="86"/>
  <c r="B270" i="86"/>
  <c r="E270" i="86" s="1"/>
  <c r="D268" i="86"/>
  <c r="B268" i="86"/>
  <c r="E268" i="86" s="1"/>
  <c r="C267" i="86"/>
  <c r="C266" i="86"/>
  <c r="D265" i="86"/>
  <c r="D264" i="86"/>
  <c r="D263" i="86"/>
  <c r="H235" i="86"/>
  <c r="G235" i="86"/>
  <c r="E235" i="86"/>
  <c r="B235" i="86"/>
  <c r="G234" i="86"/>
  <c r="D234" i="86"/>
  <c r="B234" i="86"/>
  <c r="G233" i="86"/>
  <c r="D233" i="86"/>
  <c r="B233" i="86"/>
  <c r="G232" i="86"/>
  <c r="D232" i="86"/>
  <c r="B232" i="86"/>
  <c r="G231" i="86"/>
  <c r="D231" i="86"/>
  <c r="B231" i="86"/>
  <c r="G230" i="86"/>
  <c r="D230" i="86"/>
  <c r="B230" i="86"/>
  <c r="G229" i="86"/>
  <c r="D229" i="86"/>
  <c r="B229" i="86"/>
  <c r="F228" i="86"/>
  <c r="B228" i="86"/>
  <c r="G227" i="86"/>
  <c r="E227" i="86"/>
  <c r="B227" i="86"/>
  <c r="B269" i="86"/>
  <c r="E269" i="86" s="1"/>
  <c r="B267" i="86"/>
  <c r="E267" i="86" s="1"/>
  <c r="B264" i="86"/>
  <c r="E264" i="86" s="1"/>
  <c r="F235" i="86"/>
  <c r="F234" i="86"/>
  <c r="F233" i="86"/>
  <c r="E232" i="86"/>
  <c r="E231" i="86"/>
  <c r="F230" i="86"/>
  <c r="F229" i="86"/>
  <c r="H228" i="86"/>
  <c r="D228" i="86"/>
  <c r="C227" i="86"/>
  <c r="D271" i="85"/>
  <c r="B271" i="85"/>
  <c r="B270" i="85"/>
  <c r="D268" i="85"/>
  <c r="B267" i="85"/>
  <c r="D265" i="85"/>
  <c r="B264" i="85"/>
  <c r="E235" i="85"/>
  <c r="C235" i="85"/>
  <c r="H234" i="85"/>
  <c r="C234" i="85"/>
  <c r="H233" i="85"/>
  <c r="C233" i="85"/>
  <c r="F232" i="85"/>
  <c r="D232" i="85"/>
  <c r="F231" i="85"/>
  <c r="E230" i="85"/>
  <c r="H229" i="85"/>
  <c r="G228" i="85"/>
  <c r="C228" i="85"/>
  <c r="F227" i="85"/>
  <c r="B272" i="85"/>
  <c r="D269" i="85"/>
  <c r="C268" i="85"/>
  <c r="D266" i="85"/>
  <c r="B265" i="85"/>
  <c r="B263" i="85"/>
  <c r="E234" i="85"/>
  <c r="F233" i="85"/>
  <c r="B233" i="85"/>
  <c r="E232" i="85"/>
  <c r="G231" i="85"/>
  <c r="D231" i="85"/>
  <c r="F230" i="85"/>
  <c r="G229" i="85"/>
  <c r="D229" i="85"/>
  <c r="E228" i="85"/>
  <c r="E227" i="85"/>
  <c r="B227" i="85"/>
  <c r="C272" i="85"/>
  <c r="D270" i="85"/>
  <c r="B269" i="85"/>
  <c r="D267" i="85"/>
  <c r="B266" i="85"/>
  <c r="D264" i="85"/>
  <c r="C263" i="85"/>
  <c r="D234" i="85"/>
  <c r="G233" i="85"/>
  <c r="H232" i="85"/>
  <c r="C232" i="85"/>
  <c r="E231" i="85"/>
  <c r="H230" i="85"/>
  <c r="D230" i="85"/>
  <c r="F229" i="85"/>
  <c r="H228" i="85"/>
  <c r="B228" i="85"/>
  <c r="D227" i="85"/>
  <c r="C271" i="85"/>
  <c r="C269" i="85"/>
  <c r="C267" i="85"/>
  <c r="C265" i="85"/>
  <c r="D263" i="85"/>
  <c r="F234" i="85"/>
  <c r="D233" i="85"/>
  <c r="B232" i="85"/>
  <c r="B231" i="85"/>
  <c r="B230" i="85"/>
  <c r="C229" i="85"/>
  <c r="D228" i="85"/>
  <c r="G227" i="85"/>
  <c r="C227" i="85"/>
  <c r="D272" i="85"/>
  <c r="C270" i="85"/>
  <c r="B268" i="85"/>
  <c r="E268" i="85" s="1"/>
  <c r="C266" i="85"/>
  <c r="C264" i="85"/>
  <c r="H235" i="85"/>
  <c r="G235" i="85"/>
  <c r="F235" i="85"/>
  <c r="D235" i="85"/>
  <c r="B235" i="85"/>
  <c r="G234" i="85"/>
  <c r="B234" i="85"/>
  <c r="I234" i="85" s="1"/>
  <c r="E233" i="85"/>
  <c r="G232" i="85"/>
  <c r="H231" i="85"/>
  <c r="C231" i="85"/>
  <c r="G230" i="85"/>
  <c r="C230" i="85"/>
  <c r="E229" i="85"/>
  <c r="B229" i="85"/>
  <c r="F228" i="85"/>
  <c r="H227" i="85"/>
  <c r="C271" i="84"/>
  <c r="D270" i="84"/>
  <c r="B269" i="84"/>
  <c r="D267" i="84"/>
  <c r="C266" i="84"/>
  <c r="D265" i="84"/>
  <c r="B264" i="84"/>
  <c r="G235" i="84"/>
  <c r="D235" i="84"/>
  <c r="G234" i="84"/>
  <c r="C234" i="84"/>
  <c r="F233" i="84"/>
  <c r="B233" i="84"/>
  <c r="E232" i="84"/>
  <c r="H231" i="84"/>
  <c r="D231" i="84"/>
  <c r="G230" i="84"/>
  <c r="C230" i="84"/>
  <c r="F229" i="84"/>
  <c r="B229" i="84"/>
  <c r="E228" i="84"/>
  <c r="H227" i="84"/>
  <c r="C227" i="84"/>
  <c r="D272" i="84"/>
  <c r="C270" i="84"/>
  <c r="C269" i="84"/>
  <c r="B268" i="84"/>
  <c r="B267" i="84"/>
  <c r="C265" i="84"/>
  <c r="C264" i="84"/>
  <c r="B263" i="84"/>
  <c r="H234" i="84"/>
  <c r="D234" i="84"/>
  <c r="G233" i="84"/>
  <c r="C233" i="84"/>
  <c r="F232" i="84"/>
  <c r="B232" i="84"/>
  <c r="E231" i="84"/>
  <c r="H230" i="84"/>
  <c r="D230" i="84"/>
  <c r="G229" i="84"/>
  <c r="C229" i="84"/>
  <c r="F228" i="84"/>
  <c r="B228" i="84"/>
  <c r="F227" i="84"/>
  <c r="B227" i="84"/>
  <c r="B272" i="84"/>
  <c r="E272" i="84" s="1"/>
  <c r="B270" i="84"/>
  <c r="E270" i="84" s="1"/>
  <c r="D268" i="84"/>
  <c r="C267" i="84"/>
  <c r="B266" i="84"/>
  <c r="D264" i="84"/>
  <c r="C263" i="84"/>
  <c r="F235" i="84"/>
  <c r="C235" i="84"/>
  <c r="F234" i="84"/>
  <c r="B234" i="84"/>
  <c r="E233" i="84"/>
  <c r="G232" i="84"/>
  <c r="C232" i="84"/>
  <c r="F231" i="84"/>
  <c r="B231" i="84"/>
  <c r="E230" i="84"/>
  <c r="H229" i="84"/>
  <c r="D229" i="84"/>
  <c r="H228" i="84"/>
  <c r="D228" i="84"/>
  <c r="G227" i="84"/>
  <c r="D227" i="84"/>
  <c r="C272" i="84"/>
  <c r="D271" i="84"/>
  <c r="B271" i="84"/>
  <c r="D269" i="84"/>
  <c r="C268" i="84"/>
  <c r="D266" i="84"/>
  <c r="B265" i="84"/>
  <c r="E265" i="84" s="1"/>
  <c r="D263" i="84"/>
  <c r="H235" i="84"/>
  <c r="E235" i="84"/>
  <c r="B235" i="84"/>
  <c r="I235" i="84" s="1"/>
  <c r="E234" i="84"/>
  <c r="H233" i="84"/>
  <c r="D233" i="84"/>
  <c r="H232" i="84"/>
  <c r="D232" i="84"/>
  <c r="G231" i="84"/>
  <c r="C231" i="84"/>
  <c r="F230" i="84"/>
  <c r="B230" i="84"/>
  <c r="I230" i="84" s="1"/>
  <c r="E229" i="84"/>
  <c r="G228" i="84"/>
  <c r="C228" i="84"/>
  <c r="E227" i="84"/>
  <c r="C271" i="83"/>
  <c r="B271" i="83"/>
  <c r="D269" i="83"/>
  <c r="B268" i="83"/>
  <c r="D266" i="83"/>
  <c r="D265" i="83"/>
  <c r="D264" i="83"/>
  <c r="D263" i="83"/>
  <c r="F235" i="83"/>
  <c r="C235" i="83"/>
  <c r="E234" i="83"/>
  <c r="H233" i="83"/>
  <c r="D233" i="83"/>
  <c r="H232" i="83"/>
  <c r="C232" i="83"/>
  <c r="F231" i="83"/>
  <c r="C231" i="83"/>
  <c r="F230" i="83"/>
  <c r="B230" i="83"/>
  <c r="C229" i="83"/>
  <c r="G228" i="83"/>
  <c r="B228" i="83"/>
  <c r="E227" i="83"/>
  <c r="D271" i="83"/>
  <c r="B270" i="83"/>
  <c r="B269" i="83"/>
  <c r="D267" i="83"/>
  <c r="C266" i="83"/>
  <c r="C272" i="83"/>
  <c r="D270" i="83"/>
  <c r="C269" i="83"/>
  <c r="C268" i="83"/>
  <c r="B267" i="83"/>
  <c r="C265" i="83"/>
  <c r="C264" i="83"/>
  <c r="C263" i="83"/>
  <c r="B235" i="83"/>
  <c r="F234" i="83"/>
  <c r="B234" i="83"/>
  <c r="E233" i="83"/>
  <c r="B233" i="83"/>
  <c r="E232" i="83"/>
  <c r="G231" i="83"/>
  <c r="D231" i="83"/>
  <c r="G230" i="83"/>
  <c r="C230" i="83"/>
  <c r="F229" i="83"/>
  <c r="B229" i="83"/>
  <c r="E228" i="83"/>
  <c r="H227" i="83"/>
  <c r="D227" i="83"/>
  <c r="B272" i="83"/>
  <c r="H235" i="83"/>
  <c r="G235" i="83"/>
  <c r="E235" i="83"/>
  <c r="H234" i="83"/>
  <c r="C234" i="83"/>
  <c r="F233" i="83"/>
  <c r="G232" i="83"/>
  <c r="D232" i="83"/>
  <c r="H231" i="83"/>
  <c r="B231" i="83"/>
  <c r="E230" i="83"/>
  <c r="H229" i="83"/>
  <c r="E229" i="83"/>
  <c r="H228" i="83"/>
  <c r="D228" i="83"/>
  <c r="G227" i="83"/>
  <c r="C227" i="83"/>
  <c r="D272" i="83"/>
  <c r="C270" i="83"/>
  <c r="D268" i="83"/>
  <c r="C267" i="83"/>
  <c r="B266" i="83"/>
  <c r="B265" i="83"/>
  <c r="E265" i="83" s="1"/>
  <c r="B264" i="83"/>
  <c r="E264" i="83" s="1"/>
  <c r="B263" i="83"/>
  <c r="E263" i="83" s="1"/>
  <c r="D235" i="83"/>
  <c r="G234" i="83"/>
  <c r="D234" i="83"/>
  <c r="G233" i="83"/>
  <c r="C233" i="83"/>
  <c r="F232" i="83"/>
  <c r="B232" i="83"/>
  <c r="I232" i="83" s="1"/>
  <c r="E231" i="83"/>
  <c r="H230" i="83"/>
  <c r="D230" i="83"/>
  <c r="G229" i="83"/>
  <c r="D229" i="83"/>
  <c r="F228" i="83"/>
  <c r="C228" i="83"/>
  <c r="F227" i="83"/>
  <c r="B227" i="83"/>
  <c r="I227" i="83" s="1"/>
  <c r="C272" i="82"/>
  <c r="B271" i="82"/>
  <c r="E271" i="82" s="1"/>
  <c r="C269" i="82"/>
  <c r="B268" i="82"/>
  <c r="B267" i="82"/>
  <c r="B266" i="82"/>
  <c r="B265" i="82"/>
  <c r="B264" i="82"/>
  <c r="B263" i="82"/>
  <c r="C235" i="82"/>
  <c r="G234" i="82"/>
  <c r="D234" i="82"/>
  <c r="H233" i="82"/>
  <c r="D233" i="82"/>
  <c r="H232" i="82"/>
  <c r="E232" i="82"/>
  <c r="B232" i="82"/>
  <c r="F231" i="82"/>
  <c r="C231" i="82"/>
  <c r="G230" i="82"/>
  <c r="D230" i="82"/>
  <c r="H229" i="82"/>
  <c r="E229" i="82"/>
  <c r="B229" i="82"/>
  <c r="F228" i="82"/>
  <c r="C228" i="82"/>
  <c r="G227" i="82"/>
  <c r="D227" i="82"/>
  <c r="D271" i="82"/>
  <c r="C271" i="82"/>
  <c r="B270" i="82"/>
  <c r="D268" i="82"/>
  <c r="C267" i="82"/>
  <c r="C266" i="82"/>
  <c r="C265" i="82"/>
  <c r="C264" i="82"/>
  <c r="C263" i="82"/>
  <c r="F235" i="82"/>
  <c r="D235" i="82"/>
  <c r="H234" i="82"/>
  <c r="E234" i="82"/>
  <c r="B234" i="82"/>
  <c r="F233" i="82"/>
  <c r="C233" i="82"/>
  <c r="G232" i="82"/>
  <c r="D232" i="82"/>
  <c r="H231" i="82"/>
  <c r="E231" i="82"/>
  <c r="B231" i="82"/>
  <c r="F230" i="82"/>
  <c r="C230" i="82"/>
  <c r="G229" i="82"/>
  <c r="D229" i="82"/>
  <c r="H228" i="82"/>
  <c r="E228" i="82"/>
  <c r="B228" i="82"/>
  <c r="F227" i="82"/>
  <c r="C227" i="82"/>
  <c r="B272" i="82"/>
  <c r="D270" i="82"/>
  <c r="D269" i="82"/>
  <c r="C268" i="82"/>
  <c r="D272" i="82"/>
  <c r="C270" i="82"/>
  <c r="B269" i="82"/>
  <c r="E269" i="82" s="1"/>
  <c r="D267" i="82"/>
  <c r="D266" i="82"/>
  <c r="D265" i="82"/>
  <c r="D264" i="82"/>
  <c r="D263" i="82"/>
  <c r="H235" i="82"/>
  <c r="G235" i="82"/>
  <c r="E235" i="82"/>
  <c r="B235" i="82"/>
  <c r="F234" i="82"/>
  <c r="C234" i="82"/>
  <c r="G233" i="82"/>
  <c r="E233" i="82"/>
  <c r="B233" i="82"/>
  <c r="I233" i="82" s="1"/>
  <c r="F232" i="82"/>
  <c r="C232" i="82"/>
  <c r="G231" i="82"/>
  <c r="D231" i="82"/>
  <c r="H230" i="82"/>
  <c r="E230" i="82"/>
  <c r="B230" i="82"/>
  <c r="I230" i="82" s="1"/>
  <c r="F229" i="82"/>
  <c r="C229" i="82"/>
  <c r="G228" i="82"/>
  <c r="D228" i="82"/>
  <c r="H227" i="82"/>
  <c r="E227" i="82"/>
  <c r="B227" i="82"/>
  <c r="D272" i="81"/>
  <c r="C272" i="81"/>
  <c r="B272" i="81"/>
  <c r="D271" i="81"/>
  <c r="B271" i="81"/>
  <c r="D270" i="81"/>
  <c r="D269" i="81"/>
  <c r="B269" i="81"/>
  <c r="C268" i="81"/>
  <c r="B268" i="81"/>
  <c r="D267" i="81"/>
  <c r="C267" i="81"/>
  <c r="B267" i="81"/>
  <c r="D266" i="81"/>
  <c r="C266" i="81"/>
  <c r="D265" i="81"/>
  <c r="C265" i="81"/>
  <c r="B265" i="81"/>
  <c r="D264" i="81"/>
  <c r="C264" i="81"/>
  <c r="B263" i="81"/>
  <c r="C235" i="81"/>
  <c r="H234" i="81"/>
  <c r="F234" i="81"/>
  <c r="D234" i="81"/>
  <c r="B234" i="81"/>
  <c r="G233" i="81"/>
  <c r="E233" i="81"/>
  <c r="C233" i="81"/>
  <c r="H232" i="81"/>
  <c r="F232" i="81"/>
  <c r="D232" i="81"/>
  <c r="B232" i="81"/>
  <c r="G231" i="81"/>
  <c r="E231" i="81"/>
  <c r="C231" i="81"/>
  <c r="G230" i="81"/>
  <c r="E230" i="81"/>
  <c r="C230" i="81"/>
  <c r="H229" i="81"/>
  <c r="F229" i="81"/>
  <c r="D229" i="81"/>
  <c r="B229" i="81"/>
  <c r="G228" i="81"/>
  <c r="E228" i="81"/>
  <c r="C228" i="81"/>
  <c r="H227" i="81"/>
  <c r="F227" i="81"/>
  <c r="D227" i="81"/>
  <c r="B227" i="81"/>
  <c r="C271" i="81"/>
  <c r="C270" i="81"/>
  <c r="B270" i="81"/>
  <c r="C269" i="81"/>
  <c r="D268" i="81"/>
  <c r="B266" i="81"/>
  <c r="E266" i="81" s="1"/>
  <c r="B264" i="81"/>
  <c r="E264" i="81" s="1"/>
  <c r="D263" i="81"/>
  <c r="C263" i="81"/>
  <c r="H235" i="81"/>
  <c r="G235" i="81"/>
  <c r="F235" i="81"/>
  <c r="E235" i="81"/>
  <c r="D235" i="81"/>
  <c r="B235" i="81"/>
  <c r="I235" i="81" s="1"/>
  <c r="G234" i="81"/>
  <c r="E234" i="81"/>
  <c r="C234" i="81"/>
  <c r="H233" i="81"/>
  <c r="F233" i="81"/>
  <c r="D233" i="81"/>
  <c r="B233" i="81"/>
  <c r="I233" i="81" s="1"/>
  <c r="G232" i="81"/>
  <c r="E232" i="81"/>
  <c r="C232" i="81"/>
  <c r="H231" i="81"/>
  <c r="F231" i="81"/>
  <c r="D231" i="81"/>
  <c r="B231" i="81"/>
  <c r="H230" i="81"/>
  <c r="F230" i="81"/>
  <c r="D230" i="81"/>
  <c r="B230" i="81"/>
  <c r="I230" i="81" s="1"/>
  <c r="G229" i="81"/>
  <c r="E229" i="81"/>
  <c r="C229" i="81"/>
  <c r="H228" i="81"/>
  <c r="F228" i="81"/>
  <c r="D228" i="81"/>
  <c r="B228" i="81"/>
  <c r="I228" i="81" s="1"/>
  <c r="G227" i="81"/>
  <c r="E227" i="81"/>
  <c r="C227" i="81"/>
  <c r="D272" i="80"/>
  <c r="B272" i="80"/>
  <c r="D271" i="80"/>
  <c r="B271" i="80"/>
  <c r="C270" i="80"/>
  <c r="D269" i="80"/>
  <c r="B269" i="80"/>
  <c r="C268" i="80"/>
  <c r="D267" i="80"/>
  <c r="B267" i="80"/>
  <c r="C266" i="80"/>
  <c r="D265" i="80"/>
  <c r="B265" i="80"/>
  <c r="C264" i="80"/>
  <c r="D263" i="80"/>
  <c r="B263" i="80"/>
  <c r="G234" i="80"/>
  <c r="E234" i="80"/>
  <c r="C234" i="80"/>
  <c r="G233" i="80"/>
  <c r="E233" i="80"/>
  <c r="D233" i="80"/>
  <c r="G232" i="80"/>
  <c r="E232" i="80"/>
  <c r="B232" i="80"/>
  <c r="E231" i="80"/>
  <c r="B231" i="80"/>
  <c r="F230" i="80"/>
  <c r="C230" i="80"/>
  <c r="G229" i="80"/>
  <c r="E229" i="80"/>
  <c r="G228" i="80"/>
  <c r="D228" i="80"/>
  <c r="H227" i="80"/>
  <c r="E227" i="80"/>
  <c r="B227" i="80"/>
  <c r="G231" i="80"/>
  <c r="F231" i="80"/>
  <c r="C231" i="80"/>
  <c r="G230" i="80"/>
  <c r="E230" i="80"/>
  <c r="D230" i="80"/>
  <c r="F229" i="80"/>
  <c r="C229" i="80"/>
  <c r="F228" i="80"/>
  <c r="C228" i="80"/>
  <c r="G227" i="80"/>
  <c r="D227" i="80"/>
  <c r="B229" i="80"/>
  <c r="C272" i="80"/>
  <c r="C271" i="80"/>
  <c r="D270" i="80"/>
  <c r="B270" i="80"/>
  <c r="E270" i="80" s="1"/>
  <c r="C269" i="80"/>
  <c r="D268" i="80"/>
  <c r="B268" i="80"/>
  <c r="C267" i="80"/>
  <c r="D266" i="80"/>
  <c r="B266" i="80"/>
  <c r="C265" i="80"/>
  <c r="D264" i="80"/>
  <c r="B264" i="80"/>
  <c r="C263" i="80"/>
  <c r="H235" i="80"/>
  <c r="G235" i="80"/>
  <c r="F235" i="80"/>
  <c r="E235" i="80"/>
  <c r="D235" i="80"/>
  <c r="C235" i="80"/>
  <c r="B235" i="80"/>
  <c r="H234" i="80"/>
  <c r="F234" i="80"/>
  <c r="D234" i="80"/>
  <c r="B234" i="80"/>
  <c r="H233" i="80"/>
  <c r="F233" i="80"/>
  <c r="C233" i="80"/>
  <c r="B233" i="80"/>
  <c r="H232" i="80"/>
  <c r="F232" i="80"/>
  <c r="D232" i="80"/>
  <c r="C232" i="80"/>
  <c r="H231" i="80"/>
  <c r="D231" i="80"/>
  <c r="H230" i="80"/>
  <c r="B230" i="80"/>
  <c r="H229" i="80"/>
  <c r="D229" i="80"/>
  <c r="H228" i="80"/>
  <c r="E228" i="80"/>
  <c r="B228" i="80"/>
  <c r="F227" i="80"/>
  <c r="C227" i="80"/>
  <c r="D270" i="79"/>
  <c r="D269" i="79"/>
  <c r="D268" i="79"/>
  <c r="C267" i="79"/>
  <c r="D265" i="79"/>
  <c r="C263" i="79"/>
  <c r="C235" i="79"/>
  <c r="E234" i="79"/>
  <c r="G233" i="79"/>
  <c r="B233" i="79"/>
  <c r="D232" i="79"/>
  <c r="G231" i="79"/>
  <c r="C231" i="79"/>
  <c r="G230" i="79"/>
  <c r="F229" i="79"/>
  <c r="E229" i="79"/>
  <c r="E228" i="79"/>
  <c r="H227" i="79"/>
  <c r="B227" i="79"/>
  <c r="C270" i="79"/>
  <c r="B270" i="79"/>
  <c r="B269" i="79"/>
  <c r="C268" i="79"/>
  <c r="B267" i="79"/>
  <c r="B266" i="79"/>
  <c r="C264" i="79"/>
  <c r="H235" i="79"/>
  <c r="G235" i="79"/>
  <c r="F235" i="79"/>
  <c r="B235" i="79"/>
  <c r="G234" i="79"/>
  <c r="B234" i="79"/>
  <c r="E233" i="79"/>
  <c r="F232" i="79"/>
  <c r="C232" i="79"/>
  <c r="E231" i="79"/>
  <c r="H230" i="79"/>
  <c r="B230" i="79"/>
  <c r="D229" i="79"/>
  <c r="F228" i="79"/>
  <c r="B228" i="79"/>
  <c r="D227" i="79"/>
  <c r="C272" i="79"/>
  <c r="D267" i="79"/>
  <c r="C266" i="79"/>
  <c r="D264" i="79"/>
  <c r="B263" i="79"/>
  <c r="H234" i="79"/>
  <c r="C234" i="79"/>
  <c r="D233" i="79"/>
  <c r="G232" i="79"/>
  <c r="F231" i="79"/>
  <c r="B231" i="79"/>
  <c r="E230" i="79"/>
  <c r="H229" i="79"/>
  <c r="G228" i="79"/>
  <c r="C228" i="79"/>
  <c r="G227" i="79"/>
  <c r="B271" i="79"/>
  <c r="C271" i="79"/>
  <c r="C269" i="79"/>
  <c r="B268" i="79"/>
  <c r="E268" i="79" s="1"/>
  <c r="D266" i="79"/>
  <c r="C265" i="79"/>
  <c r="D263" i="79"/>
  <c r="E235" i="79"/>
  <c r="F234" i="79"/>
  <c r="H233" i="79"/>
  <c r="C233" i="79"/>
  <c r="H232" i="79"/>
  <c r="H231" i="79"/>
  <c r="D231" i="79"/>
  <c r="F230" i="79"/>
  <c r="G229" i="79"/>
  <c r="B229" i="79"/>
  <c r="D228" i="79"/>
  <c r="F227" i="79"/>
  <c r="D272" i="79"/>
  <c r="B265" i="79"/>
  <c r="E265" i="79" s="1"/>
  <c r="D235" i="79"/>
  <c r="F233" i="79"/>
  <c r="B232" i="79"/>
  <c r="C230" i="79"/>
  <c r="C229" i="79"/>
  <c r="C227" i="79"/>
  <c r="B272" i="79"/>
  <c r="D271" i="79"/>
  <c r="B264" i="79"/>
  <c r="E264" i="79" s="1"/>
  <c r="D234" i="79"/>
  <c r="E232" i="79"/>
  <c r="D230" i="79"/>
  <c r="H228" i="79"/>
  <c r="E227" i="79"/>
  <c r="D270" i="78"/>
  <c r="D268" i="78"/>
  <c r="D265" i="78"/>
  <c r="C264" i="78"/>
  <c r="F235" i="78"/>
  <c r="B235" i="78"/>
  <c r="F234" i="78"/>
  <c r="C234" i="78"/>
  <c r="H233" i="78"/>
  <c r="G229" i="78"/>
  <c r="F228" i="78"/>
  <c r="C228" i="78"/>
  <c r="H227" i="78"/>
  <c r="C227" i="78"/>
  <c r="C272" i="78"/>
  <c r="C268" i="78"/>
  <c r="B267" i="78"/>
  <c r="D271" i="78"/>
  <c r="C270" i="78"/>
  <c r="C269" i="78"/>
  <c r="C263" i="78"/>
  <c r="E233" i="78"/>
  <c r="H232" i="78"/>
  <c r="E232" i="78"/>
  <c r="G231" i="78"/>
  <c r="B231" i="78"/>
  <c r="G230" i="78"/>
  <c r="C230" i="78"/>
  <c r="E229" i="78"/>
  <c r="B229" i="78"/>
  <c r="B271" i="78"/>
  <c r="B270" i="78"/>
  <c r="C267" i="78"/>
  <c r="B264" i="78"/>
  <c r="C235" i="78"/>
  <c r="G233" i="78"/>
  <c r="B232" i="78"/>
  <c r="H230" i="78"/>
  <c r="C229" i="78"/>
  <c r="B228" i="78"/>
  <c r="B272" i="78"/>
  <c r="D269" i="78"/>
  <c r="B269" i="78"/>
  <c r="D267" i="78"/>
  <c r="D266" i="78"/>
  <c r="C265" i="78"/>
  <c r="D264" i="78"/>
  <c r="B263" i="78"/>
  <c r="G235" i="78"/>
  <c r="D235" i="78"/>
  <c r="G234" i="78"/>
  <c r="E234" i="78"/>
  <c r="F233" i="78"/>
  <c r="C233" i="78"/>
  <c r="F232" i="78"/>
  <c r="C232" i="78"/>
  <c r="F231" i="78"/>
  <c r="C231" i="78"/>
  <c r="F230" i="78"/>
  <c r="B230" i="78"/>
  <c r="F229" i="78"/>
  <c r="H228" i="78"/>
  <c r="E228" i="78"/>
  <c r="F227" i="78"/>
  <c r="D227" i="78"/>
  <c r="C271" i="78"/>
  <c r="B266" i="78"/>
  <c r="B233" i="78"/>
  <c r="E231" i="78"/>
  <c r="D230" i="78"/>
  <c r="E227" i="78"/>
  <c r="D272" i="78"/>
  <c r="B268" i="78"/>
  <c r="E268" i="78" s="1"/>
  <c r="C266" i="78"/>
  <c r="B265" i="78"/>
  <c r="E265" i="78" s="1"/>
  <c r="D263" i="78"/>
  <c r="H235" i="78"/>
  <c r="E235" i="78"/>
  <c r="H234" i="78"/>
  <c r="D234" i="78"/>
  <c r="B234" i="78"/>
  <c r="D233" i="78"/>
  <c r="G232" i="78"/>
  <c r="D232" i="78"/>
  <c r="H231" i="78"/>
  <c r="D231" i="78"/>
  <c r="E230" i="78"/>
  <c r="H229" i="78"/>
  <c r="D229" i="78"/>
  <c r="G228" i="78"/>
  <c r="D228" i="78"/>
  <c r="G227" i="78"/>
  <c r="B227" i="78"/>
  <c r="D270" i="77"/>
  <c r="C227" i="77"/>
  <c r="D271" i="77"/>
  <c r="B270" i="77"/>
  <c r="D268" i="77"/>
  <c r="D266" i="77"/>
  <c r="C265" i="77"/>
  <c r="H235" i="77"/>
  <c r="F235" i="77"/>
  <c r="D235" i="77"/>
  <c r="H234" i="77"/>
  <c r="G234" i="77"/>
  <c r="D234" i="77"/>
  <c r="H233" i="77"/>
  <c r="D233" i="77"/>
  <c r="G232" i="77"/>
  <c r="H231" i="77"/>
  <c r="H230" i="77"/>
  <c r="F229" i="77"/>
  <c r="H228" i="77"/>
  <c r="H227" i="77"/>
  <c r="B271" i="77"/>
  <c r="F232" i="77"/>
  <c r="E230" i="77"/>
  <c r="B228" i="77"/>
  <c r="C270" i="77"/>
  <c r="B269" i="77"/>
  <c r="B268" i="77"/>
  <c r="B266" i="77"/>
  <c r="B265" i="77"/>
  <c r="C263" i="77"/>
  <c r="C233" i="77"/>
  <c r="C232" i="77"/>
  <c r="E231" i="77"/>
  <c r="F230" i="77"/>
  <c r="B230" i="77"/>
  <c r="D229" i="77"/>
  <c r="F228" i="77"/>
  <c r="G227" i="77"/>
  <c r="C271" i="77"/>
  <c r="C267" i="77"/>
  <c r="B264" i="77"/>
  <c r="E232" i="77"/>
  <c r="B231" i="77"/>
  <c r="D230" i="77"/>
  <c r="E228" i="77"/>
  <c r="B227" i="77"/>
  <c r="B272" i="77"/>
  <c r="B267" i="77"/>
  <c r="D263" i="77"/>
  <c r="F233" i="77"/>
  <c r="F231" i="77"/>
  <c r="G230" i="77"/>
  <c r="G229" i="77"/>
  <c r="G228" i="77"/>
  <c r="E227" i="77"/>
  <c r="D272" i="77"/>
  <c r="C269" i="77"/>
  <c r="D267" i="77"/>
  <c r="D265" i="77"/>
  <c r="D264" i="77"/>
  <c r="B263" i="77"/>
  <c r="E263" i="77" s="1"/>
  <c r="E234" i="77"/>
  <c r="C234" i="77"/>
  <c r="G233" i="77"/>
  <c r="B233" i="77"/>
  <c r="D232" i="77"/>
  <c r="G231" i="77"/>
  <c r="D231" i="77"/>
  <c r="H229" i="77"/>
  <c r="C229" i="77"/>
  <c r="C228" i="77"/>
  <c r="D227" i="77"/>
  <c r="C272" i="77"/>
  <c r="D269" i="77"/>
  <c r="C268" i="77"/>
  <c r="C266" i="77"/>
  <c r="C264" i="77"/>
  <c r="G235" i="77"/>
  <c r="E235" i="77"/>
  <c r="C235" i="77"/>
  <c r="B235" i="77"/>
  <c r="F234" i="77"/>
  <c r="B234" i="77"/>
  <c r="E233" i="77"/>
  <c r="H232" i="77"/>
  <c r="B232" i="77"/>
  <c r="C231" i="77"/>
  <c r="C230" i="77"/>
  <c r="E229" i="77"/>
  <c r="B229" i="77"/>
  <c r="D228" i="77"/>
  <c r="F227" i="77"/>
  <c r="B266" i="76"/>
  <c r="H235" i="76"/>
  <c r="F235" i="76"/>
  <c r="D235" i="76"/>
  <c r="F234" i="76"/>
  <c r="E234" i="76"/>
  <c r="C233" i="76"/>
  <c r="E232" i="76"/>
  <c r="H231" i="76"/>
  <c r="H230" i="76"/>
  <c r="B230" i="76"/>
  <c r="D229" i="76"/>
  <c r="B228" i="76"/>
  <c r="E227" i="76"/>
  <c r="C272" i="76"/>
  <c r="B270" i="76"/>
  <c r="B269" i="76"/>
  <c r="C268" i="76"/>
  <c r="C267" i="76"/>
  <c r="C266" i="76"/>
  <c r="F228" i="76"/>
  <c r="B272" i="76"/>
  <c r="C270" i="76"/>
  <c r="C269" i="76"/>
  <c r="D268" i="76"/>
  <c r="B268" i="76"/>
  <c r="C263" i="76"/>
  <c r="D233" i="76"/>
  <c r="F231" i="76"/>
  <c r="F229" i="76"/>
  <c r="F227" i="76"/>
  <c r="D265" i="76"/>
  <c r="E235" i="76"/>
  <c r="G234" i="76"/>
  <c r="H233" i="76"/>
  <c r="B233" i="76"/>
  <c r="D232" i="76"/>
  <c r="B232" i="76"/>
  <c r="D231" i="76"/>
  <c r="F230" i="76"/>
  <c r="C230" i="76"/>
  <c r="E229" i="76"/>
  <c r="H227" i="76"/>
  <c r="B227" i="76"/>
  <c r="B271" i="76"/>
  <c r="D266" i="76"/>
  <c r="D264" i="76"/>
  <c r="D263" i="76"/>
  <c r="H234" i="76"/>
  <c r="C234" i="76"/>
  <c r="G233" i="76"/>
  <c r="H232" i="76"/>
  <c r="C232" i="76"/>
  <c r="C231" i="76"/>
  <c r="E230" i="76"/>
  <c r="C229" i="76"/>
  <c r="E228" i="76"/>
  <c r="G227" i="76"/>
  <c r="D271" i="76"/>
  <c r="D267" i="76"/>
  <c r="C264" i="76"/>
  <c r="B263" i="76"/>
  <c r="G231" i="76"/>
  <c r="D230" i="76"/>
  <c r="B229" i="76"/>
  <c r="D228" i="76"/>
  <c r="C271" i="76"/>
  <c r="D270" i="76"/>
  <c r="D269" i="76"/>
  <c r="C265" i="76"/>
  <c r="C235" i="76"/>
  <c r="D234" i="76"/>
  <c r="E233" i="76"/>
  <c r="G232" i="76"/>
  <c r="B231" i="76"/>
  <c r="H229" i="76"/>
  <c r="G228" i="76"/>
  <c r="C227" i="76"/>
  <c r="D272" i="76"/>
  <c r="B267" i="76"/>
  <c r="B265" i="76"/>
  <c r="B264" i="76"/>
  <c r="G235" i="76"/>
  <c r="B235" i="76"/>
  <c r="B234" i="76"/>
  <c r="F233" i="76"/>
  <c r="F232" i="76"/>
  <c r="E231" i="76"/>
  <c r="G230" i="76"/>
  <c r="G229" i="76"/>
  <c r="H228" i="76"/>
  <c r="C228" i="76"/>
  <c r="D227" i="76"/>
  <c r="D270" i="75"/>
  <c r="D232" i="75"/>
  <c r="B230" i="75"/>
  <c r="D228" i="75"/>
  <c r="C227" i="75"/>
  <c r="B271" i="75"/>
  <c r="D269" i="75"/>
  <c r="C268" i="75"/>
  <c r="C266" i="75"/>
  <c r="D264" i="75"/>
  <c r="C263" i="75"/>
  <c r="G234" i="75"/>
  <c r="D234" i="75"/>
  <c r="F233" i="75"/>
  <c r="G232" i="75"/>
  <c r="F231" i="75"/>
  <c r="B231" i="75"/>
  <c r="E230" i="75"/>
  <c r="E229" i="75"/>
  <c r="H228" i="75"/>
  <c r="F227" i="75"/>
  <c r="B272" i="75"/>
  <c r="B269" i="75"/>
  <c r="D267" i="75"/>
  <c r="B266" i="75"/>
  <c r="B265" i="75"/>
  <c r="H235" i="75"/>
  <c r="F235" i="75"/>
  <c r="E235" i="75"/>
  <c r="B235" i="75"/>
  <c r="C234" i="75"/>
  <c r="E233" i="75"/>
  <c r="D233" i="75"/>
  <c r="H232" i="75"/>
  <c r="G231" i="75"/>
  <c r="C231" i="75"/>
  <c r="D230" i="75"/>
  <c r="G229" i="75"/>
  <c r="F228" i="75"/>
  <c r="E227" i="75"/>
  <c r="D271" i="75"/>
  <c r="C269" i="75"/>
  <c r="B268" i="75"/>
  <c r="B267" i="75"/>
  <c r="D265" i="75"/>
  <c r="D263" i="75"/>
  <c r="D235" i="75"/>
  <c r="C235" i="75"/>
  <c r="H234" i="75"/>
  <c r="B234" i="75"/>
  <c r="G233" i="75"/>
  <c r="C233" i="75"/>
  <c r="H231" i="75"/>
  <c r="E231" i="75"/>
  <c r="G230" i="75"/>
  <c r="H229" i="75"/>
  <c r="G228" i="75"/>
  <c r="B228" i="75"/>
  <c r="B227" i="75"/>
  <c r="C271" i="75"/>
  <c r="B270" i="75"/>
  <c r="D268" i="75"/>
  <c r="D266" i="75"/>
  <c r="C265" i="75"/>
  <c r="B263" i="75"/>
  <c r="E234" i="75"/>
  <c r="H233" i="75"/>
  <c r="F232" i="75"/>
  <c r="B232" i="75"/>
  <c r="D231" i="75"/>
  <c r="F230" i="75"/>
  <c r="F229" i="75"/>
  <c r="B229" i="75"/>
  <c r="E228" i="75"/>
  <c r="G227" i="75"/>
  <c r="C270" i="75"/>
  <c r="C230" i="75"/>
  <c r="D227" i="75"/>
  <c r="D272" i="75"/>
  <c r="C267" i="75"/>
  <c r="C264" i="75"/>
  <c r="G235" i="75"/>
  <c r="F234" i="75"/>
  <c r="B233" i="75"/>
  <c r="C232" i="75"/>
  <c r="D229" i="75"/>
  <c r="C228" i="75"/>
  <c r="C272" i="75"/>
  <c r="B264" i="75"/>
  <c r="E232" i="75"/>
  <c r="H230" i="75"/>
  <c r="C229" i="75"/>
  <c r="H227" i="75"/>
  <c r="C270" i="74"/>
  <c r="D271" i="74"/>
  <c r="B269" i="74"/>
  <c r="D267" i="74"/>
  <c r="B266" i="74"/>
  <c r="D264" i="74"/>
  <c r="B263" i="74"/>
  <c r="F234" i="74"/>
  <c r="B234" i="74"/>
  <c r="E233" i="74"/>
  <c r="H232" i="74"/>
  <c r="B232" i="74"/>
  <c r="E231" i="74"/>
  <c r="B231" i="74"/>
  <c r="D230" i="74"/>
  <c r="G229" i="74"/>
  <c r="B229" i="74"/>
  <c r="C228" i="74"/>
  <c r="H227" i="74"/>
  <c r="D227" i="74"/>
  <c r="C272" i="74"/>
  <c r="D269" i="74"/>
  <c r="C268" i="74"/>
  <c r="D266" i="74"/>
  <c r="C265" i="74"/>
  <c r="B264" i="74"/>
  <c r="H235" i="74"/>
  <c r="F235" i="74"/>
  <c r="C235" i="74"/>
  <c r="G234" i="74"/>
  <c r="C234" i="74"/>
  <c r="F233" i="74"/>
  <c r="D233" i="74"/>
  <c r="G232" i="74"/>
  <c r="C232" i="74"/>
  <c r="F231" i="74"/>
  <c r="H230" i="74"/>
  <c r="C230" i="74"/>
  <c r="F229" i="74"/>
  <c r="C229" i="74"/>
  <c r="E228" i="74"/>
  <c r="G227" i="74"/>
  <c r="C227" i="74"/>
  <c r="D270" i="74"/>
  <c r="B270" i="74"/>
  <c r="D268" i="74"/>
  <c r="B267" i="74"/>
  <c r="D265" i="74"/>
  <c r="C264" i="74"/>
  <c r="G235" i="74"/>
  <c r="E235" i="74"/>
  <c r="H234" i="74"/>
  <c r="D234" i="74"/>
  <c r="H233" i="74"/>
  <c r="B233" i="74"/>
  <c r="F232" i="74"/>
  <c r="H231" i="74"/>
  <c r="D231" i="74"/>
  <c r="F230" i="74"/>
  <c r="H229" i="74"/>
  <c r="D229" i="74"/>
  <c r="G228" i="74"/>
  <c r="B228" i="74"/>
  <c r="E227" i="74"/>
  <c r="B227" i="74"/>
  <c r="D272" i="74"/>
  <c r="C267" i="74"/>
  <c r="C263" i="74"/>
  <c r="D232" i="74"/>
  <c r="E230" i="74"/>
  <c r="F228" i="74"/>
  <c r="B271" i="74"/>
  <c r="C271" i="74"/>
  <c r="B272" i="74"/>
  <c r="E272" i="74" s="1"/>
  <c r="C269" i="74"/>
  <c r="B268" i="74"/>
  <c r="E268" i="74" s="1"/>
  <c r="C266" i="74"/>
  <c r="B265" i="74"/>
  <c r="E265" i="74" s="1"/>
  <c r="D263" i="74"/>
  <c r="D235" i="74"/>
  <c r="B235" i="74"/>
  <c r="E234" i="74"/>
  <c r="G233" i="74"/>
  <c r="C233" i="74"/>
  <c r="E232" i="74"/>
  <c r="G231" i="74"/>
  <c r="C231" i="74"/>
  <c r="G230" i="74"/>
  <c r="B230" i="74"/>
  <c r="E229" i="74"/>
  <c r="H228" i="74"/>
  <c r="D228" i="74"/>
  <c r="F227" i="74"/>
  <c r="D207" i="32" a="1"/>
  <c r="D191" i="32" a="1"/>
  <c r="I233" i="87" l="1"/>
  <c r="E265" i="86"/>
  <c r="E266" i="87"/>
  <c r="I228" i="87"/>
  <c r="I232" i="87"/>
  <c r="I231" i="87"/>
  <c r="E267" i="87"/>
  <c r="I230" i="87"/>
  <c r="I227" i="87"/>
  <c r="E264" i="87"/>
  <c r="I234" i="87"/>
  <c r="E265" i="87"/>
  <c r="E268" i="87"/>
  <c r="I229" i="87"/>
  <c r="E263" i="87"/>
  <c r="E263" i="86"/>
  <c r="I235" i="86"/>
  <c r="I230" i="86"/>
  <c r="I229" i="86"/>
  <c r="E266" i="86"/>
  <c r="I234" i="86"/>
  <c r="I233" i="86"/>
  <c r="I232" i="86"/>
  <c r="I228" i="86"/>
  <c r="E272" i="86"/>
  <c r="I231" i="86"/>
  <c r="I227" i="86"/>
  <c r="I229" i="85"/>
  <c r="I227" i="85"/>
  <c r="E272" i="85"/>
  <c r="E263" i="85"/>
  <c r="I228" i="85"/>
  <c r="I231" i="85"/>
  <c r="E267" i="85"/>
  <c r="I230" i="85"/>
  <c r="E264" i="85"/>
  <c r="I233" i="85"/>
  <c r="E266" i="85"/>
  <c r="E270" i="85"/>
  <c r="E265" i="85"/>
  <c r="E269" i="85"/>
  <c r="I232" i="85"/>
  <c r="I235" i="85"/>
  <c r="E271" i="85"/>
  <c r="I227" i="82"/>
  <c r="I227" i="84"/>
  <c r="I233" i="84"/>
  <c r="I232" i="84"/>
  <c r="E269" i="84"/>
  <c r="E266" i="84"/>
  <c r="I231" i="84"/>
  <c r="E264" i="84"/>
  <c r="I229" i="84"/>
  <c r="E267" i="84"/>
  <c r="E268" i="84"/>
  <c r="E263" i="84"/>
  <c r="I228" i="84"/>
  <c r="E271" i="84"/>
  <c r="I234" i="84"/>
  <c r="I230" i="83"/>
  <c r="I234" i="83"/>
  <c r="E268" i="83"/>
  <c r="E271" i="83"/>
  <c r="I228" i="83"/>
  <c r="E270" i="83"/>
  <c r="E267" i="83"/>
  <c r="E269" i="83"/>
  <c r="I233" i="83"/>
  <c r="I229" i="83"/>
  <c r="E272" i="83"/>
  <c r="I231" i="83"/>
  <c r="I235" i="83"/>
  <c r="E266" i="83"/>
  <c r="E267" i="82"/>
  <c r="E270" i="82"/>
  <c r="E266" i="82"/>
  <c r="E272" i="82"/>
  <c r="E265" i="82"/>
  <c r="I228" i="82"/>
  <c r="I235" i="82"/>
  <c r="E264" i="82"/>
  <c r="E263" i="82"/>
  <c r="I232" i="82"/>
  <c r="I231" i="82"/>
  <c r="E268" i="82"/>
  <c r="I229" i="82"/>
  <c r="I234" i="82"/>
  <c r="E265" i="81"/>
  <c r="E270" i="79"/>
  <c r="E263" i="76"/>
  <c r="E264" i="76"/>
  <c r="E267" i="81"/>
  <c r="E270" i="81"/>
  <c r="E272" i="79"/>
  <c r="E269" i="78"/>
  <c r="E266" i="78"/>
  <c r="E267" i="76"/>
  <c r="E263" i="81"/>
  <c r="E266" i="80"/>
  <c r="E269" i="81"/>
  <c r="I229" i="81"/>
  <c r="E271" i="81"/>
  <c r="I227" i="81"/>
  <c r="E268" i="81"/>
  <c r="I232" i="81"/>
  <c r="E272" i="81"/>
  <c r="I234" i="81"/>
  <c r="I231" i="81"/>
  <c r="E268" i="80"/>
  <c r="I228" i="80"/>
  <c r="E264" i="80"/>
  <c r="I235" i="80"/>
  <c r="E271" i="80"/>
  <c r="E267" i="80"/>
  <c r="I229" i="80"/>
  <c r="I233" i="80"/>
  <c r="E263" i="80"/>
  <c r="I232" i="80"/>
  <c r="E272" i="80"/>
  <c r="E265" i="80"/>
  <c r="I227" i="80"/>
  <c r="I234" i="80"/>
  <c r="I230" i="80"/>
  <c r="E269" i="80"/>
  <c r="I231" i="80"/>
  <c r="E265" i="76"/>
  <c r="I234" i="76"/>
  <c r="I234" i="77"/>
  <c r="I235" i="74"/>
  <c r="I229" i="77"/>
  <c r="I232" i="79"/>
  <c r="I234" i="78"/>
  <c r="I230" i="74"/>
  <c r="I227" i="78"/>
  <c r="I233" i="79"/>
  <c r="I227" i="79"/>
  <c r="I234" i="79"/>
  <c r="I231" i="79"/>
  <c r="E267" i="79"/>
  <c r="I228" i="79"/>
  <c r="E266" i="79"/>
  <c r="E263" i="79"/>
  <c r="E269" i="79"/>
  <c r="I235" i="79"/>
  <c r="I230" i="79"/>
  <c r="E271" i="79"/>
  <c r="I229" i="79"/>
  <c r="E264" i="78"/>
  <c r="I233" i="78"/>
  <c r="E267" i="78"/>
  <c r="E271" i="78"/>
  <c r="I228" i="78"/>
  <c r="I229" i="78"/>
  <c r="I230" i="78"/>
  <c r="I235" i="78"/>
  <c r="E272" i="78"/>
  <c r="I231" i="78"/>
  <c r="E270" i="78"/>
  <c r="I232" i="78"/>
  <c r="E263" i="78"/>
  <c r="E263" i="75"/>
  <c r="E264" i="75"/>
  <c r="E270" i="74"/>
  <c r="I233" i="75"/>
  <c r="E270" i="77"/>
  <c r="E265" i="77"/>
  <c r="I227" i="77"/>
  <c r="I232" i="77"/>
  <c r="E272" i="77"/>
  <c r="I233" i="77"/>
  <c r="I231" i="77"/>
  <c r="E271" i="77"/>
  <c r="E269" i="77"/>
  <c r="E264" i="77"/>
  <c r="E267" i="77"/>
  <c r="I228" i="77"/>
  <c r="I235" i="77"/>
  <c r="I230" i="77"/>
  <c r="E266" i="77"/>
  <c r="E268" i="77"/>
  <c r="E266" i="76"/>
  <c r="I230" i="76"/>
  <c r="I227" i="76"/>
  <c r="I228" i="76"/>
  <c r="I229" i="76"/>
  <c r="E270" i="76"/>
  <c r="I235" i="76"/>
  <c r="E269" i="76"/>
  <c r="I233" i="76"/>
  <c r="I231" i="76"/>
  <c r="E272" i="76"/>
  <c r="E271" i="76"/>
  <c r="E268" i="76"/>
  <c r="I232" i="76"/>
  <c r="I231" i="75"/>
  <c r="E265" i="75"/>
  <c r="I235" i="75"/>
  <c r="I234" i="75"/>
  <c r="I227" i="75"/>
  <c r="E269" i="75"/>
  <c r="E271" i="75"/>
  <c r="E272" i="75"/>
  <c r="I229" i="75"/>
  <c r="I230" i="75"/>
  <c r="E268" i="75"/>
  <c r="E270" i="75"/>
  <c r="E266" i="75"/>
  <c r="I228" i="75"/>
  <c r="E267" i="75"/>
  <c r="I232" i="75"/>
  <c r="E264" i="74"/>
  <c r="I232" i="74"/>
  <c r="E263" i="74"/>
  <c r="I229" i="74"/>
  <c r="I234" i="74"/>
  <c r="I231" i="74"/>
  <c r="E266" i="74"/>
  <c r="I227" i="74"/>
  <c r="E269" i="74"/>
  <c r="E267" i="74"/>
  <c r="I233" i="74"/>
  <c r="E271" i="74"/>
  <c r="I228" i="74"/>
  <c r="C185" i="32" l="1" a="1"/>
  <c r="D185" i="32" s="1" a="1"/>
  <c r="C184" i="32" a="1"/>
  <c r="D184" i="32" s="1" a="1"/>
  <c r="C183" i="32" a="1"/>
  <c r="C182" i="32" a="1"/>
  <c r="D182" i="32" s="1" a="1"/>
  <c r="C181" i="32" a="1"/>
  <c r="D181" i="32" s="1" a="1"/>
  <c r="C180" i="32" a="1"/>
  <c r="C179" i="32" a="1"/>
  <c r="D179" i="32" s="1" a="1"/>
  <c r="C178" i="32" a="1"/>
  <c r="D178" i="32" s="1" a="1"/>
  <c r="C177" i="32" a="1"/>
  <c r="D177" i="32" s="1" a="1"/>
  <c r="C176" i="32" a="1"/>
  <c r="D176" i="32" s="1" a="1"/>
  <c r="C175" i="32" a="1"/>
  <c r="D175" i="32" s="1" a="1"/>
  <c r="C174" i="32" a="1"/>
  <c r="D174" i="32" s="1" a="1"/>
  <c r="C173" i="32" a="1"/>
  <c r="D173" i="32" s="1" a="1"/>
  <c r="C172" i="32" a="1"/>
  <c r="D172" i="32" s="1" a="1"/>
  <c r="C171" i="32" a="1"/>
  <c r="D171" i="32" s="1" a="1"/>
  <c r="C170" i="32" a="1"/>
  <c r="D170" i="32" s="1" a="1"/>
  <c r="C169" i="32" a="1"/>
  <c r="D169" i="32" s="1" a="1"/>
  <c r="C168" i="32" a="1"/>
  <c r="D168" i="32" s="1" a="1"/>
  <c r="C167" i="32" a="1"/>
  <c r="D167" i="32" s="1" a="1"/>
  <c r="C166" i="32" a="1"/>
  <c r="D166" i="32" s="1" a="1"/>
  <c r="C165" i="32" a="1"/>
  <c r="D165" i="32" s="1" a="1"/>
  <c r="C164" i="32" a="1"/>
  <c r="D164" i="32" s="1" a="1"/>
  <c r="C163" i="32" a="1"/>
  <c r="D163" i="32" s="1" a="1"/>
  <c r="C162" i="32" a="1"/>
  <c r="C161" i="32" a="1"/>
  <c r="D161" i="32" s="1" a="1"/>
  <c r="C160" i="32" a="1"/>
  <c r="D160" i="32" s="1" a="1"/>
  <c r="C159" i="32" a="1"/>
  <c r="D159" i="32" s="1" a="1"/>
  <c r="C158" i="32" a="1"/>
  <c r="D158" i="32" s="1" a="1"/>
  <c r="C157" i="32" a="1"/>
  <c r="D157" i="32" s="1" a="1"/>
  <c r="C156" i="32" a="1"/>
  <c r="D156" i="32" s="1" a="1"/>
  <c r="C155" i="32" a="1"/>
  <c r="D155" i="32" s="1" a="1"/>
  <c r="C154" i="32" a="1"/>
  <c r="D154" i="32" s="1" a="1"/>
  <c r="C153" i="32" a="1"/>
  <c r="D153" i="32" s="1" a="1"/>
  <c r="C152" i="32" a="1"/>
  <c r="D152" i="32" s="1" a="1"/>
  <c r="C151" i="32" a="1"/>
  <c r="D151" i="32" s="1" a="1"/>
  <c r="C150" i="32" a="1"/>
  <c r="D150" i="32" s="1" a="1"/>
  <c r="C149" i="32" a="1"/>
  <c r="D149" i="32" s="1" a="1"/>
  <c r="C148" i="32" a="1"/>
  <c r="D148" i="32" s="1" a="1"/>
  <c r="C147" i="32" a="1"/>
  <c r="D147" i="32" s="1" a="1"/>
  <c r="C146" i="32" a="1"/>
  <c r="D146" i="32" s="1" a="1"/>
  <c r="C145" i="32" a="1"/>
  <c r="D145" i="32" s="1" a="1"/>
  <c r="C144" i="32" a="1"/>
  <c r="D144" i="32" s="1" a="1"/>
  <c r="C143" i="32" a="1"/>
  <c r="D143" i="32" s="1" a="1"/>
  <c r="C142" i="32" a="1"/>
  <c r="D142" i="32" s="1" a="1"/>
  <c r="C141" i="32" a="1"/>
  <c r="D141" i="32" s="1" a="1"/>
  <c r="C140" i="32" a="1"/>
  <c r="D140" i="32" s="1" a="1"/>
  <c r="C139" i="32" a="1"/>
  <c r="D139" i="32" s="1" a="1"/>
  <c r="C138" i="32" a="1"/>
  <c r="D138" i="32" s="1" a="1"/>
  <c r="C137" i="32" a="1"/>
  <c r="D137" i="32" s="1" a="1"/>
  <c r="C136" i="32" a="1"/>
  <c r="D136" i="32" s="1" a="1"/>
  <c r="C135" i="32" a="1"/>
  <c r="D135" i="32" s="1" a="1"/>
  <c r="C134" i="32" a="1"/>
  <c r="D134" i="32" s="1" a="1"/>
  <c r="C133" i="32" a="1"/>
  <c r="D133" i="32" s="1" a="1"/>
  <c r="C132" i="32" a="1"/>
  <c r="D132" i="32" s="1" a="1"/>
  <c r="C131" i="32" a="1"/>
  <c r="D131" i="32" s="1" a="1"/>
  <c r="C130" i="32" a="1"/>
  <c r="D130" i="32" s="1" a="1"/>
  <c r="C129" i="32" a="1"/>
  <c r="D129" i="32" s="1" a="1"/>
  <c r="C128" i="32" a="1"/>
  <c r="D128" i="32" s="1" a="1"/>
  <c r="C127" i="32" a="1"/>
  <c r="D127" i="32" s="1" a="1"/>
  <c r="C126" i="32" a="1"/>
  <c r="C125" i="32" a="1"/>
  <c r="D125" i="32" s="1" a="1"/>
  <c r="C124" i="32" a="1"/>
  <c r="D124" i="32" s="1" a="1"/>
  <c r="C123" i="32" a="1"/>
  <c r="C122" i="32" a="1"/>
  <c r="C121" i="32" a="1"/>
  <c r="C120" i="32" a="1"/>
  <c r="C119" i="32" a="1"/>
  <c r="D119" i="32" s="1" a="1"/>
  <c r="C118" i="32" a="1"/>
  <c r="D118" i="32" s="1" a="1"/>
  <c r="C117" i="32" a="1"/>
  <c r="D117" i="32" s="1" a="1"/>
  <c r="C116" i="32" a="1"/>
  <c r="D116" i="32" s="1" a="1"/>
  <c r="C115" i="32" a="1"/>
  <c r="D115" i="32" s="1" a="1"/>
  <c r="C114" i="32" a="1"/>
  <c r="D114" i="32" s="1" a="1"/>
  <c r="C113" i="32" a="1"/>
  <c r="D113" i="32" s="1" a="1"/>
  <c r="C112" i="32" a="1"/>
  <c r="D112" i="32" s="1" a="1"/>
  <c r="C111" i="32" a="1"/>
  <c r="D111" i="32" s="1" a="1"/>
  <c r="C110" i="32" a="1"/>
  <c r="D110" i="32" s="1" a="1"/>
  <c r="C109" i="32" a="1"/>
  <c r="D109" i="32" s="1" a="1"/>
  <c r="C108" i="32" a="1"/>
  <c r="D108" i="32" s="1" a="1"/>
  <c r="C107" i="32" a="1"/>
  <c r="D107" i="32" s="1" a="1"/>
  <c r="C106" i="32" a="1"/>
  <c r="D106" i="32" s="1" a="1"/>
  <c r="C105" i="32" a="1"/>
  <c r="D105" i="32" s="1" a="1"/>
  <c r="C104" i="32" a="1"/>
  <c r="D104" i="32" s="1" a="1"/>
  <c r="C103" i="32" a="1"/>
  <c r="D103" i="32" s="1" a="1"/>
  <c r="C102" i="32" a="1"/>
  <c r="D102" i="32" s="1" a="1"/>
  <c r="C101" i="32" a="1"/>
  <c r="D101" i="32" s="1" a="1"/>
  <c r="C100" i="32" a="1"/>
  <c r="D100" i="32" s="1" a="1"/>
  <c r="C99" i="32" a="1"/>
  <c r="D99" i="32" s="1" a="1"/>
  <c r="C98" i="32" a="1"/>
  <c r="D98" i="32" s="1" a="1"/>
  <c r="C97" i="32" a="1"/>
  <c r="C96" i="32" a="1"/>
  <c r="D96" i="32" s="1" a="1"/>
  <c r="C95" i="32" a="1"/>
  <c r="D95" i="32" s="1" a="1"/>
  <c r="C94" i="32" a="1"/>
  <c r="C93" i="32" a="1"/>
  <c r="D93" i="32" s="1" a="1"/>
  <c r="C92" i="32" a="1"/>
  <c r="C91" i="32" a="1"/>
  <c r="C90" i="32" a="1"/>
  <c r="C89" i="32" a="1"/>
  <c r="D89" i="32" s="1" a="1"/>
  <c r="C88" i="32" a="1"/>
  <c r="C87" i="32" a="1"/>
  <c r="D87" i="32" s="1" a="1"/>
  <c r="C86" i="32" a="1"/>
  <c r="D86" i="32" s="1" a="1"/>
  <c r="C85" i="32" a="1"/>
  <c r="D85" i="32" s="1" a="1"/>
  <c r="C84" i="32" a="1"/>
  <c r="D84" i="32" s="1" a="1"/>
  <c r="C83" i="32" a="1"/>
  <c r="D83" i="32" s="1" a="1"/>
  <c r="C82" i="32" a="1"/>
  <c r="C81" i="32" a="1"/>
  <c r="C80" i="32" a="1"/>
  <c r="D80" i="32" s="1" a="1"/>
  <c r="C79" i="32" a="1"/>
  <c r="D79" i="32" s="1" a="1"/>
  <c r="C78" i="32" a="1"/>
  <c r="D78" i="32" s="1" a="1"/>
  <c r="C77" i="32" a="1"/>
  <c r="D77" i="32" s="1" a="1"/>
  <c r="C76" i="32" a="1"/>
  <c r="D76" i="32" s="1" a="1"/>
  <c r="C75" i="32" a="1"/>
  <c r="D75" i="32" s="1" a="1"/>
  <c r="C74" i="32" a="1"/>
  <c r="D74" i="32" s="1" a="1"/>
  <c r="C73" i="32" a="1"/>
  <c r="D73" i="32" s="1" a="1"/>
  <c r="C72" i="32" a="1"/>
  <c r="D72" i="32" s="1" a="1"/>
  <c r="C71" i="32" a="1"/>
  <c r="D71" i="32" s="1" a="1"/>
  <c r="C70" i="32" a="1"/>
  <c r="D70" i="32" s="1" a="1"/>
  <c r="C69" i="32" a="1"/>
  <c r="D69" i="32" s="1" a="1"/>
  <c r="C68" i="32" a="1"/>
  <c r="D68" i="32" s="1" a="1"/>
  <c r="C67" i="32" a="1"/>
  <c r="C66" i="32" a="1"/>
  <c r="C65" i="32" a="1"/>
  <c r="C64" i="32" a="1"/>
  <c r="C63" i="32" a="1"/>
  <c r="D63" i="32" s="1" a="1"/>
  <c r="C62" i="32" a="1"/>
  <c r="C61" i="32" a="1"/>
  <c r="C60" i="32" a="1"/>
  <c r="D60" i="32" s="1" a="1"/>
  <c r="C59" i="32" a="1"/>
  <c r="D59" i="32" s="1" a="1"/>
  <c r="C58" i="32" a="1"/>
  <c r="C57" i="32" a="1"/>
  <c r="C56" i="32" a="1"/>
  <c r="D56" i="32" s="1" a="1"/>
  <c r="C55" i="32" a="1"/>
  <c r="D55" i="32" s="1" a="1"/>
  <c r="C54" i="32" a="1"/>
  <c r="C53" i="32" a="1"/>
  <c r="C52" i="32" a="1"/>
  <c r="C51" i="32" a="1"/>
  <c r="C50" i="32" a="1"/>
  <c r="D50" i="32" s="1" a="1"/>
  <c r="C49" i="32" a="1"/>
  <c r="C48" i="32" a="1"/>
  <c r="D48" i="32" s="1" a="1"/>
  <c r="C47" i="32" a="1"/>
  <c r="D47" i="32" s="1" a="1"/>
  <c r="C46" i="32" a="1"/>
  <c r="D46" i="32" s="1" a="1"/>
  <c r="C45" i="32" a="1"/>
  <c r="R15" i="76" s="1"/>
  <c r="C44" i="32" a="1"/>
  <c r="D44" i="32" s="1" a="1"/>
  <c r="C43" i="32" a="1"/>
  <c r="C42" i="32" a="1"/>
  <c r="D42" i="32" s="1" a="1"/>
  <c r="C41" i="32" a="1"/>
  <c r="D41" i="32" s="1" a="1"/>
  <c r="C40" i="32" a="1"/>
  <c r="R32" i="76" s="1"/>
  <c r="C39" i="32" a="1"/>
  <c r="R26" i="76" s="1"/>
  <c r="C38" i="32" a="1"/>
  <c r="D38" i="32" s="1" a="1"/>
  <c r="C37" i="32" a="1"/>
  <c r="D37" i="32" s="1" a="1"/>
  <c r="C36" i="32" a="1"/>
  <c r="C35" i="32" a="1"/>
  <c r="C34" i="32" a="1"/>
  <c r="D34" i="32" s="1" a="1"/>
  <c r="C33" i="32" a="1"/>
  <c r="D33" i="32" s="1" a="1"/>
  <c r="C32" i="32" a="1"/>
  <c r="D32" i="32" s="1" a="1"/>
  <c r="C31" i="32" a="1"/>
  <c r="D31" i="32" s="1" a="1"/>
  <c r="C30" i="32" a="1"/>
  <c r="C29" i="32" a="1"/>
  <c r="C28" i="32" a="1"/>
  <c r="C27" i="32" a="1"/>
  <c r="D27" i="32" s="1" a="1"/>
  <c r="C26" i="32" a="1"/>
  <c r="C25" i="32" a="1"/>
  <c r="D25" i="32" s="1" a="1"/>
  <c r="C24" i="32" a="1"/>
  <c r="D24" i="32" s="1" a="1"/>
  <c r="C23" i="32" a="1"/>
  <c r="C22" i="32" a="1"/>
  <c r="D22" i="32" s="1" a="1"/>
  <c r="C21" i="32" a="1"/>
  <c r="C20" i="32" a="1"/>
  <c r="C19" i="32" a="1"/>
  <c r="C18" i="32" a="1"/>
  <c r="C17" i="32" a="1"/>
  <c r="C16" i="32" a="1"/>
  <c r="C15" i="32" a="1"/>
  <c r="C14" i="32" a="1"/>
  <c r="D14" i="32" s="1" a="1"/>
  <c r="C13" i="32" a="1"/>
  <c r="R22" i="76" s="1"/>
  <c r="C12" i="32" a="1"/>
  <c r="C11" i="32" a="1"/>
  <c r="R36" i="76" s="1"/>
  <c r="C10" i="32" a="1"/>
  <c r="R27" i="76" s="1"/>
  <c r="C9" i="32" a="1"/>
  <c r="C8" i="32" a="1"/>
  <c r="R37" i="76" s="1"/>
  <c r="C7" i="32" a="1"/>
  <c r="C6" i="32" a="1"/>
  <c r="C5" i="32" a="1"/>
  <c r="C4" i="32" a="1"/>
  <c r="C3" i="32" a="1"/>
  <c r="C2" i="32" a="1"/>
  <c r="D91" i="32" l="1" a="1"/>
  <c r="R35" i="76"/>
  <c r="D30" i="32" a="1"/>
  <c r="R31" i="76"/>
  <c r="R30" i="76"/>
  <c r="R23" i="76"/>
  <c r="R33" i="76"/>
  <c r="R28" i="76"/>
  <c r="R25" i="76"/>
  <c r="R24" i="76"/>
  <c r="R38" i="76"/>
  <c r="D62" i="32" a="1"/>
  <c r="D94" i="32" a="1"/>
  <c r="D6" i="32" a="1"/>
  <c r="D3" i="32" a="1"/>
  <c r="D11" i="32" a="1"/>
  <c r="D2" i="32" a="1"/>
  <c r="D10" i="32" a="1"/>
  <c r="D18" i="32" a="1"/>
  <c r="D26" i="32" a="1"/>
  <c r="D58" i="32" a="1"/>
  <c r="D122" i="32" a="1"/>
  <c r="D123" i="32" a="1"/>
  <c r="D52" i="32" a="1"/>
  <c r="D92" i="32" a="1"/>
  <c r="D51" i="32" a="1"/>
  <c r="D4" i="32" a="1"/>
  <c r="D12" i="32" a="1"/>
  <c r="D20" i="32" a="1"/>
  <c r="D5" i="32" a="1"/>
  <c r="D13" i="32" a="1"/>
  <c r="D45" i="32" a="1"/>
  <c r="D61" i="32" a="1"/>
  <c r="D36" i="32" a="1"/>
  <c r="D82" i="32" a="1"/>
  <c r="D126" i="32" a="1"/>
  <c r="D66" i="32" a="1"/>
  <c r="D162" i="32" a="1"/>
  <c r="D90" i="32" a="1"/>
  <c r="D28" i="32" a="1"/>
  <c r="D54" i="32" a="1"/>
  <c r="D19" i="32" a="1"/>
  <c r="D35" i="32" a="1"/>
  <c r="D43" i="32" a="1"/>
  <c r="D67" i="32" a="1"/>
  <c r="D180" i="32" a="1"/>
  <c r="D21" i="32" a="1"/>
  <c r="D29" i="32" a="1"/>
  <c r="D53" i="32" a="1"/>
  <c r="D7" i="32" a="1"/>
  <c r="D15" i="32" a="1"/>
  <c r="D23" i="32" a="1"/>
  <c r="D39" i="32" a="1"/>
  <c r="D183" i="32" a="1"/>
  <c r="D8" i="32" a="1"/>
  <c r="D16" i="32" a="1"/>
  <c r="D40" i="32" a="1"/>
  <c r="D64" i="32" a="1"/>
  <c r="D88" i="32" a="1"/>
  <c r="D120" i="32" a="1"/>
  <c r="D9" i="32" a="1"/>
  <c r="D17" i="32" a="1"/>
  <c r="D49" i="32" a="1"/>
  <c r="D57" i="32" a="1"/>
  <c r="D65" i="32" a="1"/>
  <c r="D81" i="32" a="1"/>
  <c r="D97" i="32" a="1"/>
  <c r="D121" i="3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<sst xmlns="http://schemas.openxmlformats.org/spreadsheetml/2006/main" count="29681" uniqueCount="4826">
  <si>
    <t>callsign</t>
  </si>
  <si>
    <t>adep</t>
  </si>
  <si>
    <t>ades</t>
  </si>
  <si>
    <t>aircraft_type</t>
  </si>
  <si>
    <t>aircraft_registration</t>
  </si>
  <si>
    <t>atd</t>
  </si>
  <si>
    <t>dep_runway</t>
  </si>
  <si>
    <t>route</t>
  </si>
  <si>
    <t>rfl</t>
  </si>
  <si>
    <t>flight_rule</t>
  </si>
  <si>
    <t>flight_type</t>
  </si>
  <si>
    <t>distance_flown_in_fir</t>
  </si>
  <si>
    <t>exit_point</t>
  </si>
  <si>
    <t>exit_hour</t>
  </si>
  <si>
    <t>exit_level</t>
  </si>
  <si>
    <t>wtc</t>
  </si>
  <si>
    <t>nfl</t>
  </si>
  <si>
    <t>VOI1051</t>
  </si>
  <si>
    <t>MMUN</t>
  </si>
  <si>
    <t>MMGL</t>
  </si>
  <si>
    <t>A21N</t>
  </si>
  <si>
    <t>12R</t>
  </si>
  <si>
    <t>I</t>
  </si>
  <si>
    <t>S</t>
  </si>
  <si>
    <t>NUBIT</t>
  </si>
  <si>
    <t>M</t>
  </si>
  <si>
    <t>WJA2777</t>
  </si>
  <si>
    <t>CYYZ</t>
  </si>
  <si>
    <t>B38M</t>
  </si>
  <si>
    <t>CGAMQ</t>
  </si>
  <si>
    <t>MYDIA</t>
  </si>
  <si>
    <t>VOI5589</t>
  </si>
  <si>
    <t>MMMY</t>
  </si>
  <si>
    <t>A320</t>
  </si>
  <si>
    <t>UDGUV2A UDGUV UT78 DURPI DCT NOTEN UT37 SESNO UJ15E RETOS RETOS1A</t>
  </si>
  <si>
    <t>NOTEN</t>
  </si>
  <si>
    <t>WFL2502</t>
  </si>
  <si>
    <t>LEMD</t>
  </si>
  <si>
    <t>A359</t>
  </si>
  <si>
    <t>NUDAL</t>
  </si>
  <si>
    <t>H</t>
  </si>
  <si>
    <t>AMX555</t>
  </si>
  <si>
    <t>MMMX</t>
  </si>
  <si>
    <t>B39M</t>
  </si>
  <si>
    <t>XAMIJ</t>
  </si>
  <si>
    <t>UBVOV</t>
  </si>
  <si>
    <t>BAW2202</t>
  </si>
  <si>
    <t>EGKK</t>
  </si>
  <si>
    <t>B772</t>
  </si>
  <si>
    <t>MMTO</t>
  </si>
  <si>
    <t>G</t>
  </si>
  <si>
    <t>VOC4071</t>
  </si>
  <si>
    <t>MROC</t>
  </si>
  <si>
    <t>A20N</t>
  </si>
  <si>
    <t>N547VL</t>
  </si>
  <si>
    <t>ANIKO</t>
  </si>
  <si>
    <t>VIV1373</t>
  </si>
  <si>
    <t>XAVXD</t>
  </si>
  <si>
    <t>UDGUV2A UDGUV UT78 MEDOS UT20 UBVOV UT101 ENAGA ENAGA3A</t>
  </si>
  <si>
    <t>ROU1813</t>
  </si>
  <si>
    <t>A321</t>
  </si>
  <si>
    <t>VTM9901</t>
  </si>
  <si>
    <t>MMQT</t>
  </si>
  <si>
    <t>B734</t>
  </si>
  <si>
    <t>ESF610</t>
  </si>
  <si>
    <t>MMMD</t>
  </si>
  <si>
    <t>XASLG</t>
  </si>
  <si>
    <t>EVE814</t>
  </si>
  <si>
    <t>2135N08548W</t>
  </si>
  <si>
    <t>VIV1017</t>
  </si>
  <si>
    <t>XAVMF</t>
  </si>
  <si>
    <t>UDGUV2A UDGUV UT78 MEDOS DCT UBVOV DCT UMAVO UT101 ENAGA ENAGA3A</t>
  </si>
  <si>
    <t>VTM2202</t>
  </si>
  <si>
    <t>MMVA</t>
  </si>
  <si>
    <t>XAVHS</t>
  </si>
  <si>
    <t>VIV2140</t>
  </si>
  <si>
    <t>XAVXU</t>
  </si>
  <si>
    <t>2148N09459W</t>
  </si>
  <si>
    <t>VOI105</t>
  </si>
  <si>
    <t>XAVLT</t>
  </si>
  <si>
    <t>XATVM</t>
  </si>
  <si>
    <t>VIV2022</t>
  </si>
  <si>
    <t>XAVAM</t>
  </si>
  <si>
    <t>AVIVI</t>
  </si>
  <si>
    <t>EDDF</t>
  </si>
  <si>
    <t>A339</t>
  </si>
  <si>
    <t>VIV1021</t>
  </si>
  <si>
    <t>LEBL</t>
  </si>
  <si>
    <t>VIV2180</t>
  </si>
  <si>
    <t>XAVAK</t>
  </si>
  <si>
    <t>VOI111</t>
  </si>
  <si>
    <t>N518VL</t>
  </si>
  <si>
    <t>VIV2102</t>
  </si>
  <si>
    <t>MMVR</t>
  </si>
  <si>
    <t>OMPAN</t>
  </si>
  <si>
    <t>VIV2272</t>
  </si>
  <si>
    <t>MMSM</t>
  </si>
  <si>
    <t>XAVIB</t>
  </si>
  <si>
    <t>AMX501</t>
  </si>
  <si>
    <t>UDGUV2A UDGUV UT78 MEDOS UT20 UBVOV UT101 UMAVO/N0457F300 UT101 ENAGA ENAGA3A</t>
  </si>
  <si>
    <t>VIV1379</t>
  </si>
  <si>
    <t>VIV312</t>
  </si>
  <si>
    <t>MUHA</t>
  </si>
  <si>
    <t>XAVMG</t>
  </si>
  <si>
    <t>NUDAL1A NUDAL UR506 KALNO VETSI2A</t>
  </si>
  <si>
    <t>VIV2196</t>
  </si>
  <si>
    <t>XAVMH</t>
  </si>
  <si>
    <t>AMX505</t>
  </si>
  <si>
    <t>CMP104</t>
  </si>
  <si>
    <t>MPTO</t>
  </si>
  <si>
    <t>B737</t>
  </si>
  <si>
    <t>TAKUX</t>
  </si>
  <si>
    <t>VIV2002</t>
  </si>
  <si>
    <t>MMTC</t>
  </si>
  <si>
    <t>XAVBI</t>
  </si>
  <si>
    <t>UAL1059</t>
  </si>
  <si>
    <t>KIAH</t>
  </si>
  <si>
    <t>B739</t>
  </si>
  <si>
    <t>DUTNA</t>
  </si>
  <si>
    <t>AMX511</t>
  </si>
  <si>
    <t>N891AM</t>
  </si>
  <si>
    <t>KDFW</t>
  </si>
  <si>
    <t>B738</t>
  </si>
  <si>
    <t>KEHLI</t>
  </si>
  <si>
    <t>H25B</t>
  </si>
  <si>
    <t>DAL609</t>
  </si>
  <si>
    <t>KATL</t>
  </si>
  <si>
    <t>UAL1988</t>
  </si>
  <si>
    <t>KEWR</t>
  </si>
  <si>
    <t>L</t>
  </si>
  <si>
    <t>V</t>
  </si>
  <si>
    <t>AMX515</t>
  </si>
  <si>
    <t>XAIMH</t>
  </si>
  <si>
    <t>CYUL</t>
  </si>
  <si>
    <t>A319</t>
  </si>
  <si>
    <t>VOI5585</t>
  </si>
  <si>
    <t>ESF615</t>
  </si>
  <si>
    <t>KMIA</t>
  </si>
  <si>
    <t>NUDAL1A NUDAL UV106 PODON UG765 EMOVI UG765 MAXIM SNDBR3</t>
  </si>
  <si>
    <t>VIV7032</t>
  </si>
  <si>
    <t>XAVAQ</t>
  </si>
  <si>
    <t>N</t>
  </si>
  <si>
    <t>VIV1029</t>
  </si>
  <si>
    <t>VIV2164</t>
  </si>
  <si>
    <t>XAVBU</t>
  </si>
  <si>
    <t>VOI1049</t>
  </si>
  <si>
    <t>VIV2278</t>
  </si>
  <si>
    <t>XAVAN</t>
  </si>
  <si>
    <t>VOI101</t>
  </si>
  <si>
    <t>XAVUT</t>
  </si>
  <si>
    <t>VIV2176</t>
  </si>
  <si>
    <t>AMX591</t>
  </si>
  <si>
    <t>VIV8005</t>
  </si>
  <si>
    <t>MMCS</t>
  </si>
  <si>
    <t>MMCZ</t>
  </si>
  <si>
    <t>DCT</t>
  </si>
  <si>
    <t>CMP262</t>
  </si>
  <si>
    <t>HP9809</t>
  </si>
  <si>
    <t>KJFK</t>
  </si>
  <si>
    <t>VOI3930</t>
  </si>
  <si>
    <t>MGGT</t>
  </si>
  <si>
    <t>TSC327</t>
  </si>
  <si>
    <t>CGTCY</t>
  </si>
  <si>
    <t>UAL1694</t>
  </si>
  <si>
    <t>KIAD</t>
  </si>
  <si>
    <t>VIV2152</t>
  </si>
  <si>
    <t>MMTM</t>
  </si>
  <si>
    <t>LIDAM</t>
  </si>
  <si>
    <t>VIV2284</t>
  </si>
  <si>
    <t>XAVXZ</t>
  </si>
  <si>
    <t>UDGUV2A UDGUV UT78 MEDOS DCT UBVOV UT20 TAJIN DCT VITOS VITOS2A</t>
  </si>
  <si>
    <t>XAVGV</t>
  </si>
  <si>
    <t>C206</t>
  </si>
  <si>
    <t>XBGPE</t>
  </si>
  <si>
    <t>C150</t>
  </si>
  <si>
    <t>VOI3938</t>
  </si>
  <si>
    <t>VIV2142</t>
  </si>
  <si>
    <t>CMP317</t>
  </si>
  <si>
    <t>VIV2254</t>
  </si>
  <si>
    <t>MMTG</t>
  </si>
  <si>
    <t>TSC539</t>
  </si>
  <si>
    <t>AMX523</t>
  </si>
  <si>
    <t>N837AM</t>
  </si>
  <si>
    <t>AAL2792</t>
  </si>
  <si>
    <t>KCLT</t>
  </si>
  <si>
    <t>N189UW</t>
  </si>
  <si>
    <t>AAL1068</t>
  </si>
  <si>
    <t>UAL1196</t>
  </si>
  <si>
    <t>KORD</t>
  </si>
  <si>
    <t>IRDOV</t>
  </si>
  <si>
    <t>KFLL</t>
  </si>
  <si>
    <t>NUDAL1A NUDAL UV106 PODON UG765 MAXIM BHHIA3</t>
  </si>
  <si>
    <t>AAL2175</t>
  </si>
  <si>
    <t>KPHL</t>
  </si>
  <si>
    <t>DWI7007</t>
  </si>
  <si>
    <t>MDPC</t>
  </si>
  <si>
    <t>HI1134</t>
  </si>
  <si>
    <t>MMAN</t>
  </si>
  <si>
    <t>E55P</t>
  </si>
  <si>
    <t>SWA219</t>
  </si>
  <si>
    <t>KMDW</t>
  </si>
  <si>
    <t>N7747C</t>
  </si>
  <si>
    <t>VIV2168</t>
  </si>
  <si>
    <t>AVA257</t>
  </si>
  <si>
    <t>SKBO</t>
  </si>
  <si>
    <t>VIV2026</t>
  </si>
  <si>
    <t>MMPB</t>
  </si>
  <si>
    <t>XAVIH</t>
  </si>
  <si>
    <t>SWA328</t>
  </si>
  <si>
    <t>KHOU</t>
  </si>
  <si>
    <t>IPSEV</t>
  </si>
  <si>
    <t>AVA269</t>
  </si>
  <si>
    <t>SKRG</t>
  </si>
  <si>
    <t>VOI1055</t>
  </si>
  <si>
    <t>DAL618</t>
  </si>
  <si>
    <t>KDTW</t>
  </si>
  <si>
    <t>VIV2198</t>
  </si>
  <si>
    <t>DAL620</t>
  </si>
  <si>
    <t>UAL1948</t>
  </si>
  <si>
    <t>KSFO</t>
  </si>
  <si>
    <t>LJ60</t>
  </si>
  <si>
    <t>AMX527</t>
  </si>
  <si>
    <t>SWA1608</t>
  </si>
  <si>
    <t>KBWI</t>
  </si>
  <si>
    <t>N907WN</t>
  </si>
  <si>
    <t>POE766</t>
  </si>
  <si>
    <t>E295</t>
  </si>
  <si>
    <t>ROU1883</t>
  </si>
  <si>
    <t>WJA2129</t>
  </si>
  <si>
    <t>TOS6611</t>
  </si>
  <si>
    <t>MZBZ</t>
  </si>
  <si>
    <t>C208</t>
  </si>
  <si>
    <t>SWA587</t>
  </si>
  <si>
    <t>KAUS</t>
  </si>
  <si>
    <t>N7745A</t>
  </si>
  <si>
    <t>VIV2062</t>
  </si>
  <si>
    <t>XAVYA</t>
  </si>
  <si>
    <t>UAL1051</t>
  </si>
  <si>
    <t>VIV2184</t>
  </si>
  <si>
    <t>MMCU</t>
  </si>
  <si>
    <t>UAL1056</t>
  </si>
  <si>
    <t>AAL2219</t>
  </si>
  <si>
    <t>LTFM</t>
  </si>
  <si>
    <t>B789</t>
  </si>
  <si>
    <t>DAL641</t>
  </si>
  <si>
    <t>CMP326</t>
  </si>
  <si>
    <t>SWA306</t>
  </si>
  <si>
    <t>AAL2665</t>
  </si>
  <si>
    <t>DAL1911</t>
  </si>
  <si>
    <t>N841DN</t>
  </si>
  <si>
    <t>PISAD</t>
  </si>
  <si>
    <t>DAL597</t>
  </si>
  <si>
    <t>N316DN</t>
  </si>
  <si>
    <t>VOI3081</t>
  </si>
  <si>
    <t>MMTJ</t>
  </si>
  <si>
    <t>XAVUJ</t>
  </si>
  <si>
    <t>UAL1275</t>
  </si>
  <si>
    <t>KLAX</t>
  </si>
  <si>
    <t>N66808</t>
  </si>
  <si>
    <t>VOI5587</t>
  </si>
  <si>
    <t>XAVLM</t>
  </si>
  <si>
    <t>JBU1852</t>
  </si>
  <si>
    <t>JBU1014</t>
  </si>
  <si>
    <t>KMCO</t>
  </si>
  <si>
    <t>VIV2044</t>
  </si>
  <si>
    <t>MMLO</t>
  </si>
  <si>
    <t>AAL792</t>
  </si>
  <si>
    <t>N959XV</t>
  </si>
  <si>
    <t>AMX535</t>
  </si>
  <si>
    <t>N469AM</t>
  </si>
  <si>
    <t>VIV2104</t>
  </si>
  <si>
    <t>UAL1123</t>
  </si>
  <si>
    <t>VIV1023</t>
  </si>
  <si>
    <t>1947N09459W</t>
  </si>
  <si>
    <t>VOI3532</t>
  </si>
  <si>
    <t>N514VL</t>
  </si>
  <si>
    <t>UDGUV2A UDGUV UT78 DURPI DCT UBVOV UT101 UMAVO UT169 VITOS VITOS2A</t>
  </si>
  <si>
    <t>CCDBL</t>
  </si>
  <si>
    <t>VOI3502</t>
  </si>
  <si>
    <t>XAVUU</t>
  </si>
  <si>
    <t>VOI3482</t>
  </si>
  <si>
    <t>XAVVB</t>
  </si>
  <si>
    <t>VOI103</t>
  </si>
  <si>
    <t>DAL1962</t>
  </si>
  <si>
    <t>AAL1102</t>
  </si>
  <si>
    <t>LRC651</t>
  </si>
  <si>
    <t>MSLP</t>
  </si>
  <si>
    <t>N779AV</t>
  </si>
  <si>
    <t>GTUIO</t>
  </si>
  <si>
    <t>LPE2459</t>
  </si>
  <si>
    <t>SPJC</t>
  </si>
  <si>
    <t>SWA308</t>
  </si>
  <si>
    <t>UAL1136</t>
  </si>
  <si>
    <t>KDEN</t>
  </si>
  <si>
    <t>UAL1053</t>
  </si>
  <si>
    <t>N77592</t>
  </si>
  <si>
    <t>AAL2652</t>
  </si>
  <si>
    <t>EGCC</t>
  </si>
  <si>
    <t>GTUIL</t>
  </si>
  <si>
    <t>DAL647</t>
  </si>
  <si>
    <t>KSLC</t>
  </si>
  <si>
    <t>VIV7408</t>
  </si>
  <si>
    <t>WJA2201</t>
  </si>
  <si>
    <t>CYYC</t>
  </si>
  <si>
    <t>JBU772</t>
  </si>
  <si>
    <t>KBOS</t>
  </si>
  <si>
    <t>BCS3</t>
  </si>
  <si>
    <t>JBU1496</t>
  </si>
  <si>
    <t>AAL1723</t>
  </si>
  <si>
    <t>VOI1047</t>
  </si>
  <si>
    <t>XAVLN</t>
  </si>
  <si>
    <t>CMP347</t>
  </si>
  <si>
    <t>AVA069</t>
  </si>
  <si>
    <t>VIV2124</t>
  </si>
  <si>
    <t>VOI3576</t>
  </si>
  <si>
    <t>VIV7443</t>
  </si>
  <si>
    <t>XAVXA</t>
  </si>
  <si>
    <t>VIV2236</t>
  </si>
  <si>
    <t>UAL1058</t>
  </si>
  <si>
    <t>VOI3588</t>
  </si>
  <si>
    <t>MMSP</t>
  </si>
  <si>
    <t>VOI3628</t>
  </si>
  <si>
    <t>MMMM</t>
  </si>
  <si>
    <t>VIV2172</t>
  </si>
  <si>
    <t>VOI3552</t>
  </si>
  <si>
    <t>XAVRO</t>
  </si>
  <si>
    <t>UDGUV2A UDGUV UT78 DURPI DCT UBVOV UT101 ENAGA DCT OTAGO DCT ATUKA ATUKA1B</t>
  </si>
  <si>
    <t>CFG115</t>
  </si>
  <si>
    <t>AMX547</t>
  </si>
  <si>
    <t>XAMJJ</t>
  </si>
  <si>
    <t>VOI3518</t>
  </si>
  <si>
    <t>XAVRT</t>
  </si>
  <si>
    <t>DAL614</t>
  </si>
  <si>
    <t>AVA265</t>
  </si>
  <si>
    <t>AMX551</t>
  </si>
  <si>
    <t>N958AM</t>
  </si>
  <si>
    <t>LPE2457</t>
  </si>
  <si>
    <t>FLE2613</t>
  </si>
  <si>
    <t>S12R T12R6 UN418 UN409 UN419 UN432 NOTEN UT37 SESNO UJ15E RETOS RETOS1A</t>
  </si>
  <si>
    <t>EHAM</t>
  </si>
  <si>
    <t>B788</t>
  </si>
  <si>
    <t>LPPT</t>
  </si>
  <si>
    <t>CSTCF</t>
  </si>
  <si>
    <t>UDGUV2A UDGUV UT78 MEDOS UT20 UBVOV UT101 UMAVO/N0458F300 UT101 ENAGA ENAGA3A</t>
  </si>
  <si>
    <t>B733</t>
  </si>
  <si>
    <t>XAVFI</t>
  </si>
  <si>
    <t>AEA064</t>
  </si>
  <si>
    <t>CGHPJ</t>
  </si>
  <si>
    <t>VIV436</t>
  </si>
  <si>
    <t>2036N09459W</t>
  </si>
  <si>
    <t>2029N09459W</t>
  </si>
  <si>
    <t>2042N09459W</t>
  </si>
  <si>
    <t>UDGUV2A UDGUV DCT MID DCT NOTEN UT37 SESNO UJ15E RETOS RETOS1A</t>
  </si>
  <si>
    <t>KOPF</t>
  </si>
  <si>
    <t>LJ35</t>
  </si>
  <si>
    <t>LENUK</t>
  </si>
  <si>
    <t>KFXE</t>
  </si>
  <si>
    <t>XAVSI</t>
  </si>
  <si>
    <t>JBU1366</t>
  </si>
  <si>
    <t>KTPA</t>
  </si>
  <si>
    <t>XAVAJ</t>
  </si>
  <si>
    <t>N377AR</t>
  </si>
  <si>
    <t>WJA2775</t>
  </si>
  <si>
    <t>XAVMB</t>
  </si>
  <si>
    <t>ROU1811</t>
  </si>
  <si>
    <t>VIV7040</t>
  </si>
  <si>
    <t>S12R T12R6 UN418 UN409 UN419 UN432 UBVOV UT20 TAJIN DCT VITOS VITOS2A</t>
  </si>
  <si>
    <t>N77558</t>
  </si>
  <si>
    <t>XAVAX</t>
  </si>
  <si>
    <t>2353N08601W</t>
  </si>
  <si>
    <t>N621TX</t>
  </si>
  <si>
    <t>XCET</t>
  </si>
  <si>
    <t>KODI</t>
  </si>
  <si>
    <t>VIV7405</t>
  </si>
  <si>
    <t>XAVBM</t>
  </si>
  <si>
    <t>UDGUV2A UDGUV OMPAN OMPAN1A</t>
  </si>
  <si>
    <t>XAVSG</t>
  </si>
  <si>
    <t>N148AN</t>
  </si>
  <si>
    <t>VOI3514</t>
  </si>
  <si>
    <t>2132N08547W</t>
  </si>
  <si>
    <t>WJA2963</t>
  </si>
  <si>
    <t>N7746C</t>
  </si>
  <si>
    <t>XAAMF</t>
  </si>
  <si>
    <t>XAVBV</t>
  </si>
  <si>
    <t>VIV7314</t>
  </si>
  <si>
    <t>2127N08544W</t>
  </si>
  <si>
    <t>NUDAL1A NUDAL UV106 PODON UG765 MAXIM SNDBR3</t>
  </si>
  <si>
    <t>DAL1878</t>
  </si>
  <si>
    <t>KMSP</t>
  </si>
  <si>
    <t>THY184</t>
  </si>
  <si>
    <t>N7751A</t>
  </si>
  <si>
    <t>N37465</t>
  </si>
  <si>
    <t>XATVE</t>
  </si>
  <si>
    <t>XAVIQ</t>
  </si>
  <si>
    <t>PC12</t>
  </si>
  <si>
    <t>N618JB</t>
  </si>
  <si>
    <t>SAEZ</t>
  </si>
  <si>
    <t>A332</t>
  </si>
  <si>
    <t>N952XV</t>
  </si>
  <si>
    <t>VOI3622</t>
  </si>
  <si>
    <t>MMAS</t>
  </si>
  <si>
    <t>XAVRY</t>
  </si>
  <si>
    <t>CCBAK</t>
  </si>
  <si>
    <t>EGPF</t>
  </si>
  <si>
    <t>GTUIE</t>
  </si>
  <si>
    <t>DWI7003</t>
  </si>
  <si>
    <t>EGBB</t>
  </si>
  <si>
    <t>N874NN</t>
  </si>
  <si>
    <t>2123N08542W</t>
  </si>
  <si>
    <t>VOI3085</t>
  </si>
  <si>
    <t>XAVSD</t>
  </si>
  <si>
    <t>XAMAZ</t>
  </si>
  <si>
    <t>CFG117</t>
  </si>
  <si>
    <t>N529VL</t>
  </si>
  <si>
    <t>2142N09459W</t>
  </si>
  <si>
    <t>HK5366</t>
  </si>
  <si>
    <t>GYMME</t>
  </si>
  <si>
    <t>2035N09459W</t>
  </si>
  <si>
    <t>LJ55</t>
  </si>
  <si>
    <t>XAVST</t>
  </si>
  <si>
    <t>ELURA</t>
  </si>
  <si>
    <t>2027N09459W</t>
  </si>
  <si>
    <t>2429N08759W</t>
  </si>
  <si>
    <t>XAUSL</t>
  </si>
  <si>
    <t>C182</t>
  </si>
  <si>
    <t>VOI3480</t>
  </si>
  <si>
    <t>N515VL</t>
  </si>
  <si>
    <t>CL60</t>
  </si>
  <si>
    <t>N17595</t>
  </si>
  <si>
    <t>AAL1971</t>
  </si>
  <si>
    <t>VOI3500</t>
  </si>
  <si>
    <t>XAVUI</t>
  </si>
  <si>
    <t>AAL2588</t>
  </si>
  <si>
    <t>XAVUY</t>
  </si>
  <si>
    <t>N521VL</t>
  </si>
  <si>
    <t>VIV2034</t>
  </si>
  <si>
    <t>MMIO</t>
  </si>
  <si>
    <t>VOI3598</t>
  </si>
  <si>
    <t>MMOX</t>
  </si>
  <si>
    <t>OMATO</t>
  </si>
  <si>
    <t>N37562</t>
  </si>
  <si>
    <t>MMCM</t>
  </si>
  <si>
    <t>S12R SR00 SR01 SR02 ROTGI UM219 MYDIA M219 KNOST Q109 DFENC DCT SAWED Q108 SIE CAMRN5</t>
  </si>
  <si>
    <t>SWA1996</t>
  </si>
  <si>
    <t>KSTL</t>
  </si>
  <si>
    <t>SWA1025</t>
  </si>
  <si>
    <t>NUDAL1A NUDAL UV106 PODON UG765 MAXIM Y262 LINEY DCT KUTNE MUNGI1</t>
  </si>
  <si>
    <t>CFYXC</t>
  </si>
  <si>
    <t>KBCT</t>
  </si>
  <si>
    <t>VIV7066</t>
  </si>
  <si>
    <t>N959AM</t>
  </si>
  <si>
    <t>GLF4</t>
  </si>
  <si>
    <t>WJA2301</t>
  </si>
  <si>
    <t>CYEG</t>
  </si>
  <si>
    <t>THY181</t>
  </si>
  <si>
    <t>X</t>
  </si>
  <si>
    <t>XAVDP</t>
  </si>
  <si>
    <t>N990GG</t>
  </si>
  <si>
    <t>PA34</t>
  </si>
  <si>
    <t>NUDAL1A NUDAL UV106 PODON UG765 MAXIM Y262 TUNSL DCT KUTNE MUNGI1</t>
  </si>
  <si>
    <t>FFT152</t>
  </si>
  <si>
    <t>SWA1610</t>
  </si>
  <si>
    <t>VIV2170</t>
  </si>
  <si>
    <t>CCDBP</t>
  </si>
  <si>
    <t>N17589</t>
  </si>
  <si>
    <t>N686TA</t>
  </si>
  <si>
    <t>N77543</t>
  </si>
  <si>
    <t>AAL1192</t>
  </si>
  <si>
    <t>2400N08602W</t>
  </si>
  <si>
    <t>AMX537</t>
  </si>
  <si>
    <t>XABBB</t>
  </si>
  <si>
    <t>VIV2134</t>
  </si>
  <si>
    <t>XAVYE</t>
  </si>
  <si>
    <t>2144N09459W</t>
  </si>
  <si>
    <t>N17403</t>
  </si>
  <si>
    <t>SWA1018</t>
  </si>
  <si>
    <t>UAL1667</t>
  </si>
  <si>
    <t>AAL186</t>
  </si>
  <si>
    <t>KPHX</t>
  </si>
  <si>
    <t>N854DN</t>
  </si>
  <si>
    <t>UAL1133</t>
  </si>
  <si>
    <t>N47524</t>
  </si>
  <si>
    <t>CFMXG</t>
  </si>
  <si>
    <t>TOM143</t>
  </si>
  <si>
    <t>XAVXS</t>
  </si>
  <si>
    <t>2033N09459W</t>
  </si>
  <si>
    <t>2001N08600W</t>
  </si>
  <si>
    <t>N8755L</t>
  </si>
  <si>
    <t>WJA2053</t>
  </si>
  <si>
    <t>CYVR</t>
  </si>
  <si>
    <t>N37534</t>
  </si>
  <si>
    <t>N526VL</t>
  </si>
  <si>
    <t>C68A</t>
  </si>
  <si>
    <t>XAMLE</t>
  </si>
  <si>
    <t>XAVDJ</t>
  </si>
  <si>
    <t>N4142R</t>
  </si>
  <si>
    <t>N804AM</t>
  </si>
  <si>
    <t>TOM093</t>
  </si>
  <si>
    <t>GTUIJ</t>
  </si>
  <si>
    <t>VIV2106</t>
  </si>
  <si>
    <t>VIV2086</t>
  </si>
  <si>
    <t>MMRX</t>
  </si>
  <si>
    <t>XASRK</t>
  </si>
  <si>
    <t>ROU2129</t>
  </si>
  <si>
    <t>VIV2288</t>
  </si>
  <si>
    <t>2150N09459W</t>
  </si>
  <si>
    <t>NOS431</t>
  </si>
  <si>
    <t>LIRF</t>
  </si>
  <si>
    <t>S12R T12R6 UN418 UN409 UN419 UN432 OMPAN OMPAN1A</t>
  </si>
  <si>
    <t>XAGQS</t>
  </si>
  <si>
    <t>XPTU</t>
  </si>
  <si>
    <t>ARG1370</t>
  </si>
  <si>
    <t>LVKHT</t>
  </si>
  <si>
    <t>VIV2024</t>
  </si>
  <si>
    <t>KORL</t>
  </si>
  <si>
    <t>N569AM</t>
  </si>
  <si>
    <t>XAVSN</t>
  </si>
  <si>
    <t>N875AM</t>
  </si>
  <si>
    <t>UDGUV2A UDGUV UT78 DURPI DCT UBVOV UT20 PAZ UT104 LENUL LENUL2B</t>
  </si>
  <si>
    <t>XATVB</t>
  </si>
  <si>
    <t>LJ75</t>
  </si>
  <si>
    <t>XAVUN</t>
  </si>
  <si>
    <t>XAVUV</t>
  </si>
  <si>
    <t>CMP123</t>
  </si>
  <si>
    <t>VIV7412</t>
  </si>
  <si>
    <t>VOI5102</t>
  </si>
  <si>
    <t>UDGUV2A UDGUV UT78 DURPI DCT UBVOV UT101 UMAVO UT104 LENUL DCT TLC UJ12 MLM</t>
  </si>
  <si>
    <t>XASGP</t>
  </si>
  <si>
    <t>2400N08603W</t>
  </si>
  <si>
    <t>XAVBN</t>
  </si>
  <si>
    <t>N8767M</t>
  </si>
  <si>
    <t>N134AN</t>
  </si>
  <si>
    <t>XAVDG</t>
  </si>
  <si>
    <t>N8324A</t>
  </si>
  <si>
    <t>TCLLT</t>
  </si>
  <si>
    <t>N545VL</t>
  </si>
  <si>
    <t>KBRO</t>
  </si>
  <si>
    <t>MSSS</t>
  </si>
  <si>
    <t>ANEPU</t>
  </si>
  <si>
    <t>N520VL</t>
  </si>
  <si>
    <t>2034N09459W</t>
  </si>
  <si>
    <t>C650</t>
  </si>
  <si>
    <t>VIV2194</t>
  </si>
  <si>
    <t>XAVBJ</t>
  </si>
  <si>
    <t>N27503</t>
  </si>
  <si>
    <t>TOM525</t>
  </si>
  <si>
    <t>EGNT</t>
  </si>
  <si>
    <t>1959N08601W</t>
  </si>
  <si>
    <t>N77585</t>
  </si>
  <si>
    <t>N37547</t>
  </si>
  <si>
    <t>XAVLD</t>
  </si>
  <si>
    <t>XAVLL</t>
  </si>
  <si>
    <t>CCBFW</t>
  </si>
  <si>
    <t>XAAMC</t>
  </si>
  <si>
    <t>XAVVD</t>
  </si>
  <si>
    <t>WJA2135</t>
  </si>
  <si>
    <t>CGWJQ</t>
  </si>
  <si>
    <t>N974AM</t>
  </si>
  <si>
    <t>N524VL</t>
  </si>
  <si>
    <t>CYOW</t>
  </si>
  <si>
    <t>2139N08550W</t>
  </si>
  <si>
    <t>2025N09459W</t>
  </si>
  <si>
    <t>XAVXO</t>
  </si>
  <si>
    <t>KPVD</t>
  </si>
  <si>
    <t>2343N08601W</t>
  </si>
  <si>
    <t>XAMKJ</t>
  </si>
  <si>
    <t>N555LV</t>
  </si>
  <si>
    <t>CFJQH</t>
  </si>
  <si>
    <t>2352N08601W</t>
  </si>
  <si>
    <t>DAL1963</t>
  </si>
  <si>
    <t>N833DN</t>
  </si>
  <si>
    <t>N995NN</t>
  </si>
  <si>
    <t>N165NN</t>
  </si>
  <si>
    <t>XAVAU</t>
  </si>
  <si>
    <t>XAVDU</t>
  </si>
  <si>
    <t>XAVIE</t>
  </si>
  <si>
    <t>HP1721</t>
  </si>
  <si>
    <t>N564JB</t>
  </si>
  <si>
    <t>2407N08631W</t>
  </si>
  <si>
    <t>N118NN</t>
  </si>
  <si>
    <t>N323DN</t>
  </si>
  <si>
    <t>HK5389</t>
  </si>
  <si>
    <t>UAL1037</t>
  </si>
  <si>
    <t>KCLE</t>
  </si>
  <si>
    <t>N68836</t>
  </si>
  <si>
    <t>2407N08632W</t>
  </si>
  <si>
    <t>E545</t>
  </si>
  <si>
    <t>N589DT</t>
  </si>
  <si>
    <t>2130N08546W</t>
  </si>
  <si>
    <t>2428N08757W</t>
  </si>
  <si>
    <t>N8317M</t>
  </si>
  <si>
    <t>V3HII</t>
  </si>
  <si>
    <t>KBNA</t>
  </si>
  <si>
    <t>N975JT</t>
  </si>
  <si>
    <t>TCLMB</t>
  </si>
  <si>
    <t>WJA2537</t>
  </si>
  <si>
    <t>CYWG</t>
  </si>
  <si>
    <t>SWA750</t>
  </si>
  <si>
    <t>KMCI</t>
  </si>
  <si>
    <t>2048N09459W</t>
  </si>
  <si>
    <t>UAL1132</t>
  </si>
  <si>
    <t>N37561</t>
  </si>
  <si>
    <t>N8707P</t>
  </si>
  <si>
    <t>XAVSH</t>
  </si>
  <si>
    <t>TOM621</t>
  </si>
  <si>
    <t>VIV342</t>
  </si>
  <si>
    <t>KCVG</t>
  </si>
  <si>
    <t>N77544</t>
  </si>
  <si>
    <t>N8725L</t>
  </si>
  <si>
    <t>2405N08623W</t>
  </si>
  <si>
    <t>N541VL</t>
  </si>
  <si>
    <t>TOM155</t>
  </si>
  <si>
    <t>2125N08543W</t>
  </si>
  <si>
    <t>N150NN</t>
  </si>
  <si>
    <t>2327N09424W</t>
  </si>
  <si>
    <t>WJA2205</t>
  </si>
  <si>
    <t>LFPO</t>
  </si>
  <si>
    <t>EDW25</t>
  </si>
  <si>
    <t>LSZH</t>
  </si>
  <si>
    <t>GYMMD</t>
  </si>
  <si>
    <t>1924N08636W</t>
  </si>
  <si>
    <t>XAVRC</t>
  </si>
  <si>
    <t>DANRT</t>
  </si>
  <si>
    <t>12L</t>
  </si>
  <si>
    <t>TFL822</t>
  </si>
  <si>
    <t>N420MX</t>
  </si>
  <si>
    <t>HDJT</t>
  </si>
  <si>
    <t>N3765</t>
  </si>
  <si>
    <t>N37531</t>
  </si>
  <si>
    <t>CCDBO</t>
  </si>
  <si>
    <t>2023N09459W</t>
  </si>
  <si>
    <t>XAVRJ</t>
  </si>
  <si>
    <t>2043N09459W</t>
  </si>
  <si>
    <t>XAEBN</t>
  </si>
  <si>
    <t>CGKFB</t>
  </si>
  <si>
    <t>XAVYB</t>
  </si>
  <si>
    <t>2139N09459W</t>
  </si>
  <si>
    <t>N115AM</t>
  </si>
  <si>
    <t>CGEZO</t>
  </si>
  <si>
    <t>XAVDE</t>
  </si>
  <si>
    <t>N910AU</t>
  </si>
  <si>
    <t>XAVBQ</t>
  </si>
  <si>
    <t>LAN583</t>
  </si>
  <si>
    <t>SCEL</t>
  </si>
  <si>
    <t>CCBBD</t>
  </si>
  <si>
    <t>XAVRK</t>
  </si>
  <si>
    <t>N607JB</t>
  </si>
  <si>
    <t>2004N08551W</t>
  </si>
  <si>
    <t>GLF5</t>
  </si>
  <si>
    <t>XAVLW</t>
  </si>
  <si>
    <t>2008N09459W</t>
  </si>
  <si>
    <t>N7752B</t>
  </si>
  <si>
    <t>N7744A</t>
  </si>
  <si>
    <t>N7820L</t>
  </si>
  <si>
    <t>XABAT</t>
  </si>
  <si>
    <t>G280</t>
  </si>
  <si>
    <t>WJA2633</t>
  </si>
  <si>
    <t>CYQB</t>
  </si>
  <si>
    <t>CGWSR</t>
  </si>
  <si>
    <t>N303DN</t>
  </si>
  <si>
    <t>KTXW</t>
  </si>
  <si>
    <t>N537VL</t>
  </si>
  <si>
    <t>DWI7005</t>
  </si>
  <si>
    <t>N7743B</t>
  </si>
  <si>
    <t>2022N09459W</t>
  </si>
  <si>
    <t>VOI3554</t>
  </si>
  <si>
    <t>XAVRU</t>
  </si>
  <si>
    <t>N536VL</t>
  </si>
  <si>
    <t>GOTAS</t>
  </si>
  <si>
    <t>2154N09459W</t>
  </si>
  <si>
    <t>XAVLJ</t>
  </si>
  <si>
    <t>TOM183</t>
  </si>
  <si>
    <t>TOM243</t>
  </si>
  <si>
    <t>LAN582</t>
  </si>
  <si>
    <t>XATVH</t>
  </si>
  <si>
    <t>XAVVF</t>
  </si>
  <si>
    <t>2149N09459W</t>
  </si>
  <si>
    <t>XAVOZ</t>
  </si>
  <si>
    <t>2136N08549W</t>
  </si>
  <si>
    <t>XAVRB</t>
  </si>
  <si>
    <t>N840AC</t>
  </si>
  <si>
    <t>LJ40</t>
  </si>
  <si>
    <t>N75428</t>
  </si>
  <si>
    <t>KJKA</t>
  </si>
  <si>
    <t>XAVWA</t>
  </si>
  <si>
    <t>XAVAW</t>
  </si>
  <si>
    <t>HP1718</t>
  </si>
  <si>
    <t>C56X</t>
  </si>
  <si>
    <t>N143AN</t>
  </si>
  <si>
    <t>LJ45</t>
  </si>
  <si>
    <t>XAVBW</t>
  </si>
  <si>
    <t>2425N08743W</t>
  </si>
  <si>
    <t>CGIIZ</t>
  </si>
  <si>
    <t>N53441</t>
  </si>
  <si>
    <t>30L</t>
  </si>
  <si>
    <t>DUSAT</t>
  </si>
  <si>
    <t>2429N08941W</t>
  </si>
  <si>
    <t>Y</t>
  </si>
  <si>
    <t>KTMB</t>
  </si>
  <si>
    <t>XAVRQ</t>
  </si>
  <si>
    <t>BE40</t>
  </si>
  <si>
    <t>KSRG</t>
  </si>
  <si>
    <t>GTUII</t>
  </si>
  <si>
    <t>KLRD</t>
  </si>
  <si>
    <t>CGWBU</t>
  </si>
  <si>
    <t>N130AN</t>
  </si>
  <si>
    <t>2429N08901W</t>
  </si>
  <si>
    <t>CCBAB</t>
  </si>
  <si>
    <t>2119N08540W</t>
  </si>
  <si>
    <t>N671RR</t>
  </si>
  <si>
    <t>XAVUB</t>
  </si>
  <si>
    <t>XAHSB</t>
  </si>
  <si>
    <t>XAVXT</t>
  </si>
  <si>
    <t>N559JB</t>
  </si>
  <si>
    <t>N774WF</t>
  </si>
  <si>
    <t>2358N08601W</t>
  </si>
  <si>
    <t>N615JB</t>
  </si>
  <si>
    <t>HP1716</t>
  </si>
  <si>
    <t>N906WN</t>
  </si>
  <si>
    <t>N806JB</t>
  </si>
  <si>
    <t>MMHC</t>
  </si>
  <si>
    <t>S12R T12R6 UN418 UN409 UN419 UN432 UBVOV UT101 ENAGA DCT OTAGO DCT ATUKA ATUKA1B</t>
  </si>
  <si>
    <t>N7826B</t>
  </si>
  <si>
    <t>N139AN</t>
  </si>
  <si>
    <t>N954XV</t>
  </si>
  <si>
    <t>N621JB</t>
  </si>
  <si>
    <t>XAVAA</t>
  </si>
  <si>
    <t>XAVRS</t>
  </si>
  <si>
    <t>DANRB</t>
  </si>
  <si>
    <t>2001N08559W</t>
  </si>
  <si>
    <t>2143N09459W</t>
  </si>
  <si>
    <t>KLBB</t>
  </si>
  <si>
    <t>N527VL</t>
  </si>
  <si>
    <t>CGXJR</t>
  </si>
  <si>
    <t>N528VL</t>
  </si>
  <si>
    <t>XAMBE</t>
  </si>
  <si>
    <t>N308DN</t>
  </si>
  <si>
    <t>XATVC</t>
  </si>
  <si>
    <t>2024N09459W</t>
  </si>
  <si>
    <t>N37541</t>
  </si>
  <si>
    <t>N36447</t>
  </si>
  <si>
    <t>2128N08545W</t>
  </si>
  <si>
    <t>KLAS</t>
  </si>
  <si>
    <t>N68811</t>
  </si>
  <si>
    <t>AAL215</t>
  </si>
  <si>
    <t>AAL1750</t>
  </si>
  <si>
    <t>N17550</t>
  </si>
  <si>
    <t>N945AV</t>
  </si>
  <si>
    <t>2405N08624W</t>
  </si>
  <si>
    <t>GYMMC</t>
  </si>
  <si>
    <t>S12R T12R6 UN418 UN409 UN419 2051N08730W NAPRI NAPRI1A</t>
  </si>
  <si>
    <t>2138N09459W</t>
  </si>
  <si>
    <t>N825AM</t>
  </si>
  <si>
    <t>1959N08602W</t>
  </si>
  <si>
    <t>N512VL</t>
  </si>
  <si>
    <t>HP1837</t>
  </si>
  <si>
    <t>MMCP</t>
  </si>
  <si>
    <t>HI1118</t>
  </si>
  <si>
    <t>N156UW</t>
  </si>
  <si>
    <t>N8766T</t>
  </si>
  <si>
    <t>N665FR</t>
  </si>
  <si>
    <t>UDGUV2A UDGUV UT78 DURPI DCT LIDAM UT23 TAM UJ14 TMN UT147 SLP UJ40 LIBOL LIBOL1B</t>
  </si>
  <si>
    <t>MMCY</t>
  </si>
  <si>
    <t>KILM</t>
  </si>
  <si>
    <t>2325N09426W</t>
  </si>
  <si>
    <t>JBU1052</t>
  </si>
  <si>
    <t>N957JB</t>
  </si>
  <si>
    <t>N37577</t>
  </si>
  <si>
    <t>KJAN</t>
  </si>
  <si>
    <t>CFSNQ</t>
  </si>
  <si>
    <t>N533VL</t>
  </si>
  <si>
    <t>UDGUV2A UDGUV UT78 MEDOS UT20 UBVOV UT101 UMAVO/N0448F300 UT101 ENAGA ENAGA3A</t>
  </si>
  <si>
    <t>KMTH</t>
  </si>
  <si>
    <t>UDGUV2A UDGUV UT78 MEDOS UT20 UBVOV UT101 UMAVO/N0456F300 UT101 ENAGA ENAGA3A</t>
  </si>
  <si>
    <t>XAEME</t>
  </si>
  <si>
    <t>AAL652R</t>
  </si>
  <si>
    <t>KFTW</t>
  </si>
  <si>
    <t>2039N09459W</t>
  </si>
  <si>
    <t>HP1855</t>
  </si>
  <si>
    <t>N556UW</t>
  </si>
  <si>
    <t>2355N08601W</t>
  </si>
  <si>
    <t>N968NN</t>
  </si>
  <si>
    <t>N27520</t>
  </si>
  <si>
    <t>FA50</t>
  </si>
  <si>
    <t>N7748A</t>
  </si>
  <si>
    <t>HP9802</t>
  </si>
  <si>
    <t>1914N09504W</t>
  </si>
  <si>
    <t>XAVMI</t>
  </si>
  <si>
    <t>N17596</t>
  </si>
  <si>
    <t>KCXO</t>
  </si>
  <si>
    <t>XAVLF</t>
  </si>
  <si>
    <t>CGLVU</t>
  </si>
  <si>
    <t>CFAXD</t>
  </si>
  <si>
    <t>2122N08542W</t>
  </si>
  <si>
    <t>C550</t>
  </si>
  <si>
    <t>KMAF</t>
  </si>
  <si>
    <t>N69813</t>
  </si>
  <si>
    <t>2406N08627W</t>
  </si>
  <si>
    <t>XPPS</t>
  </si>
  <si>
    <t>KVNY</t>
  </si>
  <si>
    <t>MYNN</t>
  </si>
  <si>
    <t>MRLB</t>
  </si>
  <si>
    <t>XAVRV</t>
  </si>
  <si>
    <t>CGEZJ</t>
  </si>
  <si>
    <t>KRDU</t>
  </si>
  <si>
    <t>N166NN</t>
  </si>
  <si>
    <t>KJAX</t>
  </si>
  <si>
    <t>MHTG</t>
  </si>
  <si>
    <t>KSDL</t>
  </si>
  <si>
    <t>C750</t>
  </si>
  <si>
    <t>CGJTX</t>
  </si>
  <si>
    <t>N958XV</t>
  </si>
  <si>
    <t>N532VL</t>
  </si>
  <si>
    <t>N658JB</t>
  </si>
  <si>
    <t>KMSY</t>
  </si>
  <si>
    <t>CCBHA</t>
  </si>
  <si>
    <t>2030N09459W</t>
  </si>
  <si>
    <t>PA46</t>
  </si>
  <si>
    <t>HP1526</t>
  </si>
  <si>
    <t>XAVXR</t>
  </si>
  <si>
    <t>S12R 2101N08650W MOGOP NUDAL UV106 PODON UG765 MAXIM Y262 LINEY DCT KUTNE MUNGI1</t>
  </si>
  <si>
    <t>2429N08934W</t>
  </si>
  <si>
    <t>N68880</t>
  </si>
  <si>
    <t>N499AM</t>
  </si>
  <si>
    <t>MMAA</t>
  </si>
  <si>
    <t>N552VL</t>
  </si>
  <si>
    <t>HP1852</t>
  </si>
  <si>
    <t>MMTL</t>
  </si>
  <si>
    <t>S12R SR00 SR01 SR02 SR03 OMSUK UM219 MYDIA M219 KNOST DCT DEANR DCT BRUTS Q109 CAMJO DCT TWINS DCT PONZE BANKR8</t>
  </si>
  <si>
    <t>CGKQV</t>
  </si>
  <si>
    <t>XBPXP</t>
  </si>
  <si>
    <t>XAVLS</t>
  </si>
  <si>
    <t>N37549</t>
  </si>
  <si>
    <t>KHPN</t>
  </si>
  <si>
    <t>HP1730</t>
  </si>
  <si>
    <t>ADEP</t>
  </si>
  <si>
    <t>Sector</t>
  </si>
  <si>
    <t>ACC_Adyacente</t>
  </si>
  <si>
    <t>MMEX</t>
  </si>
  <si>
    <t>Sector 3</t>
  </si>
  <si>
    <t>KZHU</t>
  </si>
  <si>
    <t>MMTY</t>
  </si>
  <si>
    <t>MUFH</t>
  </si>
  <si>
    <t>Sector 7</t>
  </si>
  <si>
    <t>MHCC</t>
  </si>
  <si>
    <t>SVMI</t>
  </si>
  <si>
    <t>KIND</t>
  </si>
  <si>
    <t>LFPG</t>
  </si>
  <si>
    <t>KLAN</t>
  </si>
  <si>
    <t>HOU</t>
  </si>
  <si>
    <t>KSEA</t>
  </si>
  <si>
    <t>MMID</t>
  </si>
  <si>
    <t>KPDX</t>
  </si>
  <si>
    <t>KMKE</t>
  </si>
  <si>
    <t>RFD</t>
  </si>
  <si>
    <t>KPIT</t>
  </si>
  <si>
    <t>LTBA</t>
  </si>
  <si>
    <t>EIDW</t>
  </si>
  <si>
    <t>KCMH</t>
  </si>
  <si>
    <t>SBBR</t>
  </si>
  <si>
    <t>CYHZ</t>
  </si>
  <si>
    <t>EPWA</t>
  </si>
  <si>
    <t>SPIM</t>
  </si>
  <si>
    <t>CYXU</t>
  </si>
  <si>
    <t>CYXE</t>
  </si>
  <si>
    <t>CYQR</t>
  </si>
  <si>
    <t>EGGL</t>
  </si>
  <si>
    <t>KORF</t>
  </si>
  <si>
    <t>CYYJ</t>
  </si>
  <si>
    <t>YHM</t>
  </si>
  <si>
    <t>CYKF</t>
  </si>
  <si>
    <t>OKC</t>
  </si>
  <si>
    <t>KCHS</t>
  </si>
  <si>
    <t>YLW</t>
  </si>
  <si>
    <t>KSAT</t>
  </si>
  <si>
    <t>KHRL</t>
  </si>
  <si>
    <t>TUL</t>
  </si>
  <si>
    <t>BCN</t>
  </si>
  <si>
    <t>SVVA</t>
  </si>
  <si>
    <t>MKJS</t>
  </si>
  <si>
    <t>MMSD</t>
  </si>
  <si>
    <t>MMHO</t>
  </si>
  <si>
    <t>MMCL</t>
  </si>
  <si>
    <t>MMPR</t>
  </si>
  <si>
    <t>MMML</t>
  </si>
  <si>
    <t>KOAK</t>
  </si>
  <si>
    <t>MMLP</t>
  </si>
  <si>
    <t>KFAT</t>
  </si>
  <si>
    <t>KONT</t>
  </si>
  <si>
    <t>MMLM</t>
  </si>
  <si>
    <t>MMSL</t>
  </si>
  <si>
    <t>KSMF</t>
  </si>
  <si>
    <t>MMCN</t>
  </si>
  <si>
    <t>MMMZ</t>
  </si>
  <si>
    <t>KMEM</t>
  </si>
  <si>
    <t>MMDO</t>
  </si>
  <si>
    <t>MMZC</t>
  </si>
  <si>
    <t>KCMA</t>
  </si>
  <si>
    <t>KSJC</t>
  </si>
  <si>
    <t>MMEP</t>
  </si>
  <si>
    <t>MMPS</t>
  </si>
  <si>
    <t>MMZH</t>
  </si>
  <si>
    <t>MWCR</t>
  </si>
  <si>
    <t>KAPC</t>
  </si>
  <si>
    <t>KHND</t>
  </si>
  <si>
    <t>MHLM</t>
  </si>
  <si>
    <t>SBGR</t>
  </si>
  <si>
    <t>KGPI</t>
  </si>
  <si>
    <t>KRNO</t>
  </si>
  <si>
    <t>KSDF</t>
  </si>
  <si>
    <t>KSDM</t>
  </si>
  <si>
    <t>MMPG</t>
  </si>
  <si>
    <t>YMML</t>
  </si>
  <si>
    <t>MMCV</t>
  </si>
  <si>
    <t>MMMA</t>
  </si>
  <si>
    <t>MMNL</t>
  </si>
  <si>
    <t>MMTP</t>
  </si>
  <si>
    <t>SEQM</t>
  </si>
  <si>
    <t>SKBQ</t>
  </si>
  <si>
    <t>BIKF</t>
  </si>
  <si>
    <t>EGLL</t>
  </si>
  <si>
    <t>MHPR</t>
  </si>
  <si>
    <t>NZAA</t>
  </si>
  <si>
    <t>TJSJ</t>
  </si>
  <si>
    <t>KAEX</t>
  </si>
  <si>
    <t>KECP</t>
  </si>
  <si>
    <t>KGSP</t>
  </si>
  <si>
    <t>KMFE</t>
  </si>
  <si>
    <t>KSHV</t>
  </si>
  <si>
    <t>MNMG</t>
  </si>
  <si>
    <t>TLC</t>
  </si>
  <si>
    <t>UDGUV</t>
  </si>
  <si>
    <t>OMSUK</t>
  </si>
  <si>
    <t>ENEBA</t>
  </si>
  <si>
    <t>SID 12R</t>
  </si>
  <si>
    <t>SID 30L</t>
  </si>
  <si>
    <t>HECAT</t>
  </si>
  <si>
    <t>CZM</t>
  </si>
  <si>
    <t>SID_resuelto</t>
  </si>
  <si>
    <t>Hora_UTC</t>
  </si>
  <si>
    <t>Total</t>
  </si>
  <si>
    <t>Flights with ATD from 14:00 to 22:59 UTC · SID resolved by ADES and runway using DB</t>
  </si>
  <si>
    <t>HOURLY SUMMARY</t>
  </si>
  <si>
    <t>UTC Hour</t>
  </si>
  <si>
    <t>Sector_resuelto</t>
  </si>
  <si>
    <t>Flights with ATD from 14:00 to 23:59 UTC · Sector resolved by matching ADES to DB</t>
  </si>
  <si>
    <t>HOURLY SECTOR SUMMARY</t>
  </si>
  <si>
    <t>Sector 2</t>
  </si>
  <si>
    <t>DANRG</t>
  </si>
  <si>
    <t>1921N09502W</t>
  </si>
  <si>
    <t>XADRA</t>
  </si>
  <si>
    <t>N17529</t>
  </si>
  <si>
    <t>1826N08808W</t>
  </si>
  <si>
    <t>2311N09444W</t>
  </si>
  <si>
    <t>N77587</t>
  </si>
  <si>
    <t>XAVLE</t>
  </si>
  <si>
    <t>XAVSZ</t>
  </si>
  <si>
    <t>N47512</t>
  </si>
  <si>
    <t>KTEB</t>
  </si>
  <si>
    <t>2010N09459W</t>
  </si>
  <si>
    <t>N66848</t>
  </si>
  <si>
    <t>2306N08601W</t>
  </si>
  <si>
    <t>N902AV</t>
  </si>
  <si>
    <t>2147N08554W</t>
  </si>
  <si>
    <t>N127DN</t>
  </si>
  <si>
    <t>N944AN</t>
  </si>
  <si>
    <t>N312DN</t>
  </si>
  <si>
    <t>2429N08823W</t>
  </si>
  <si>
    <t>2338N08601W</t>
  </si>
  <si>
    <t>2258N09459W</t>
  </si>
  <si>
    <t>XAONE</t>
  </si>
  <si>
    <t>1826N08807W</t>
  </si>
  <si>
    <t>N925NN</t>
  </si>
  <si>
    <t>N926UW</t>
  </si>
  <si>
    <t>AXOMU</t>
  </si>
  <si>
    <t>N479AM</t>
  </si>
  <si>
    <t>N587DT</t>
  </si>
  <si>
    <t>N463AM</t>
  </si>
  <si>
    <t>TAI435</t>
  </si>
  <si>
    <t>N67501</t>
  </si>
  <si>
    <t>ECOGY</t>
  </si>
  <si>
    <t>UDGUV2A UDGUV UT78 DURPI DCT NUBIT DCT RIBET UT101 ENAGA DCT OVAGO UT123 IKLOK/N0447F220 UT123 IGSON IGSON1B</t>
  </si>
  <si>
    <t>XAAMA</t>
  </si>
  <si>
    <t>N8777Q</t>
  </si>
  <si>
    <t>2031N09459W</t>
  </si>
  <si>
    <t>UDGUV2A UDGUV UJ84 CZA UT20 PAZ UT104 LENUL DCT</t>
  </si>
  <si>
    <t>N8310C</t>
  </si>
  <si>
    <t>CGEHI</t>
  </si>
  <si>
    <t>2427N08753W</t>
  </si>
  <si>
    <t>HP9806</t>
  </si>
  <si>
    <t>2402N08610W</t>
  </si>
  <si>
    <t>N8329B</t>
  </si>
  <si>
    <t>N122NN</t>
  </si>
  <si>
    <t>TCLLF</t>
  </si>
  <si>
    <t>CGFJQ</t>
  </si>
  <si>
    <t>2429N08936W</t>
  </si>
  <si>
    <t>HBIHF</t>
  </si>
  <si>
    <t>1917N08643W</t>
  </si>
  <si>
    <t>EVE816</t>
  </si>
  <si>
    <t>HP1822</t>
  </si>
  <si>
    <t>HP1823</t>
  </si>
  <si>
    <t>N934AA</t>
  </si>
  <si>
    <t>N365DN</t>
  </si>
  <si>
    <t>2021N08521W</t>
  </si>
  <si>
    <t>N37537</t>
  </si>
  <si>
    <t>XAVXB</t>
  </si>
  <si>
    <t>N838AM</t>
  </si>
  <si>
    <t>2009N08533W</t>
  </si>
  <si>
    <t>XAOCA</t>
  </si>
  <si>
    <t>N357DN</t>
  </si>
  <si>
    <t>XAVBB</t>
  </si>
  <si>
    <t>CGITR</t>
  </si>
  <si>
    <t>TCLLJ</t>
  </si>
  <si>
    <t>HP9815</t>
  </si>
  <si>
    <t>N38443</t>
  </si>
  <si>
    <t>2208N09459W</t>
  </si>
  <si>
    <t>N841NN</t>
  </si>
  <si>
    <t>N370RV</t>
  </si>
  <si>
    <t>UDGUV2A UDGUV UT78 MEDOS UT20 UBVOV UT101 UMAVO/N0461F300 UT101 ENAGA ENAGA3A</t>
  </si>
  <si>
    <t>UDGUV2A UDGUV UT78 MEDOS UT20 UBVOV UT101 UMAVO/N0455F300 UT101 ENAGA ENAGA3A</t>
  </si>
  <si>
    <t>N821JB</t>
  </si>
  <si>
    <t>UDGUV2A UDGUV UJ84 CZA UJ9 NAPRI NAPRI1A</t>
  </si>
  <si>
    <t>HP1854</t>
  </si>
  <si>
    <t>N530VL</t>
  </si>
  <si>
    <t>1908N08652W</t>
  </si>
  <si>
    <t>2401N08605W</t>
  </si>
  <si>
    <t>CGEMV</t>
  </si>
  <si>
    <t>N941DZ</t>
  </si>
  <si>
    <t>ASTR</t>
  </si>
  <si>
    <t>EINEU</t>
  </si>
  <si>
    <t>N37532</t>
  </si>
  <si>
    <t>XAREG</t>
  </si>
  <si>
    <t>S12R T12R6 UN415 NUDAL UV106 PODON UG765 MAXIM SNDBR3</t>
  </si>
  <si>
    <t>N8710M</t>
  </si>
  <si>
    <t>XADAT</t>
  </si>
  <si>
    <t>N118DY</t>
  </si>
  <si>
    <t>XBSCM</t>
  </si>
  <si>
    <t>ECNXA</t>
  </si>
  <si>
    <t>HI1026</t>
  </si>
  <si>
    <t>2012N08524W</t>
  </si>
  <si>
    <t>N368AR</t>
  </si>
  <si>
    <t>GLEX</t>
  </si>
  <si>
    <t>N535UW</t>
  </si>
  <si>
    <t>S12R SR00 SR01 SR02 SR03 SR04 OMSUK UM219 MYDIA M219 KNOST DCT DEANR DCT BRUTS Q109 CAMJO DCT TWINS DCT PONZE BANKR8</t>
  </si>
  <si>
    <t>N729JB</t>
  </si>
  <si>
    <t>N77598</t>
  </si>
  <si>
    <t>N848DN</t>
  </si>
  <si>
    <t>S12R PELRA DCT SPP DCT SEKMA OSUPA2</t>
  </si>
  <si>
    <t>ECNZF</t>
  </si>
  <si>
    <t>UDGUV2A UDGUV UT78 MEDOS ENAGA ENAGA3A</t>
  </si>
  <si>
    <t>F2TH</t>
  </si>
  <si>
    <t>XAVOA</t>
  </si>
  <si>
    <t>XAVSX</t>
  </si>
  <si>
    <t>NUDAL1A NUDAL UV106 PODON UG765 MAXIM Y262 ZFP Y319 JAZZI DCT IDOLS DCT RUKRR DCT THHMP RAVNN9</t>
  </si>
  <si>
    <t>N997AA</t>
  </si>
  <si>
    <t>DANRD</t>
  </si>
  <si>
    <t>N960AV</t>
  </si>
  <si>
    <t>XAAMV</t>
  </si>
  <si>
    <t>N905NN</t>
  </si>
  <si>
    <t>N933AN</t>
  </si>
  <si>
    <t>2118N08539W</t>
  </si>
  <si>
    <t>N47505</t>
  </si>
  <si>
    <t>2112N08536W</t>
  </si>
  <si>
    <t>2429N08820W</t>
  </si>
  <si>
    <t>1932N08629W</t>
  </si>
  <si>
    <t>N75429</t>
  </si>
  <si>
    <t>2426N08749W</t>
  </si>
  <si>
    <t>N958NN</t>
  </si>
  <si>
    <t>CGZSG</t>
  </si>
  <si>
    <t>N942AV</t>
  </si>
  <si>
    <t>CFIBA</t>
  </si>
  <si>
    <t>N992AU</t>
  </si>
  <si>
    <t>N853DN</t>
  </si>
  <si>
    <t>UDGUV2A UDGUV UJ84 CZA 2022N08910W 2022N08921W 2022N08942W 2020N08953W 2004N09122W 2004N09128W 2003N09140W 2005N09150W 2010N09457W AVALI ENAGA</t>
  </si>
  <si>
    <t>S12R T12R6 UN418 UN409 2054N08705W 2047N08721W UDGUV UT78 DURPI DCT NUBIT DCT RIBET UT101 ENAGA DCT OVAGO UT123 IKLOK/N0451F220 UT123 IGSON IGSON1B</t>
  </si>
  <si>
    <t>S12R T12R6 UN418 UN409 2055N08701W 2050N08755W DURPI DCT 2051N08916W 2057N08927W NOTEN UT37 ULUMA/N0452F360 UT37 SESNO/N0384F220 UJ15E RETOS RETOS1A</t>
  </si>
  <si>
    <t>S12R T12R6 NUDAL UV106 PODON UG765 MAXIM DCT VKZ DCT NUCAR A699 LOUIZ/M082F370 A699 SUMRS M204 SOORY/M082F380 NATZ 43N050W/M082F400 NATZ NASBA/M082F390 DCT GAPLI/N0475F390 DCT SIDDI DCT DAWLY DCT ELRIP DCT OTMET OTMET1G</t>
  </si>
  <si>
    <t>S12R T12R6 UN402 UN408 2020N08652W 2010N08651W GABIX DCT TUMEK DCT TIBUT DCT PIRAS BARRA4P</t>
  </si>
  <si>
    <t>S12R T12R6 2056N08723W 2056N08730W 2050N08913W 2050N08920W UBVOV DCT UMAVO UT101 ENAGA ENAGA3A</t>
  </si>
  <si>
    <t>XAUNH</t>
  </si>
  <si>
    <t>S12R T12R6 2053N08724W 2049N08733W 2048N08740W 2048N08743W 2050N08746W 2054N08749W 2059N08754W TARBI UJ17 QET</t>
  </si>
  <si>
    <t>2133N09459W</t>
  </si>
  <si>
    <t>S12R 2049N08729W 2048N08734W 2050N08831W AVIVI ELVED UT104 LENUL DCT</t>
  </si>
  <si>
    <t>S12R T12R6 UN418 UN409 UN419 NAPRI MILTE 2045N08915W 2044N08916W 2037N08922W 2035N08924W 2036N08933W SEBEP MD400 MD401 RWY10</t>
  </si>
  <si>
    <t>OMSUK2A OMSUK 2139N08643W LENUK UB646 CANOA Y196 TUNSL Y262 GOPEY Q87 TIRCO/N0471F340 Q87 ZERBO/N0468F350 Q87 VIYAP Q69 GURGE DCT CAE DCT RYCKI Q69 RICCS DCT OXMAN LINNG3</t>
  </si>
  <si>
    <t>S12R AGAVE UJ9 VSA</t>
  </si>
  <si>
    <t>ANX1203</t>
  </si>
  <si>
    <t>S12L 2052N08750W AVIVI ELVED UT104 LENUL LENUL3A</t>
  </si>
  <si>
    <t>UDGUV2B UDGUV DCT 2049N08800W 2049N08806W 2011N09434W IKLOK UT123 IGSON</t>
  </si>
  <si>
    <t>S12L 2101N08648W ROTGI UM219 MYDIA M219 KNOST DCT</t>
  </si>
  <si>
    <t>S12L NOTEN UT37 SESNO UJ15E RETOS RETOS1A</t>
  </si>
  <si>
    <t>S12L 2101N08650W 2053N08741W 2053N08750W UBVOV UT101 VOKIR/N0460F270 UT101 ENAGA/N0425F270 ENAGA3A</t>
  </si>
  <si>
    <t>S12L 2101N08651W UKOKO UT78 GOSAT 2050N09005W 2024N09500W ENAGA ENAGA3A</t>
  </si>
  <si>
    <t>S12L T12L6 UN418 UN409 UN419 2051N08728W 2051N08738W UBVOV UT101 ENAGA ENAGA3A</t>
  </si>
  <si>
    <t>S12L T12L6 UN418 UN409 UN419 2051N08731W TAGRO OMPAN OMPAN1A</t>
  </si>
  <si>
    <t>S12L T12L6 UN418 UN409 2053N08716W 2053N08717W 2040N09348W ELURA ENAGA ENAGA3A</t>
  </si>
  <si>
    <t>UDGUV2B UDGUV 2048N08749W UBVOV UT20 TAJIN DCT VITOS VITOS2A</t>
  </si>
  <si>
    <t>S12L T12L6 UN418 UN409 2046N09217W 2044N09230W ELURA ENAGA ENAGA3A</t>
  </si>
  <si>
    <t>S12L T12L6 UN415 2058N08644W 2053N08624W NUDAL UR506 KALNO VETSI2A</t>
  </si>
  <si>
    <t>S12L T12L6 UN418 2056N08714W UN711 NOTEN UT37 SESNO UJ15E RETOS RETOS1A</t>
  </si>
  <si>
    <t>S12L 2101N08650W 2059N08650W UKOKO UT78 VIKMO/N0450F360 UT78 MEDOS/N0423F320 UT20 UBVOV UT101 UMAVO/N0422F300 UT101 ENAGA ENAGA3A</t>
  </si>
  <si>
    <t>S12L 2101N08650W 2054N08648W 2024N08644W TAKUX UM782 OMIRO UN420 PELRA DCT SPP DCT SEKMA OSUPA2</t>
  </si>
  <si>
    <t>S12R 2059N08648W SR03 SR04 2124N08651W 2224N08709W 2229N08711W 2232N08713W KEHLI A766 KELPP NNCEE2</t>
  </si>
  <si>
    <t>N3748Y</t>
  </si>
  <si>
    <t>S12R SR00 SR01 SR02 SR03 SR04 SR05 OMSUK 2134N08644W 2144N08643W 2228N08635W MYDIA M219 KNOST DCT AMORY Q110 DAWWN DCT BEORN GNDLF3</t>
  </si>
  <si>
    <t>S12R SR00 SR01 SR02 SR03 SR04 SR05 SR06 OMSUK UM219 MYDIA/N0461F350 M219 CIGAR M215 KNOST Q109 CAMJO Q99 QUART PHLBO4</t>
  </si>
  <si>
    <t>2051N08656W 2045N08659W</t>
  </si>
  <si>
    <t>UDGUV2A UDGUV UT78 MEDOS UT20 UBVOV UT101 UMAVO/N0459F300 UT101 ENAGA</t>
  </si>
  <si>
    <t>S12R T12R6 2100N08651W 2052N08726W 2052N08729W 2051N08838W 2051N08842W 2256N09343W 2327N09430W SESNO/N0460F220 UJ15E RETOS RETOS1A</t>
  </si>
  <si>
    <t>2325N09427W</t>
  </si>
  <si>
    <t>S12R T12R6 UN418 UN409 2052N08720W 2051N08723W UBVOV UT20 TAJIN DCT VITOS VITOS2A</t>
  </si>
  <si>
    <t>S12R T12R6 UN418 UN409 2052N08721W 2052N08724W PQE/N0328A180 V51 SAXAV V51 TGZ DCT</t>
  </si>
  <si>
    <t>S12R T12R6 UN418 UN409 UN419 2051N08726W 2051N08731W UBVOV UT20 PAZ UT104 ELVED/N0447F300 UT104 LENUL LENUL2B</t>
  </si>
  <si>
    <t>S12R T12R6 UN418 UN409 UN419 2051N08728W UBVOV UT101 UMAVO UT169 VITOS VITOS2A</t>
  </si>
  <si>
    <t>S12R T12R6 UN418 UN409 UN419 2051N08727W NUBIT DCT RIBET UT101 ENAGA DCT OVAGO UT123 IKLOK/N0449F220 UT123 IGSON IGSON1B</t>
  </si>
  <si>
    <t>S12R T12R6 UN418 UN409 UN419 UN432 2051N08735W UBVOV DCT UMAVO UT101 ENAGA ENAGA3A</t>
  </si>
  <si>
    <t>S12R T12R6 UN418 UN409 2052N08719W UBVOV UT101 UMAVO UT104 LENUL LENUL3A</t>
  </si>
  <si>
    <t>CFKWS</t>
  </si>
  <si>
    <t>S12R SR00 SR01 2125N08643W 2128N08643W 2138N08636W 2152N08630W 2158N08627W 2225N08637W 2229N08637W MYDIA/M077F350 M219 CIGAR DCT KNOST/N0456F350 DCT CAMJO DCT SPA DCT EWC DCT OXMAN LINNG3</t>
  </si>
  <si>
    <t>S12R SR00 SR01 SR02 2100N08644W 2101N08643W 2119N08641W 2123N08640W 2147N08629W 2151N08627W 2153N08627W 2205N08626W 2223N08635W MYDIA/M078F370 M219 CULLY/N0459F370 M219 KNOST DCT CAMJO Q99 BLAAN Q69 RICCS DCT OXMAN LINNG3</t>
  </si>
  <si>
    <t>N8793Q</t>
  </si>
  <si>
    <t>S12R SR00 SR01 SR02 2101N08644W 2102N08643W ENEBA 2130N08655W 2130N08654W 2140N08658W 2231N08724W 2256N08734W KEHLI A766 KELPP BAYYY5</t>
  </si>
  <si>
    <t>S12R T12R6 UN418 UN409 UN419 UN432 2050N08736W 2049N08739W 2054N08849W 2224N09224W 2225N09225W 2226N09229W 2229N09236W BRO J25 ICEMN DCT CSI/N0449F370 DCT LEJON DCT GUTZZ BOOVE7</t>
  </si>
  <si>
    <t>2338N09409W</t>
  </si>
  <si>
    <t>S12R 2101N08650W 2100N08647W CN04 2103N08645W 2105N08644W 2117N08644W 2118N08644W 2133N08640W 2134N08639W 2154N08633W 2208N08630W MYDIA M219 CULLY DCT KNOST DCT CAMJO Q99 BLAAN Q69 RICCS DCT OXMAN LINNG3</t>
  </si>
  <si>
    <t>S12R T12R6 UN415 2058N08643W 2104N08635W 2105N08634W 2107N08632W 2108N08631W 2111N08629W 2116N08538W NUDAL UV106 PODON UG765 EMOVI UG765 MAXIM SNDBR3</t>
  </si>
  <si>
    <t>UDGUV2A UDGUV DCT 2053N08852W 2054N08855W NOTEN DCT LIBOX DCT MOV UT3 URKOM UJ54 CJS DCT</t>
  </si>
  <si>
    <t>S12R T12R6 UN418 UN409 UN419 2052N08722W 2052N08729W 2051N08744W UBVOV UT101 UMAVO/N0435F300 UT101 ENAGA/N0431F280 ENAGA3A</t>
  </si>
  <si>
    <t>S12R 2100N08648W 2100N08646W SR04 2131N08644W 2132N08643W 2136N08643W 2157N08632W 2216N08626W MYDIA/N0464F370 M219 CIGAR M215 KNOST Q109 CAMJO Q99 OGRAE DCT BZNGA DCT DORRN CAVLR7</t>
  </si>
  <si>
    <t>S12R T12R6 2059N08650W 2043N08651W 2027N08659W 2023N08659W 1957N08705W 1944N08709W 1941N08710W 1906N08716W BTO UM206 ANSON DCT AROVI VUMAN2</t>
  </si>
  <si>
    <t>1845N08713W</t>
  </si>
  <si>
    <t>S12R T12R6 UN402 UN408 CZM UN431 2003N08656W 1925N08717W 1856N08725W 1851N08738W 1815N08808W TIKIS UG765 AUR DCT</t>
  </si>
  <si>
    <t>1824N08801W</t>
  </si>
  <si>
    <t>UDGUV2A UDGUV DCT 2055N08914W 2056N08916W NOTEN UT37 SESNO UJ15E RETOS RETOS1A</t>
  </si>
  <si>
    <t>S12R T12R6 2056N08712W 2055N08715W 2055N08725W 2054N08727W 2049N09317W 2048N09324W UMAVO UT104 LENUL DCT</t>
  </si>
  <si>
    <t>S12R T12R6 UN402 UN408 2035N08654W 2028N08656W 2015N08704W 1956N08712W 1932N08716W 1910N08711W GABIX DCT TUMEK DCT TIBUT DCT PIRAS BARRA4P</t>
  </si>
  <si>
    <t>1854N08705W</t>
  </si>
  <si>
    <t>UDGUV2A UDGUV UBVOV UT20 TAJIN DCT VITOS VITOS2A</t>
  </si>
  <si>
    <t>S12R SR00 SR01 SR02 SR03 ENEBA UT27 NOSUG 2200N08700W KEHLI A766 SBI DCT LUKKN WLEEE7</t>
  </si>
  <si>
    <t>S12R T12R6 UN418 UN409 UN419 UN432 MID DCT LIDAM UT23 TAM UJ14 TMN UT147 AGU UT44 MEZCA MEZCA1A</t>
  </si>
  <si>
    <t>S12R T12R6 UN402 UN408 CZM 2018N08655W 1945N08645W 1912N08631W BTO UM206 ANSON DCT AROVI VUMAN2</t>
  </si>
  <si>
    <t>S12R T12R6 UN418 UN409 UN419 UN432 2053N08833W 2053N08838W NOTEN UT37 SESNO UJ15E RETOS DCT</t>
  </si>
  <si>
    <t>S12R SR00 SR01 SR02 SR03 SR04 SR05 OMSUK 2140N08643W 2148N08640W 2201N08636W 2215N08632W MYDIA M219 KNOST DCT CAMJO Q99 BLAAN Q69 RICCS DCT PSB DCT SYR DCT ART IMPAC4</t>
  </si>
  <si>
    <t>HP9930</t>
  </si>
  <si>
    <t>S12R T12R6 UN402 UN408 TIBUT UM206 ANSON DCT AROVI VUMAN2</t>
  </si>
  <si>
    <t>S12R T12R6 2100N08651W UDGUV DCT 2052N08830W 2052N08834W NOTEN UT37 SESNO UJ15E RETOS RETOS1A</t>
  </si>
  <si>
    <t>N927UW</t>
  </si>
  <si>
    <t>S12R SR00 SR01 SR02 SR03 SR04 SR05 SR06 OMSUK 2145N08642W 2150N08636W 2204N08625W MYDIA M219 KNOST DCT DEANR DCT BRUTS Q109 CAMJO DCT TWINS DCT PONZE BANKR8</t>
  </si>
  <si>
    <t>N37474</t>
  </si>
  <si>
    <t>S12R SR00 SR01 SR02 SR03 SR04 ENEBA UT27 NOSUG 2154N08656W 2200N08657W 2210N08707W 2221N08715W 2227N08719W 2300N08734W 2305N08737W 2309N08747W 2311N08750W KEHLI A770 LEV DCT MCB/N0469F350 DCT MEMFS/N0463F370 DCT LAJUG DCT VOSTK/N0466F360 DCT ROYYZ/N0475F340 DCT HEVAN DCT POKTE DCT BONNT/N0476F240 VEECK5</t>
  </si>
  <si>
    <t>S12R T12R6 UN418 UN409 UN419 UN432 2050N08736W 2050N08740W UBVOV UT101 UMAVO/N0459F300 UT101 ENAGA ENAGA3A</t>
  </si>
  <si>
    <t>LET7554</t>
  </si>
  <si>
    <t>MMPQ</t>
  </si>
  <si>
    <t>S12R 2101N08651W 2036N08654W 2033N08654W 1851N09121W 1848N09128W EBLEV V30 PQE</t>
  </si>
  <si>
    <t>S12R SR00 SR01 SR02 SR03 SR04 SR05 SR06 2105N08645W 2117N08651W 2129N08646W 2135N08643W 2138N08641W 2206N08630W 2209N08630W 2209N08629W 2215N08629W MYDIA M219 KNOST Q109 CAMJO Q99 PEETT DCT BBDOL PAATS4</t>
  </si>
  <si>
    <t>S12R T12R6 UN418 UN409 UN419 UN432 2050N08736W 2050N08739W 2049N08757W 2050N08835W 2050N08838W NOTEN UT37 SESNO UJ15E MTY UT11 GABLA UJ40 NOVUL NOVUL2C</t>
  </si>
  <si>
    <t>CGZWS</t>
  </si>
  <si>
    <t>S12R SR00 SR01 SR02 SR03 SR04 SR05 SR06 ENEBA UT27 OMVIP UT45 IRDOV/M078F360 L214 PLNDR/N0458F360 L214 LEV/N0453F370 DCT JAAAE DCT FLM DCT GAABE DCT MIGLO HABBS7</t>
  </si>
  <si>
    <t>XBFLF</t>
  </si>
  <si>
    <t>S12R T12R6 2052N08714W 2051N08717W ALPOM UT20 PAZ UT104 LENUL DCT</t>
  </si>
  <si>
    <t>S12R T12R6 UN415 UN440 2042N08620W 2038N08617W 2031N08610W 2033N08608W 2021N08521W MAMBI UL577 CDO UT15 NADAX NADAX1W</t>
  </si>
  <si>
    <t>S12R SR00 SR01 SR02 SR03 SR04 ENEBA 2144N08701W 2150N08703W 2155N08707W 2210N08717W XORAR IRDOV L214 LEV J31 HRV/N0458F340 DCT MCB J35 MCGEE DCT IZAAC DCT XESSS DCT MEMFS DCT VISQA J29 PXV DCT WWODD HANBL3</t>
  </si>
  <si>
    <t>S12R 2101N08651W 2059N08651W 2051N08730W UN432 OMATO UJ16 OAX</t>
  </si>
  <si>
    <t>S12R T12R6 UN418 2054N08658W 2053N08701W 2052N08703W 2049N08736W 2049N08740W UBVOV UT101 UMAVO/N0462F300 UT101 ENAGA ENAGA3A</t>
  </si>
  <si>
    <t>UDGUV2A UDGUV NUBIT RIBET UT101 ENAGA DCT OVAGO UT123 IKLOK/N0450F220 UT123 IGSON IGSON1B</t>
  </si>
  <si>
    <t>S12R T12R6 UN418 2056N08654W L09 2054N08703W 2054N08706W 2051N08728W UN432 MID NOTEN UT37 AVRAV DCT MAM/N0436F390 J25 GROSZ/N0439F400 J25 BRO DCT THX DCT HOOLR DXEEE3</t>
  </si>
  <si>
    <t>S12R T12R6 UN418 UN409 UN419 UN432 2050N08736W 2049N08739W MID NOTEN UT37 EBDUB DCT ETMES UJ53 LIBOX/N0469F340 UJ53 REX DCT DLF DCT KOBLE DCT ELP DCT PGS DCT BLD DCT BTY DCT RUSME DYAMD5</t>
  </si>
  <si>
    <t>UDGUV2A UDGUV UBVOV UT101 ENAGA DCT OTAGO DCT ATUKA ATUKA1B</t>
  </si>
  <si>
    <t>S12R T12R6 UN418 UN409 UN419 UN432 MID DCT NOTEN UT37 SESNO UJ15E RETOS RETOS1A</t>
  </si>
  <si>
    <t>N8732S</t>
  </si>
  <si>
    <t>S12R 2101N08651W 2100N08649W ENEBA UT27 NOSUG 2221N08658W 2228N08700W IRDOV L214 LEV J35 MCB DCT LIT DCT KRTNY MHOMS3</t>
  </si>
  <si>
    <t>HK5320</t>
  </si>
  <si>
    <t>S12R 2101N08651W CN01 2041N08631W 2039N08629W 2037N08613W 2036N08612W 2034N08602W 2030N08547W OMIRO/N0457F370 UN420 SPP UP530 KAKOL/N0404F230 B689 OPMEL OPME4A</t>
  </si>
  <si>
    <t>S12R 2100N08649W SL0 ENEBA UT27 NOSUG 2202N08657W 2208N08657W IRDOV L214 LEV J35 MCB/N0452F390 J35 MEM/N0450F400 J35 FAM/N0447F410 DCT SPI DCT PHEEB ENDEE8</t>
  </si>
  <si>
    <t>N979UY</t>
  </si>
  <si>
    <t>S12R T12R6 UN415 2058N08641W 2058N08639W 2123N08615W 2127N08612W 2146N08555W PODON UG765 MAXIM SNDBR3</t>
  </si>
  <si>
    <t>S12R 2101N08650W 2039N08630W 2036N08629W 2030N08626W 1954N08605W OMIRO UN420 SPP UP530 KAKOL DCT RNG UQ121 ISVAT ISVA5E</t>
  </si>
  <si>
    <t>1955N08606W</t>
  </si>
  <si>
    <t>N274WN</t>
  </si>
  <si>
    <t>S12R SR00 2059N08647W 2105N08644W L37 OMSUK UM219 ALPUK 2329N08617W SNAKR M219 KNOST Q109 YURCK Q97 SAWED Q108 SIE CAMRN5</t>
  </si>
  <si>
    <t>S12R SR00 SR01 2151N08658W 2158N08703W 2204N08706W KEHLI A766 KELPP NNCEE2</t>
  </si>
  <si>
    <t>S12R SR00 SR01 SR02 SR03 SR04 2153N08700W 2208N08707W 2216N08709W IRDOV L214 LEV DCT GCV/N0461F350 DCT PAYTN DCT SHYRE GNDLF3</t>
  </si>
  <si>
    <t>S12R 2100N08649W SL00 2127N08642W 2139N08624W 2143N08617W 2144N08617W 2149N08609W 2222N08609W 2302N08608W 2315N08608W 2323N08608W NAVVL M219 CULLY/N0467F350 M219 KNOST DCT CAMJO DCT TEEEM Q99 POLYY DCT OGRAE DCT AUDII DCT FAK DCT RBV DCT LLUND DCT CAM DCT JASDU DCT PBERG CARTR5</t>
  </si>
  <si>
    <t>S12R 2101N08651W 2059N08650W 2058N08651W MURBU B764 BUKKY BUKKY1A</t>
  </si>
  <si>
    <t>S12R 2101N08650W MOGOP NC01 2101N08647W 2116N08646W 2143N08633W 2156N08634W 2239N08631W 2254N08627W 2337N08614W NAVVL M219 CIGAR PRICY5</t>
  </si>
  <si>
    <t>CGYLP</t>
  </si>
  <si>
    <t>S12R 2100N08649W SL0 2101N08647W 2114N08648W 2127N08653W 2139N08658W 2141N08658W 2149N08701W IRDOV/M078F380 L214 PLNDR/N0457F380 L214 LEV/N0455F370 DCT WINAP DCT CLOUT DCT KM36M DCT KI51O DCT QWERI NUBER6</t>
  </si>
  <si>
    <t>S12R SR00 SR01 SR02 2122N08652W 2123N08654W 2135N08709W 2246N08723W 2250N08723W 2254N08727W KEHLI A766 KELPP NNCEE2</t>
  </si>
  <si>
    <t>S12R 2101N08650W MOGOP 2100N08646W 2101N08646W 2116N08644W 2134N08634W 2138N08629W 2151N08627W 2218N08624W 2232N08632W 2233N08633W 2241N08647W 2341N08618W 2351N08610W NAVVL M219 CIGAR M215 KNOST Q109 DEANR/N0441F380 DCT DAWWN DCT BEORN HOBTT3</t>
  </si>
  <si>
    <t>S12R T12R6 UN418 UN409 UN419 2052N08723W 2051N08728W MID DCT NOTEN UT37 ULUMA DCT MTY UT11 SINLO SINLO1A</t>
  </si>
  <si>
    <t>S12R T12R6 UN418 UN409 UN419 UN432 2049N08738W TAJIN DCT VITOS VITOS2A</t>
  </si>
  <si>
    <t>S12R 2101N08651W 2057N08639W 2051N08631W 2050N08630W 2046N08627W 2045N08626W 2032N08611W ALYRE TAKUX UM782 OMIRO/N0446F370 UN420 PELRA DCT SPP DCT SEKMA OSUPA2</t>
  </si>
  <si>
    <t>UDGUV2A UDGUV DCT 2050N08816W 2050N08823W NOTEN UT37 SESNO UJ15E RETOS RETOS1A</t>
  </si>
  <si>
    <t>HTT103</t>
  </si>
  <si>
    <t>CYYT</t>
  </si>
  <si>
    <t>CGBSW</t>
  </si>
  <si>
    <t>S12R SR00 SR01 SR02 OMSUK 2134N08644W 2205N08627W MYDIA M219 NAVVL DCT SMOGS DCT ALROE DCT VPEGV DCT JAWSS DCT HOLDO DCT JRDAN AR19 SAGGY DCT BTTRS DCT RCHIE DCT LARGE DCT DOVEY DCT RLERI DCT SUTKO DCT PERLU DCT</t>
  </si>
  <si>
    <t>S12R 2101N08650W 2100N08649W 2101N08647W 2101N08644W SR05 ENEBA 2130N08654W 2129N08654W 2138N08655W 2139N08655W 2148N08657W ALKIM UT45 IRDOV L214 LEV DCT GCV/N0457F370 DCT PAYTN DCT SHYRE GNDLF3</t>
  </si>
  <si>
    <t>N828RX</t>
  </si>
  <si>
    <t>MMJC</t>
  </si>
  <si>
    <t>S12R 2100N08650W CN01 2056N08650W UN608 DUPIX 2034N08731W UBVOV UT101 UMAVO UT169 VITOS DC SLM DCT</t>
  </si>
  <si>
    <t>SWA390</t>
  </si>
  <si>
    <t>N8727M</t>
  </si>
  <si>
    <t>S12R 2101N08649W 2101N08648W 2102N08647W 2123N08652W 2122N08653W 2139N08658W 2202N08704W 2205N08705W 2303N08732W IRDOV DAGGR DCT LEV/N0470F370 J31 MEI DCT IGB/N0466F380 DCT KISTS CHSNE3</t>
  </si>
  <si>
    <t>S12R 2101N08651W T12R6 2101N08639W 2104N08631W 2105N08630W 2117N08611W 2118N08609W 2123N08602W 2132N08531W MAXIM Y262 LULLS Y642 JITGO/M083F370 Y642 GRATX M329 BALTN DCT BALOO DCT 36N060W/N0481F370 DCT 40N050W DCT 42N040W/M084F370 DCT 44N030W DCT 46N020W DCT 47N015W DCT ETIKI/M084F400 DCT REGHI/N0477F400 DCT OZNOH DCT BULOX DCT TABOV/N0474F390 DCT RESMI DCT TEPRI DCT POGZI DCT GELTA DCT LUVAL/N0478F390 DCT BEGAR DCT TRA/N0479F390 DCT GAMSA/N0478F390 DCT UMVEG DCT BEDOX DCT ZINPE DCT ETIDA T390 RILEX</t>
  </si>
  <si>
    <t>S12R 2101N08651W T12R6 2101N08649W 2101N08648W ENEBA 2135N08654W 2135N08655W 2137N08655W 2208N08708W 2212N08711W 2238N08721W 2240N08721W 2250N08721W 2307N08721W IRDOV TRESR L333 HRV DCT MCB DCT MHZ/N0452F350 DCT IZAAC/N0452F320 DCT MEMFS DCT STL/N0449F320 DCT IOW DCT MNOSO BLUEM5</t>
  </si>
  <si>
    <t>2059N08654W UN605 2051N08736W 2050N08739W UDGUV 2050N08845W 2050N08848W NOTEN UT37 ULUMA DCT MTY DCT TASTO DCT ILAMA UT41 ELURO/N0447F320 UT41 NADIS/N0438F300 DCT AVRIL UJ3 TANRI TANRI1B</t>
  </si>
  <si>
    <t>N14502</t>
  </si>
  <si>
    <t>S12R T12R6 2059N08651W 2058N08653W UDGUV DCT MID NOTEN/N0455F380 UT37 EBDUB DCT ETMES UJ53 REX DCT DLF DCT PNH DCT ZIGEE NIIXX4</t>
  </si>
  <si>
    <t>S12R 2101N08651W 2058N08651W UDGUV DCT 2055N08913W 2055N08914W 2212N09208W 2215N09216W 2244N09256W 2336N09411W MAM DCT BRO/N0455F380 J25 SAT/N0453F390 DCT GUTZZ BOOVE7</t>
  </si>
  <si>
    <t>2336N09411W</t>
  </si>
  <si>
    <t>S12R T12R6 2100N08651W 2057N08651W 2052N08730W 2053N08757W MID DCT LIDAM UT23 TAM UJ14 TMN DCT MORAS UJ17 QET DCT</t>
  </si>
  <si>
    <t>N8316H</t>
  </si>
  <si>
    <t>S12R 2100N08649W SL0 2100N08646W 2102N08646W 2103N08646W T12L7 ENEBA NOSUG 2208N08658W 2218N08702W KEHLI A766 KELPP BAYYY5</t>
  </si>
  <si>
    <t>CFPRP</t>
  </si>
  <si>
    <t>S12R 2059N08647W SL00 NC011 ENEBA 2129N08654W 2128N08654W 2140N08657W 2144N08700W IRDOV/M077F340 L214 PLNDR/N0459F340 L214 LEV DCT LOOSE/N0452F360 DCT LNK DCT WILTN DCT YMJ DCT REFEX DCT CAMRA IGSOX3</t>
  </si>
  <si>
    <t>S12R 2059N08647W UN621 2103N08642W L42 2112N08642W 2136N08639W 2137N08639W XOPGI UM219 MYDIA M219 CIGAR RAYZZ3</t>
  </si>
  <si>
    <t>UDGUV2A UDGUV DCT MID DCT LIDAM UT23 TAM UJ14 TMN UT147 SLP UJ40 LIBOL LIBOL1B</t>
  </si>
  <si>
    <t>ENEBA2A ENEBA UT27 NOSUG IRDOV L214 LEV J35 MCB/N0452F390 J35 MEM BOOSH3</t>
  </si>
  <si>
    <t>UDGUV2A UDGUV UBVOV UT101 UMAVO/N0461F300 UT101 ENAGA ENAGA3A</t>
  </si>
  <si>
    <t>UDGUV2A UDGUV DCT 2054N08909W 2055N08918W NOTEN UT37 EBDUB DCT NUGUS/N0464F350 UJ59 MAM DCT BRO/N0461F360 J25 SAT/N0458F350 DCT GUTZZ BOOVE7</t>
  </si>
  <si>
    <t>N986AN</t>
  </si>
  <si>
    <t>S12R 2101N08650W SL0 NC011 2101N08646W OMSUK 2141N08643W 2204N08634W 2223N08625W 2229N08623W 2237N08623W 2255N08625W 2255N08626W 2309N08627W 2315N08626W 2327N08623W 2331N08622W MYDIA M219 KNOST DCT DEANR DCT BRUTS Q109 CAMJO DCT TWINS DCT PONZE BANKR8</t>
  </si>
  <si>
    <t>UDGUV2A UDGUV UT78 DURPI DCT NOTEN UT37 EBDUB/N0353F220 UT37 SESNO UJ15E RETOS RETOS1A</t>
  </si>
  <si>
    <t>ENEBA2A ENEBA UT27 NOSUG 2219N08658W 2227N08658W KEHLI A766 KELPP NNCEE2</t>
  </si>
  <si>
    <t>UDGUV2A UDGUV MID 2141N09346W 2142N09354W XOPMA UJ46 CDR UL655 PPE J93 AXASA/N0460F300 J93 ASUTA DCT AMMOR OLAAA2</t>
  </si>
  <si>
    <t>2159N09459W</t>
  </si>
  <si>
    <t>UDGUV2A UDGUV UT78 UKOKO UBVOV DCT UMAVO UT101 ENAGA ENAGA3A</t>
  </si>
  <si>
    <t>OMSUK2A OMSUK UM219 RAKAR 2248N08627W 2312N08630W 2326N08631W 2337N08629W 2346N08626W NAVVL M219 KNOST Q109 DFENC DCT SAWED Q108 SIE CAMRN5</t>
  </si>
  <si>
    <t>2403N08614W</t>
  </si>
  <si>
    <t>UDGUV2A UDGUV UT78 DURPI 2042N09243W 2038N09350W VOKIR UT101 UMAVO UT169 VITOS VITOS2A</t>
  </si>
  <si>
    <t>UDGUV2A UDGUV UT78 DURPI DCT UBVOV UT20 PAZ UT104 ELVED/N0449F300 UT104 LENUL LENUL2B</t>
  </si>
  <si>
    <t>N597JB</t>
  </si>
  <si>
    <t>S12R T12R6 2055N08640W 2055N08639W B30L3 SEVKA NUDAL UV106 PODON UG765 MAXIM BHHIA3</t>
  </si>
  <si>
    <t>S12R 2101N08650W T12R6 2100N08648W 2059N08647W UN621 SL01 SR04 ENEBA 2134N08653W 2139N08654W IRDOV L214 LEV DCT GCV/N0464F350 DCT PAYTN DCT SHYRE GNDLF3</t>
  </si>
  <si>
    <t>N662JB</t>
  </si>
  <si>
    <t>S12R SR00 SR01 SR02 2104N08644W 2124N08650W 2137N08654W 2147N08651W 2226N08640W 2333N08614W 2345N08612W MYDIA M219 CIGAR PRICY5</t>
  </si>
  <si>
    <t>UDGUV2A UDGUV UT78 DURPI 2050N09111W 2048N09122W VOKIR UT101 UMAVO/N0438F300 UT101 ENAGA ENAGA3A</t>
  </si>
  <si>
    <t>N1804U</t>
  </si>
  <si>
    <t>S12R SR00 SR01 SR02 SR03 SR04 SR05 SR06 SR07 SR08 SR09 SR10 SR11 SR12 SR17 SR18 2132N08653W 2141N08655W 2308N08633W 2326N08634W 2342N08629W 2405N08624W SNAKR M219 KNOST Q109 CAMJO Q99 OGRAE DCT GOOOB DCT THHMP RAVNN9</t>
  </si>
  <si>
    <t>VJT732</t>
  </si>
  <si>
    <t>KBED</t>
  </si>
  <si>
    <t>9HVJD</t>
  </si>
  <si>
    <t>S12R 2122N08640W 2132N08631W 2144N08625W 2202N08617W 2213N08623W 2216N08624W 2239N08627W 2313N08630W MYDIA M219 CIGAR DCT BRUTS DCT DEQUE DCT AHOEY DCT HBUDA DCT BROSS Q419 DPK DCT</t>
  </si>
  <si>
    <t>N887NN</t>
  </si>
  <si>
    <t>S12R T12R6 UN418 UN409 UN419 2051N08730W 2050N08736W 2051N08740W 2121N08922W 2122N08929W NOTEN UT37 EBDUB DCT NUGUS/N0448F370 UJ59 MAM DCT BRO/N0446F380 J25 SAT/N0438F370 DCT GUTZZ BOOVE7</t>
  </si>
  <si>
    <t>S12R T12R6 UN402 1951N08702W 1924N08713W URNOS URNOS2</t>
  </si>
  <si>
    <t>1823N08734W</t>
  </si>
  <si>
    <t>S12R SR00 SR01 SR02 SR03 2131N08652W 2207N08707W 2239N08703W 2254N08701W 2320N08702W PISAD L333 HOOCK DCT MEMFS/N0455F380 DCT FTZ TRTLL6</t>
  </si>
  <si>
    <t>N156AN</t>
  </si>
  <si>
    <t>S12R SR00 SR01 2122N08650W 2134N08656W 2151N08707W 2154N08708W 2158N08711W 2206N08715W 2209N08717W 2218N08720W 2219N08722W 2224N08725W 2245N08737W 2247N08733W LAYKE 2323N08724W 2351N08718W 2354N08711W X333 MINOW M215 KNOST DCT DEANR DCT BRUTS Q109 CAMJO/N0462F370 DCT TWINS DCT PONZE BANKR8</t>
  </si>
  <si>
    <t>2415N08701W</t>
  </si>
  <si>
    <t>S12R SR00 SR01 2108N08646W 2111N08645W 2124N08643W LENUK UB646 CANOA DCT EYW DCT</t>
  </si>
  <si>
    <t>S12R 2102N08652W 2054N08731W 2052N08737W 2055N08809W 2106N08918W 2132N09152W 2133N09158W 2135N09208W 2136N09222W 2144N09315W 2151N09359W 2152N09413W 2154N09458W TMN UT147 AGU UT44 MEZCA MEZCA1A</t>
  </si>
  <si>
    <t>S12R T12R6 2029N08621W 1925N08539W PELRA UN420 TBG UM674 TCO/N0442F370 UM674 ATATU ATATU4</t>
  </si>
  <si>
    <t>UDGUV2A UDGUV 2048N08749W 2042N08831W 2052N08847W UBVOV UT101 UMAVO/N0461F300 UT101 ENAGA ENAGA3A</t>
  </si>
  <si>
    <t>N965JT</t>
  </si>
  <si>
    <t>S12R SR00 SR01 2124N08644W 2147N08639W 2152N08639W 2205N08634W 2211N08633W 2232N08631W 2239N08633W 2247N08632W 2326N08628W 2340N08621W 2403N08609W 2410N08606W SNAKR M219 KNOST Q109 DFENC DCT SAWED Q108 SIE CAMRN5</t>
  </si>
  <si>
    <t>N803DN</t>
  </si>
  <si>
    <t>UDGUV2A UDGUV DCT 2049N08755W 2041N08820W 2051N08843W PERGO UT37 EBDUB J177 IPRUL/N0460F350 UT151 PLAYA/N0460F360 UT151 MAM DCT LRD DCT DLF DCT INK J15 CME DCT CNX DCT RSK DCT RIFMN DCT HELPR JAZZZ1</t>
  </si>
  <si>
    <t>N1805U</t>
  </si>
  <si>
    <t>S12R T12R6 UN418 UN409 2052N08759W 2104N08826W 2107N08835W 2108N08838W 2113N08851W NOTEN/N0461F380 UT37 AVRAV DCT PLAYA DCT MAM DCT DLF DCT BGS DCT LBB DCT ZIGEE DCT HGO J20 QUAIL DCT JEFEL</t>
  </si>
  <si>
    <t>N454AL</t>
  </si>
  <si>
    <t>UDGUV2A UDGUV DCT 2049N08751W 2059N08820W 2104N08840W 2119N08920W 2245N09249W 2247N09259W NOTEN UT37 AVRAV DCT REX UJ13 CAMUI UJ2 MOV UT3 AGNID DCT CUS DCT DRRVR PINNG1</t>
  </si>
  <si>
    <t>S12R SR00 SR01 SR02 2134N08653W 2142N08658W 2147N08701W 2357N08756W 2436N08800W DAGGR L214 PLNDR/N0461F360 L214 LEV DCT DEBII DCT KK36E DCT PEABO DCT KK54C DCT NUXRO DCT RECAP DCT BEVEL DCT VESDO DCT EBGAL EBGAL7</t>
  </si>
  <si>
    <t>UDGUV2A UDGUV UJ84 X84 2039N08825W 2031N08903W 2019N08943W 1948N09012W 1911N09042W PQE V51 TGZ</t>
  </si>
  <si>
    <t>NUDAL1A NUDAL UV106 PODON UG765 MAXIM Y262 LULLS Y642 GRATX/M084F390 M329 BALTN DCT LAZEY DCT 35N060W DCT 40N050W DCT 43N040W DCT 46N030W DCT 47N025W DCT KOGAD DCT BIMGO DCT LULOX/N0479F390 DCT SIDDI DCT DAWLY DCT ELRIP DCT OTMET OTMET1G</t>
  </si>
  <si>
    <t>S12R SR00 SR01 NOSUG 2347N08752W DAGGR L214 LEV/N0478F330 DCT SJI DCT CATLN Q22 UMBRE DCT QUART PHLBO4</t>
  </si>
  <si>
    <t>2429N08809W</t>
  </si>
  <si>
    <t>S12R 2100N08649W 2101N08647W 2147N08641W 2203N08649W 2216N08652W 2219N08652W 2237N08650W 2248N08651W 2301N08646W 2303N08646W 2333N08634W SNAKR M219 CIGAR DCT DEANR/N0456F370 Q109 CAMJO Q99 OGRAE DCT BZNGA DCT DORRN CAVLR7</t>
  </si>
  <si>
    <t>S12R SR00 SR01 SR02 SR03 2101N08644W 2116N08645W ROTGI 2218N08634W 2233N08635W 2235N08636W 2247N08638W 2253N08640W 2323N08650W 2331N08652W 2338N08654W SNAKR M219 CIGAR DCT BULZI/N0450F360 DCT LUCKK DCT RESPE DCT HCH DCT SWAPP DCT TTH DCT TRICH BENKY6</t>
  </si>
  <si>
    <t>2406N08628W</t>
  </si>
  <si>
    <t>UDGUV2A UDGUV DCT 2058N08937W 2107N08942W NOTEN UT37 EBDUB DCT ETMES UJ53 REX DCT DLF/N0481F300 DCT PNH DCT ZIGEE NIIXX4</t>
  </si>
  <si>
    <t>S12R SR00 SR01 SR02 2059N08644W 2112N08645W ROTGI UM219 XOPGI UB646 CANOA SNDBR3</t>
  </si>
  <si>
    <t>UDGUV2A UDGUV UJ84 X84 2039N08825W 2042N08847W 2041N08904W MD811 2028N08942W 2023N09001W 2020N09009W 2012N09034W 2008N09042W 2007N09045W 2006N09045W 2003N09050W NOPON UJ9 VSA DCT</t>
  </si>
  <si>
    <t>UDGUV2A UDGUV UT78 DURPI DCT NUBIT DCT RIBET UT101 ENAGA DCT OVAGO UT123 IKLOK/N0450F220 UT123 IGSON IGSON1B</t>
  </si>
  <si>
    <t>S12R T12R6 UN418 CZA 1950N09028W 1948N09036W RETOM DCT</t>
  </si>
  <si>
    <t>1829N09517W</t>
  </si>
  <si>
    <t>XCLRD</t>
  </si>
  <si>
    <t>S12R SR00 SR26 SR27 SR28 SR29 CZA 2037N08831W 2034N08841W MTT UJ16 OAX UJ39 CUA DCT</t>
  </si>
  <si>
    <t>SWA171</t>
  </si>
  <si>
    <t>N8716B</t>
  </si>
  <si>
    <t>UDGUV2A UDGUV UT78 DURPI DCT NOTEN UT37 SESNO UJ15E MTY UJ15 MOV DCT XOXIL DCT MRF Q166 ELP DCT RUTER J86 INW DCT HAHAA RKSTR4</t>
  </si>
  <si>
    <t>HP9816</t>
  </si>
  <si>
    <t>S12R TAKUX UM782 OMIRO UN420 PELRA DCT SPP DCT SEKMA OSUPA2</t>
  </si>
  <si>
    <t>HK5424</t>
  </si>
  <si>
    <t>S12R TAKUX UM782 OMIRO/N0458F370 UN420 SPP UP530 KAKOL/N0455F370 DCT RNG UQ121 ISVAT ISVA5E</t>
  </si>
  <si>
    <t>S12R SR00 SR01 SR02 SR03 SR04 SR05 OMSUK UM219 MYDIA M219 CIGAR DCT BRUTS DCT ESENT DCT FLO DCT ARGAL DCT COLIN DCT RIDGY DCT FEXXX DCT LBSTA DCT EBONY DCT ITPAX DCT SATIP/N0393F270 DCT TUDEP/M074F270 DCT 52N050W DCT 53N040W DCT 53N030W DCT 53N020W DCT MALOT/N0428F330 DCT GISTI/N0404F330 DCT BOFUM Q37 MALUD MALUD1M</t>
  </si>
  <si>
    <t>S12R T12R6 UN418 UN409 UN419 UN432 2051N08739W 2052N08751W NOTEN UT37 SESNO UJ15E RETOS RETOS1A</t>
  </si>
  <si>
    <t>S12R T12R6 UN418 2056N08657W UN703 UDGUV DCT 2053N08844W 2053N08851W 2101N08900W 2105N08902W 2112N08907W NOTEN UT37 SESNO UJ15E RETOS RETOS1A</t>
  </si>
  <si>
    <t>S12R 2101N08650W T12R6 SL0 2101N08647W NC29 2113N08646W 2113N08647W 2126N08647W 2125N08647W NNE25 2128N08646W 2135N08642W 2140N08638W 2154N08633W 2206N08630W 2245N08639W 2304N08649W 2328N08644W 2332N08644W 2340N08642W 2348N08630W 2355N08615W 2355N08541W CANOA SNDBR3</t>
  </si>
  <si>
    <t>UDGUV2A UDGUV MID NOTEN UT37 EBDUB DCT NUGUS/N0458F350 UJ59 MAM/N0458F360 DCT LRD DCT KOBLE DCT POAKE DCT PARKA DCT KU78K DCT YKM DCT PAE GRIZZ1</t>
  </si>
  <si>
    <t>S12R 2100N08650W MOGOP SL0 ENEBA UT27 NOSUG KEHLI A766 KELPP NNCEE2</t>
  </si>
  <si>
    <t>S12R 2101N08650W 2100N08649W SL0 2102N08647W 2121N08651W 2129N08655W 2135N08700W 2136N08702W 2156N08718W 2206N08731W KEHLI A766 KELPP BAYYY5</t>
  </si>
  <si>
    <t>S12R T12R6 UN418 UN409 UN419 2051N08732W UBVOV UT101 UMAVO/N0457F300 UT101 ENAGA ENAGA3A</t>
  </si>
  <si>
    <t>UDGUV2A UDGUV UT78 UKOKO 2049N08828W 2050N08832W LIDAM UT23 TAM UJ14 TMN UT147 SLP</t>
  </si>
  <si>
    <t>CFSKZ</t>
  </si>
  <si>
    <t>S12R 2101N08650W MOGOP NC01 NC29 ENEBA 2139N08655W XORAR 2222N08736W 2245N08758W KEHLI/M080F320 A770 DOLPH/N0478F320 A770 LEV J35 MCB DCT LIT/N0474F340 DCT KM36G DCT KD54A DCT KD66U DCT CKW DCT DBS J52 DOXIE DCT METOW GRIZZ1</t>
  </si>
  <si>
    <t>KOW90</t>
  </si>
  <si>
    <t>N90FX</t>
  </si>
  <si>
    <t>S12R 2100N08649W SR00 SR01 SR02 SR03 OMSUK 2127N08646W 2148N08643W MYDIA M219 CIGAR DCT CLAMP DCT TEUFL Q75 SHRIL DCT RAANE Q99 HURLE DCT METRO DCT</t>
  </si>
  <si>
    <t>N872DN</t>
  </si>
  <si>
    <t>UDGUV2A UDGUV DCT MID NOTEN UT37 EBDUB DCT REX DCT DLF DCT KOBLE DCT FST/N0463F340 DCT EWM Q180 BXK/N0463F320 DCT ESTWD HLYWD1</t>
  </si>
  <si>
    <t>UDGUV2A UDGUV UT78 UKOKO 2049N08830W LIDAM UT23 TAM UJ14 TMN DCT MORAS UJ17 QET</t>
  </si>
  <si>
    <t>N728AV</t>
  </si>
  <si>
    <t>TAKUX2A TAKUX UM782 OMIRO/N0458F370 UN420 SPP UP530 KAKOL/N0455F370 DCT RNG UQ121 ISVAT ISVAT5E</t>
  </si>
  <si>
    <t>UDGUV2A UDGUV 2032N08926W 2033N08944W 2033N09005W 2033N09012W 2027N09048W 2026N09115W OMPAN OMPAN1A</t>
  </si>
  <si>
    <t>GRAPHIC 2: DEPARTURES BY HOUR AND SID - THU OCT 1, 2026</t>
  </si>
  <si>
    <t>GRAPHIC 1: DEPARTURES BY HOUR AND SID - THU OCT 1, 2026</t>
  </si>
  <si>
    <t>S12R T12R6 UN418 UN409 2052N08720W 2052N08727W UKOKO UT78 MEDOS UT20 UBVOV UT101 UMAVO/N0469F300 UT101 ENAGA ENAGA3A</t>
  </si>
  <si>
    <t>S12R T12R6 2058N08645W 2056N08641W 2047N08621W 2022N08607W OMIRO UN420 TBG UM674 TCO/N0448F370 UM674 ATATU ATATU4</t>
  </si>
  <si>
    <t>S12R T12R6 UN418 UN409 UN419 UN432 2050N08735W 2056N08811W 2058N08818W 2102N08838W 2102N08840W 2105N08851W 2106N08857W NOTEN UT37 ULUMA DCT ONDEV UJ53 REX DCT</t>
  </si>
  <si>
    <t>UDGUV2A UDGUV UT78 DURPI DCT NUBIT DCT RIBET UT101 ENAGA DCT OVAGO UT123 IKLOK/N0448F220 UT123 IGSON IGSON1B</t>
  </si>
  <si>
    <t>XAKDN</t>
  </si>
  <si>
    <t>UDGUV2A UDGUV DCT 2049N08754W 2049N08756W 2050N08758W 2102N08846W NOTEN UT37 SESNO UJ15E RETOS DCT</t>
  </si>
  <si>
    <t>S12R T12R6 UN418 UN409 UN419 UN432 2050N08735W 2049N08740W NOTEN UT37 SESNO UJ15E RETOS RETOS1A</t>
  </si>
  <si>
    <t>S12R T12R6 2058N08653W 2102N08726W UBVOV DCT UMAVO UT101 ENAGA ENAGA3A</t>
  </si>
  <si>
    <t>S12R SR00 SR01 ROTGI UM219 MYDIA/M083F370 M219 CULLY/N0485F370 M219 CIGAR DCT KNOST DCT TAALR DCT SAV DCT RDU DCT BBOBO Q22 RBV DCT JFK DCT FOXWD DCT BOS DCT EBONY N633A RIKAL/M082F380 NATX 53N050W/M082F390 NATX MALOT/N0477F390 NATX GISTI DCT NORLA DCT PEWBI DCT TACQI DCT FONZU DCT ELRIP DCT OTMET OTMET1G</t>
  </si>
  <si>
    <t>S12R 2101N08650W CN01 2112N08555W MAXIM Y262 LULLS Y642 DROWN/M084F390 Y642 GRATX DCT DUNIG M330 SHEIL DCT NUMBR DCT 33N060W/M084F390 3730N05000W 3930N04000W 40N030W 4030N02000W DCT DETOX/N0480F380 DCT PRT DCT IBERO DCT ADORO L155 ZMR</t>
  </si>
  <si>
    <t>XAILS</t>
  </si>
  <si>
    <t>S12R T12R6 UN418 UN409 UN419 2052N08728W LIDAM UT23 TAM UJ14 TMN DCT MORAS UJ17 QET</t>
  </si>
  <si>
    <t>S12R 2100N08649W NC29 ENEBA UT27 NOSUG 2201N08657W 2207N08658W 2214N08700W 2219N08702W 2228N08705W KEHLI/M079F340 A770 ALGAE/M079F360 A770 DOLPH/N0469F360 A770 LEV/N0466F370 J31 MEI DCT BWG DCT ROD DCT QWERI NUBER6</t>
  </si>
  <si>
    <t>S12R T12R6 UN418 UN409 2050N08736W 2049N08739W UDGUV JOTAS 1855N09134W 1854N09136W 1854N09139W 1850N09209W 1840N09217W AGAVE UJ9 VSA</t>
  </si>
  <si>
    <t>S12R T12R6 2059N08648W BOTOP ALYRE TAKUX UM782 OMIRO UN420 BONOS/N0450F390 UN420 SPP DCT VUNIB DCT SIROT DCT KUBEK DCT RNG DCT ISVAT ISVAT5E</t>
  </si>
  <si>
    <t>UDGUV2A UDGUV UT78 VIKMO 2042N09334W ENAGA ENAGA3A</t>
  </si>
  <si>
    <t>S12R T12R6 2102N08645W CN08 2108N08647W SR18 2114N08647W 2120N08646W 2134N08651W 2138N08653W 2143N08656W 2213N08702W 2246N08711W 2249N08707W 2304N08708W 2308N08706W 2312N08708W 2315N08704W MYDIA M219 CULLY/N0475F370 M219 CIGAR DCT KJ87Q DCT OTK DCT IRQ DCT ESL DCT PSB J59 SYR DCT BAREE DCT NEEKO/M081F390 DCT 54N050W 55N040W 55N030W 54N020W DCT DOGAL/N0471F390 DCT BEXET DCT DEXEN UY124 DOLOP DCT KEPAD L15 FINMA DCT CHT DCT ITVIP DCT KONAN UL607 SPI T180 NIVNU/N0397F310 T847 TUTOV TUTOV1A</t>
  </si>
  <si>
    <t>S12R T12R6 UN415 UN413 2106N08615W 2106N08614W 2107N08553W 2106N08552W 2059N08511W PODON UG765 MAXIM Y262 LULLS Y642 GRATX/M085F370 M329 BDA DCT BALOO DCT 35N060W DCT 39N050W DCT 42N040W DCT 44N030W DCT 45N020W/M085F390 DCT 46N010W DCT SIVIR DCT RIVAK/N0481F400 DCT GALOF DCT PECNO DCT VALKU/N0481F390 DCT TIS DCT MEBAK DCT GIPNO DCT BALSI DCT OBIGO DCT ROBEX DCT LAPRI/N0477F410 DCT MOGBO DCT ELB DCT ELKAP ELKAP3A</t>
  </si>
  <si>
    <t>2103N08531W</t>
  </si>
  <si>
    <t>S12R T12R6 UN418 UN409 UN419 UN432 2128N09228W 2124N09244W 2110N09333W 2105N09405W 2103N09431W TMN UT147 AGU UT44 MEZCA MEZCA1A</t>
  </si>
  <si>
    <t>2110N09459W</t>
  </si>
  <si>
    <t>S12R T12R6 UN418 UN409 UN419 UN432 2045N08913W 2055N08959W 2059N09012W 2107N09048W 2057N09104W ELVED UT104 LENUL LENUL3A</t>
  </si>
  <si>
    <t>UDGUV2A UDGUV UT78 UKOKO UMAVO UT101 ENAGA ENAGA3A</t>
  </si>
  <si>
    <t>XACAP</t>
  </si>
  <si>
    <t>UDGUV2A UDGUV UT78 DURPI 2051N09025W 2051N09027W NUBIT RIBET UT101 ENAGA ENAGA3A</t>
  </si>
  <si>
    <t>UDGUV2A UDGUV 2055N08750W 2055N08758W 2053N09021W 2053N09033W NUBIT RIBET UT101 UMAVO/N0456F300 UT101 ENAGA ENAGA3A</t>
  </si>
  <si>
    <t>S12R T12R6 UN418 UN409 UN419 UN432 2059N08740W 2103N08749W 2104N08801W UBVOV DCT UMAVO UT101 ENAGA ENAGA3A</t>
  </si>
  <si>
    <t>S12R T12R6 UN418 UN409 2053N08714W 2101N08736W 2119N08753W 2119N08819W UBVOV UT20 TAJIN DCT VITOS VITOS2A</t>
  </si>
  <si>
    <t>S12R T12R6 2100N08645W UN100 SEVKA NUDAL UR506 KALNO VETSI2A</t>
  </si>
  <si>
    <t>S12R T12R6 2100N08650W 2058N08652W 2052N08722W 2051N08729W 2057N08739W 2138N08832W 2138N08924W 2147N08951W NOTEN UT37 SESNO UJ15E RETOS RETOS1A</t>
  </si>
  <si>
    <t>HP1836</t>
  </si>
  <si>
    <t>ALSUP1C ALSUP UB881 ANIKO/N0458F390 UB881 BTO UM206 ANSON DCT AROVI VUMAN2</t>
  </si>
  <si>
    <t>S12R T12R6 UN418 2058N08656W UN153 UDGUV UT78 MEDOS UT20 UBVOV UT101 UMAVO/N0456F300 UT101 ENAGA ENAGA3A</t>
  </si>
  <si>
    <t>S12R T12R6 2059N08646W 2100N08642W SEVKA NUDAL UV106 PODON/N0464F410 UG765 FRANT UR522 UHA UR628 UVA UM348 OTOSI/M081F410 UM348 MEDKO M348 ALBBE/N0462F410 UM348 PTA UL343 LRN DCT</t>
  </si>
  <si>
    <t>S12R T12R6 UN418 UN409 UBVOV UT101 ENAGA DCT OTAGO DCT ATUKA ATUKA1B</t>
  </si>
  <si>
    <t>N69816</t>
  </si>
  <si>
    <t>S12R 2101N08651W SL0 NC011 2109N08649W 2129N08656W 2136N08659W 2205N08711W 2214N08714W 2216N08718W 2224N08745W 2226N08755W 2232N08816W 2249N08913W 2255N08922W 2256N08926W 2316N09010W IPSEV L207 SEAGL NNCEE2</t>
  </si>
  <si>
    <t>NUDAL1A NUDAL UV106 PODON UG765 MAXIM Y262 TUNSL DCT FEMID Q118 CHRRI/N0461F380 Q118 SHEEK Q110 DAWWN DCT BEORN GNDLF3</t>
  </si>
  <si>
    <t>S12R SR00 SR01 NOSUG UT27 OMVIP 2317N08712W 2318N08714W 2319N08714W 2325N08719W DAGGR L214 LEV/N0476F330 DCT SJI DCT CATLN Q22 UMBRE DCT QUART PHLBO4</t>
  </si>
  <si>
    <t>2427N08750W</t>
  </si>
  <si>
    <t>S12R 2100N08650W MOGOP NC29 2102N08645W SR08 OMSUK 2133N08644W 2140N08646W LENUK UB646 CANOA DCT EYW DCT</t>
  </si>
  <si>
    <t>S12R T12R6 UN418 UN409 UN419 UN432 2049N08920W 2047N09243W UBVOV UT101 UMAVO/N0456F300 UT101 ENAGA ENAGA3A</t>
  </si>
  <si>
    <t>N32JE</t>
  </si>
  <si>
    <t>S12R T12R6 UN418 UN409 2054N08717W 2055N08729W 2054N08733W TAGRO UBVOV UT20 PAZ UT104 LENUL DCT</t>
  </si>
  <si>
    <t>N904DH</t>
  </si>
  <si>
    <t>S12R T12R6 UN418 2052N08717W 2052N08719W 2050N08726W UN432 NAPRI NAPRI1A</t>
  </si>
  <si>
    <t>S12R SR00 SR01 SR02 SR03 SR04 ENEBA UT27 OMVIP UT45 ALKIM 2409N08747W 2428N08755W IRDOV L214 DAGGR DCT JEPEG DCT CESAN DCT CRIED WHINY4</t>
  </si>
  <si>
    <t>S12R T12R6 UN418 UN409 2052N08749W 2052N08753W NOTEN UT37 SESNO UJ15E RETOS RETOS1A</t>
  </si>
  <si>
    <t>S12R 2101N08651W 2100N08649W 2054N08650W 2051N08657W VIBLA CZ519 CZM</t>
  </si>
  <si>
    <t>LET5988</t>
  </si>
  <si>
    <t>S12R T12R6 UN418 2056N08654W 2046N08703W 2050N08705W 2050N08713W UBVOV UT20 PAZ UT104 LENUL DCT</t>
  </si>
  <si>
    <t>S12R T12R6 UN418 UN409 2053N08712W 2050N08732W 2050N08735W UBVOV DCT UMAVO UT101 ENAGA ENAGA3A</t>
  </si>
  <si>
    <t>LET7070</t>
  </si>
  <si>
    <t>XASAA</t>
  </si>
  <si>
    <t>S12R T12R6 UN418 UN409 UN419 2051N08732W 2055N08800W 2057N08913W 2059N08918W NOTEN UT37 SESNO UJ15E RETOS DCT</t>
  </si>
  <si>
    <t>UDGUV2A UDGUV DCT 2053N08845W 2054N08848W 2115N08937W NOTEN UT37 SESNO UJ15E RETOS RETOS1A</t>
  </si>
  <si>
    <t>N8320J</t>
  </si>
  <si>
    <t>S12R T12R6 UN418 UN409 IPSEV L207 SEAGL PUCKS4</t>
  </si>
  <si>
    <t>UDGUV2A UDGUV UT78 MEDOS UT20 UBVOV UT101 ENAGA</t>
  </si>
  <si>
    <t>S12R 2059N08647W 2059N08646W 2102N08644W L40 2125N08555W 2124N08555W 2145N08543W CANOA Y196 TUNSL Y262 GOPEY Q87 TIRCO/N0461F380 Q87 ZERBO/N0464F370 Q87 VIYAP Q69 GURGE DCT CAE DCT CLT DCT DANCO DCT EWESS Q69 RICCS DCT OXMAN LINNG3</t>
  </si>
  <si>
    <t>S12R T12R6 UN418 UN409 2052N08719W 2054N08816W PERGO NOTEN/N0448F380 UT37 SESNO UJ15E RETOS RETOS1A</t>
  </si>
  <si>
    <t>S12R SR00 SR01 SR02 SR03 SR04 NOSUG 2212N08658W 2218N08657W 2227N08657W 2257N08649W 2326N08639W 2333N08644W 2337N08648W 2400N08732W 2401N08734W 2408N08745W 2411N08745W 2422N08754W DAGGR DCT JEPEG DCT CESAN DCT CRIED WHINY4</t>
  </si>
  <si>
    <t>S12R 2101N08650W 2012N08653W 2003N08652W 1917N08640W TIBUT UM206 ANSON DCT AROVI VUMAN2</t>
  </si>
  <si>
    <t>1920N08641W</t>
  </si>
  <si>
    <t>S12R T12R6 UN418 UN409 2053N08716W 2054N08736W 2059N08833W 2100N08837W NOTEN DCT LIBOX/N0453F380 DCT MOV UT3 URKOM UJ54 CJS DCT</t>
  </si>
  <si>
    <t>N37510</t>
  </si>
  <si>
    <t>OMSUK2A OMSUK 2132N08647W XHCQ LENUK/N0467F370 UB646 KERVU/N0461F390 UB646 CANOA Y196 TUNSL Y262 ZFP Y319 JAZZI DCT GARIC Q129 YERBA DCT MAYKR DCT TRSSK CAVLR7</t>
  </si>
  <si>
    <t>NUDAL1A NUDAL UV106 PODON UG765 MAXIM Y262 LULLS DCT GOPEY Q87 ONEWY/N0453F340 Q87 ZERBO/N0452F350 Q87 VIYAP Q69 RICCS DCT OXMAN LINNG3</t>
  </si>
  <si>
    <t>S12R 2101N08650W MOGOP 2020N08652W 1942N08716W 1917N08729W TIKIS UG765 AUR DCT</t>
  </si>
  <si>
    <t>UDGUV2A UDGUV UT78 XOLRO/N0451F380 UT78 VIKMO 2048N09258W VITOS VITOS2A</t>
  </si>
  <si>
    <t>S12R T12R6 UN418 UN409 2053N08713W 2053N08718W 2054N08731W 2057N08907W 2100N08913W 2254N09357W 2259N09430W NOTEN UT37 SESNO UJ15E RETOS RETOS1A</t>
  </si>
  <si>
    <t>UDGUV2A UDGUV UT78 UKOKO IPSEV L207 VUH DCT LUKKN WLEEE7</t>
  </si>
  <si>
    <t>S12R T12R6 2042N08651W 2036N08650W 2031N08647W 2028N08645W 2025N08644W 2016N08640W 2014N08639W TIBUT UM206 ANSON DCT AROVI VUMAN2</t>
  </si>
  <si>
    <t>1931N08630W</t>
  </si>
  <si>
    <t>UDGUV2A UDGUV UT78 DURPI DCT UBVOV UT101 UMAVO/N0454F360 UT104 LENUL DCT TLC UJ12 MLM</t>
  </si>
  <si>
    <t>S12R SR00 SR01 SR02 SR03 SR04 SR05 SR06 SR07 SR08 SR09 SR10 SR11 SR12 SR17 SR18 2119N08648W 2120N08647W 2124N08647W 2125N08647W 2132N08648W 2141N08647W 2142N08647W 2144N08647W 2152N08647W 2210N08648W 2215N08649W 2222N08649W 2224N08649W 2225N08648W 2230N08646W 2230N08644W 2244N08625W 2314N08552W SHARQ 2318N08538W CANOA Y196 TUNSL Y262 GOPEY Q87 VIYAP Q69 RICCS DCT PSB DCT SYR DCT ART IMPAC4</t>
  </si>
  <si>
    <t>2102N08652W 2101N08652W 2059N08653W CZM/N0120A025 VFR 2012N08712W 2002N08718W 1956N08726W TL632 1926N08732W</t>
  </si>
  <si>
    <t>2000N08720W 1948N08730W 1939N08734W</t>
  </si>
  <si>
    <t>S12R T12R6 2100N08648W N15S 2032N08622W BONOS UN420 PELRA DCT SPP DCT SEKMA OSUPA2</t>
  </si>
  <si>
    <t>S12R T12R6 UN418 UN409 UN419 2052N08730W 2052N08740W UBVOV UT101 UMAVO/N0457F300 UT101 ENAGA ENAGA3A</t>
  </si>
  <si>
    <t>ENEBA2A ENEBA UT27 OMVIP/N0461F340 UT45 IRDOV L214 DAGGR/N0453F360 L214 PLNDR DCT MEMFS DCT FTZ SHAIN2</t>
  </si>
  <si>
    <t>S12R T12R6 UN418 UN409 UN419 UN432 2050N08737W 2049N08741W LIDAM UT23 TAM UJ14 TMN DCT MORAS UJ17 QET</t>
  </si>
  <si>
    <t>N994AN</t>
  </si>
  <si>
    <t>S12R SR00 2059N08646W 2059N08642W 2102N08640W 2105N08640W NOSUG 2230N08659W 2253N08653W 2306N08650W 2308N08649W 2320N08648W 2350N08651W 2400N08658W DAGGR DCT JEPEG DCT CESAN DCT CRIED WHINY4</t>
  </si>
  <si>
    <t>2417N08710W</t>
  </si>
  <si>
    <t>N131NN</t>
  </si>
  <si>
    <t>S12R T12R6 UN415 UN413 2107N08618W 2118N08604W 2121N08600W 2123N08556W 2130N08538W FRANT UG765 MAXIM Y262 TUNSL Q81 KARTR DCT FEMID/N0447F360 Q118 KPASA Q99 DOFFY/N0446F350 Q99 HEPAR DCT PONZE BANKR8</t>
  </si>
  <si>
    <t>2128N08544W</t>
  </si>
  <si>
    <t>N862NN</t>
  </si>
  <si>
    <t>S12R T12R6 UN418 UN409 UN419 UN432 2049N08739W 2049N08743W 2056N08809W 2101N08825W 2120N08914W 2221N09159W 2246N09308W 2302N09355W 2313N09435W 2344N09626W AVRAV DCT KANNA DCT CRP DCT HOOLR DXEEE3</t>
  </si>
  <si>
    <t>2314N09440W</t>
  </si>
  <si>
    <t>NUDAL1A NUDAL UV106 PODON UG765 MAXIM Y262 ZFP DCT WOLFO AR18 PELCN Y309 FLRDA/N0448F350 DCT IDOLS DCT SKARP Q101 HYPAL/N0436F290 Q101 TUGGR DCT KALDA DCT ZJAAY JIIMS4</t>
  </si>
  <si>
    <t>S12R T12R6 UN415 2056N08641W UN619 2027N08606W 2018N08553W OMIRO/N0449F390 UN420 SPP UP530 KAKOL/N0447F390 DCT RNG UQ121 ISVAT ISVAT5E</t>
  </si>
  <si>
    <t>2006N08543W</t>
  </si>
  <si>
    <t>NUDAL1A NUDAL UV106 PODON UG765 MAXIM DCT TUNSL DCT CYY/N0459F360 DCT LAL DCT JENIM DCT CTY DCT DAWWN DCT BEORN GNDLF3</t>
  </si>
  <si>
    <t>S12R 2059N08648W 2059N08647W SL00 CN021 NC02 2122N08646W 2133N08646W 2142N08647W 2156N08652W 2207N08659W 2208N08659W 2211N08700W 2214N08701W 2224N08707W 2225N08708W 2227N08708W 2231N08707W 2233N08707W 2236N08707W 2248N08707W 2254N08701W 2304N08651W 2318N08640W CANOA DCT EYW DCT TUNSL Q81 KARTR DCT GOODY/N0464F340 DCT MILES DCT RSW DCT LAL DCT OCF DCT JAYJA DCT ENEME/N0458F350 DCT TWINS DCT SUG DCT HMV DCT KONGO DCT HNN/N0457F350 DCT SUBWY CRAKN2</t>
  </si>
  <si>
    <t>2326N08601W</t>
  </si>
  <si>
    <t>S12R T12R6 UN418 UN409 UN419 UN432 UBVOV/N0456F380 UT101 UMAVO/N0473F300 UT101 ENAGA ENAGA3A</t>
  </si>
  <si>
    <t>S12R T12R6 UN418 UN409 UN419 OMATO UJ16 OAX</t>
  </si>
  <si>
    <t>S12R T12R6 UN418 UN409 UN419 2053N08733W 2053N08739W MID DCT 2138N09310W 2140N09319W TMN UT147 AGU UT44 MEZCA MEZCA1A</t>
  </si>
  <si>
    <t>S12R SR00 SR01 SR02 SR03 SR04 SR05 SR06 SR07 SR08 SR09 SR10 2108N08648W 2144N08655W 2145N08655W 2228N08723W 2255N08747W KEHLI A766 KELPP VUH DCT KH06C DCT KF12A/N0466F340 DCT SLIDE DCT KA24W DCT STONY DCT KA30Q DCT PGS DCT BLD DCT BTY DCT RUSME DYAMD5</t>
  </si>
  <si>
    <t>NUDAL1A NUDAL UV106 PODON UG765 MAXIM Y262 ZFP AR23 OZENA Y309 FLRDA DCT SAGGY DCT CHIEZ Q161 KALDA Q108 SIE CAMRN5</t>
  </si>
  <si>
    <t>S12R T12R6 UN418 UN409 2049N08714W 2045N08725W 2019N08812W 2017N08843W PQE/N0327A180 V51 SAXAV V51 TGZ DCT</t>
  </si>
  <si>
    <t>S12R T12R6 UN418 UN409 2101N08712W 2101N08726W 2058N08911W 2057N08914W 2254N09401W 2256N09421W 2256N09435W 2258N09503W ULUMA/N0451F360 UT37 SESNO UJ15E RETOS RETOS1A</t>
  </si>
  <si>
    <t>S12R T12R6 UN418 2057N08658W 2105N08715W 2058N08753W NUBIT DCT RIBET UT101 ENAGA DCT OVAGO UT123 IKLOK/N0450F220 UT123 IGSON IGSON1B</t>
  </si>
  <si>
    <t>S12R T12R6 UN418 UN409 2104N08715W 2107N08719W 2105N08729W 2105N08736W 2104N08741W 2105N08758W 2335N08920W KELPP A766 SBI</t>
  </si>
  <si>
    <t>2429N08958W</t>
  </si>
  <si>
    <t>S12R 2100N08649W SR0 2108N08644W 2113N08649W 2116N08650W ENEBA NOSUG 2153N08656W 2158N08656W 2246N08724W 2258N08743W 2311N08801W 2315N08828W 2313N08846W 2313N08852W 2313N08900W 2317N08907W 2322N08912W 2337N08923W 2341N08923W 2355N08930W 2359N08932W 2406N08936W 2408N08939W 2418N08947W LEV/N0445F370 J31 HRV/N0440F390 DCT IGB DCT HITMN Q139 RINTE DCT QWERI NUBER6</t>
  </si>
  <si>
    <t>2429N08948W</t>
  </si>
  <si>
    <t>S12R 2059N08647W NC011 2107N08643W 2117N08640W 2119N08639W NOSUG UT27 OMVIP UT45 IRDOV L214 LEV J35 MCB/N0455F390 J35 MEM/N0453F380 J35 FAM/N0448F390 DCT SPI DCT PHEEB ENDEE8</t>
  </si>
  <si>
    <t>N834JB</t>
  </si>
  <si>
    <t>S12R 2100N08648W NC01 2108N08641W 2109N08641W 2113N08640W NOSUG UT27 PISAD/N0447F370 M215 SNOMN DCT CHRGE RAYZZ3</t>
  </si>
  <si>
    <t>S12R T12R6 UN415 UN440 2040N08622W ALYRE TAKUX UM782 MEVUB UP406 AKPEK AKPE4C</t>
  </si>
  <si>
    <t>S12R 2100N08648W T12L7 ENEBA UT27 OMVIP UT45 IRDOV L214 LEV J35 MCB DCT LIT DCT KRTNY MHOMS3</t>
  </si>
  <si>
    <t>N276WN</t>
  </si>
  <si>
    <t>S12R T12R6 2059N08647W SL04 NUDAL UV106 PODON UG765 MAXIM Y262 GOPEY Q87 TIRCO/N0454F400 Q87 ZERBO/N0452F410 Q87 RAYVO Q113 AARNN DCT THHMP RAVNN9</t>
  </si>
  <si>
    <t>S12R 2101N08651W 2100N08650W 2058N08650W CZM B764 DAXUM 1944N08714W 1944N08715W MURBU B764 BUKKY BUKKY1A</t>
  </si>
  <si>
    <t>N37420</t>
  </si>
  <si>
    <t>S12R T12R6 UN418 UN409 2046N08706W 2037N08709W 2032N08711W 2029N08712W CZ501 2038N08824W CZA 2042N08838W IPSEV L207 SEAGL NNCEE2</t>
  </si>
  <si>
    <t>S12R 2101N08650W 2100N08647W CN09 ENEBA UT27 OMVIP UT45 IRDOV/M078F360 L214 PLNDR/N0459F360 L214 LEV/N0457F370 DCT WINAP DCT FYLLS DCT QWERI NUBER6</t>
  </si>
  <si>
    <t>S12R T12R6 UN418 UN409 2050N08705W 2043N08714W 2042N08720W 2043N08727W 2045N08849W 2050N08901W 2055N08914W S3617 UBVOV UT20 TAJIN DCT VITOS VITOS2A</t>
  </si>
  <si>
    <t>S12R 2100N08649W 2101N08645W 2104N08643W NOSUG UT27 PISAD M215 CIGAR PRICY5</t>
  </si>
  <si>
    <t>S12R T12R6 UN402 UN408 2035N08653W 1939N08715W TIKIS TIKIS2C</t>
  </si>
  <si>
    <t>N635FR</t>
  </si>
  <si>
    <t>S12R SR00 SR01 NOSUG UT27 OMVIP 2338N08730W 2354N08736W 2405N08742W DAGGR L214 LEV/N0439F390 DCT GCV DCT PAYTN DCT SHYRE HOBTT3</t>
  </si>
  <si>
    <t>HP9916</t>
  </si>
  <si>
    <t>TAKUX2A TAKUX UM782 OMIRO/N0455F370 UN420 PELRA DCT SPP DCT SEKMA OSUPA2</t>
  </si>
  <si>
    <t>S12R T12R6 2058N08652W 2056N08654W 2049N08658W 2042N08703W 2033N08710W 2032N08711W 2020N08722W 2029N08729W CZ910 2032N08814W 2038N08829W 2049N08855W MD611 2053N08912W TAHMK 2002N09246W 2001N09249W GOTAS ALRAD OMPAN1A</t>
  </si>
  <si>
    <t>N8726H</t>
  </si>
  <si>
    <t>S12R T12R6 UN418 UN409 UN419 2052N08728W 2052N08737W 2051N08805W UKOKO 2048N08819W 2045N08835W SEAGL BAYYY5</t>
  </si>
  <si>
    <t>2429N09155W</t>
  </si>
  <si>
    <t>S12R T12R6 UN415 UN413 2108N08610W 2109N08558W MAXIM SNDBR3</t>
  </si>
  <si>
    <t>S12R T12R6 UN418 UN409 2052N08721W 2052N08726W 2048N08810W 2044N08839W 2057N08857W 2103N08910W 2110N08928W 2117N08946W 2122N09004W 2123N09014W LIDAM UT23 TAM UJ14 TMN DCT MORAS UJ17 QET DCT</t>
  </si>
  <si>
    <t>N8734Q</t>
  </si>
  <si>
    <t>S12R 2101N08651W 2100N08649W 2100N08647W 2138N08653W 2221N08707W 2304N08713W 2315N08712W DAGGR DCT LEV/N0458F390 J31 MEI DCT IGB/N0455F400 DCT KISTS CHSNE3</t>
  </si>
  <si>
    <t>N367DN</t>
  </si>
  <si>
    <t>NUDAL1A NUDAL UV106 PODON UG765 MAXIM DCT CYY DCT LAL/N0464F320 DCT MARQO DCT LARZZ SITTH3</t>
  </si>
  <si>
    <t>S12R T12R6 UN418 2055N08659W 2053N08707W 2053N08714W 2047N08809W CT401 2036N08837W 2032N08848W 2024N08917W 2038N08923W 2056N08942W 2101N08946W 2252N09347W 2303N09454W ULUMA DCT MTY DCT TASTO DCT ILAMA UT41 NADIS/N0453F300 DCT AVRIL UJ3 TANRI TANRI1B</t>
  </si>
  <si>
    <t>2303N09454W</t>
  </si>
  <si>
    <t>S12R T12R6 UN418 UN409 UN419 2053N08722W 2055N08736W 2053N08809W 2053N08814W 2153N09030W 2232N09223W 2320N09421W 2354N09452W ULUMA UT37 SESNO UJ15E RETOS RETOS1A</t>
  </si>
  <si>
    <t>N556JB</t>
  </si>
  <si>
    <t>S12R T12R6 UN415 UN413 SEVKA FRANT UG765 MAXIM Y262 ZFP Y319 JAZZI DCT SAGGY DCT CHIEZ Q161 BENCH/N0455F370 Q161 KALDA Q108 SIE CAMRN5</t>
  </si>
  <si>
    <t>N14506</t>
  </si>
  <si>
    <t>S12R T12R6 UN418 UN409 2055N08702W 2055N08706W 2055N08713W 2055N08746W 2056N08758W 2108N08901W ULISO 2243N09305W 2247N09311W 2254N09327W NOTEN UT37 EBDUB DCT ETMES UJ53 REX DCT DLF DCT PNH DCT ZIGEE NIIXX4</t>
  </si>
  <si>
    <t>S12R T12R6 UN415 UN413 2110N08603W 2112N08558W 2117N08549W PODON DCT FRANT UG765 MAXIM DCT EYW DCT KARTR DCT FEMID/N0460F360 Q118 KPASA Q99 DOFFY/N0456F370 Q99 HEPAR DCT PONZE BANKR8</t>
  </si>
  <si>
    <t>S12R 2101N08650W 2100N08648W 2101N08647W NC29 2113N08649W 2117N08649W 2128N08649W 2149N08655W 2150N08655W 2231N08722W 2246N08754W 2415N09151W 2419N09202W SEAGL NNCEE2</t>
  </si>
  <si>
    <t>2429N09210W</t>
  </si>
  <si>
    <t>S12R T12R6 UN418 UN409 2055N08703W 2054N08708W 2101N08729W 2104N08738W 2110N08747W 2128N08807W 2136N08811W 2151N08817W 2153N08819W 2202N08829W 2206N08839W 2208N08855W 2210N08907W 2208N08940W 2222N08958W 2244N09145W 2302N09314W 2306N09325W 2324N09405W 2327N09425W ULUMA/N0460F360 DCT MTY UT11 SINLO SINLO1A</t>
  </si>
  <si>
    <t>UDGUV2A UDGUV UT78 UKOKO 2043N08856W 2037N08921W 2044N09002W 2044N09005W UBVOV DCT UMAVO UT101 ENAGA ENAGA3A</t>
  </si>
  <si>
    <t>UDGUV2A UDGUV UT78 UKOKO 2049N08842W 2043N08924W 2051N08924W S1825 2100N08944W 2112N08959W 2144N09327W TMN UT147 SLP UJ40 LIBOL LIBOL1B</t>
  </si>
  <si>
    <t>S12R T12R6 UN418 UN409 UN419 2052N08721W 2051N08726W 2050N08937W 2052N08956W TASKO UBVOV UT101 UMAVO UT169 VITOS VITOS2A</t>
  </si>
  <si>
    <t>N7704B</t>
  </si>
  <si>
    <t>S12R 2101N08650W 2100N08648W 2101N08648W OMSUK 2134N08644W 2140N08643W LENUK UB646 CANOA DCT EYW DCT KARTR/N0451F400 DCT SRQ DCT SZW DCT VUZ J151 VISQA BOOSH3</t>
  </si>
  <si>
    <t>S12R 2100N08650W 2059N08650W 2056N08713W 2055N08722W 2049N08852W 2049N08857W UBVOV UT20 PAZ UT104 LENUL LENUL2B</t>
  </si>
  <si>
    <t>N140AN</t>
  </si>
  <si>
    <t>S12R SR00 SR01 SR02 SR03 SR04 SR05 SR06 2129N08652W 2135N08655W 2136N08656W 2203N08707W 2204N08708W 2212N08710W 2225N08713W 2302N08731W 2328N08751W 2339N08758W 2348N08801W IRDOV L214 DAGGR DCT JEPEG DCT CESAN DCT CRIED WHINY4</t>
  </si>
  <si>
    <t>UDGUV2A UDGUV UT78 DURPI 2058N09002W 2100N09013W UBVOV UT101 UMAVO/N0452F300 UT101 ENAGA ENAGA3A</t>
  </si>
  <si>
    <t>N919DU</t>
  </si>
  <si>
    <t>S12R T12R6 2108N08612W 2110N08538W FRANT UG765 MAXIM DCT CYY DCT LAL/N0459F360 DCT MARQO DCT LARZZ JJEDI4</t>
  </si>
  <si>
    <t>S12R 2059N08648W SL00 2111N08644W 2112N08644W 2119N08639W LENUK UB646 CANOA Y196 TUNSL Y262 CANVI/M079F350 Y262 ZFP/N0466F350 DCT ALYRA DCT SEELO DCT WAALT DCT RREGG DCT CVI DCT ORF DCT SAX DCT PONCT DCT PBERG CARTR5</t>
  </si>
  <si>
    <t>S12R T12R6 2057N08653W 2052N08656W 2050N08658W 2048N08659W MID DCT 2142N09328W 2143N09337W TMN UT147 SLP UJ40 LIBOL LIBOL1B</t>
  </si>
  <si>
    <t>VJA67</t>
  </si>
  <si>
    <t>N67JE</t>
  </si>
  <si>
    <t>2102N08652W T12R6 2102N08648W NNE25 2138N08643W LENUK UB646 CANOA DCT EYW DCT</t>
  </si>
  <si>
    <t>S12R T12R6 2059N08651W 2058N08651W 2056N08657W L08 2051N08707W UKOKO 2053N08853W 2056N08930W 2058N08938W NA290 UBVOV UT101 ENAGA DCT OTAGO DCT ATUKA ATUKA1B</t>
  </si>
  <si>
    <t>N967NN</t>
  </si>
  <si>
    <t>S12R SR00 SR01 NOSUG 2153N08658W 2209N08707W 2210N08707W 2232N08719W 2244N08733W 2247N08740W 2256N08806W 2308N08841W 2319N08903W 2336N08919W KEHLI A766 KENGS DCT LCH/N0462F370 DCT ELD DCT LIT J180 FTZ TRTLL6</t>
  </si>
  <si>
    <t>UDGUV2A UDGUV 2051N08810W 2052N08817W 2055N08915W 2100N08945W 2105N08951W 2106N09000W 2105N09019W UBVOV UT101 UMAVO/N0457F300 UT101 ENAGA ENAGA3A</t>
  </si>
  <si>
    <t>S12R T12R6 UN418 UN409 2055N08704W 2059N08721W 2055N08749W 2055N08756W 2056N08820W AVATA 2104N08903W 2112N08926W 2115N08936W 2121N08945W 2127N08951W IPSEV L207 VUH DCT DAS/N0463F370 DCT LFK/N0460F360 DCT TXK/N0461F370 DCT FSM/N0461F360 DCT EOS DCT BUM DCT MCI/N0456F360 DCT ROKKK NITZR4</t>
  </si>
  <si>
    <t>S12R T12R6 2101N08646W SR03 2103N08643W UN500 2107N08655W 2108N08709W 2107N08729W 2059N08752W 2101N08814W 2100N08843W 2058N08909W 2053N08920W 2104N08931W 2125N08945W IPSEV L207 VUH/N0471F350 DCT KF12G/N0464F370 DCT LIT J180 FTZ SHAIN2</t>
  </si>
  <si>
    <t>S12R T12R6 UN418 2056N08654W 2043N08714W 2037N08726W 2054N08807W 2107N08811W 2122N08816W 2131N08820W 2200N08827W 2218N08832W 2226N08839W 2233N08849W 2235N08929W 2255N09223W 2257N09308W 2258N09329W 2258N09334W 2258N09335W 2254N09403W 2249N09432W 2244N09521W SESNO UJ15E RETOS RETOS1A</t>
  </si>
  <si>
    <t>2246N09459W</t>
  </si>
  <si>
    <t>S12R T12R6 UN418 2056N08656W 2054N08701W 2038N08723W 2043N08738W 2052N08807W 2110N08822W 2120N08828W 2133N08834W 2152N08845W IPSEV L207 VUH DCT KH03E DCT OVFAC DCT KF18C/N0457F380 DCT SPS DCT HALEN NIIXX4</t>
  </si>
  <si>
    <t>S12R 2100N08650W 2059N08651W 2058N08656W 2053N08705W 2039N08732W 2050N08801W 2104N08807W 2108N08808W 2119N08812W 2140N08820W 2159N08839W 2202N08839W 2222N08856W 2225N08858W 2231N08904W 2232N08953W 2232N08956W 2206N09401W 2204N09408W TAM UJ14 TMN UT147 BOPAX BOPAX1B</t>
  </si>
  <si>
    <t>S12R T12R6 UN415 2102N08641W NUDAL UV106 PODON UG765 MAXIM DCT ZFP BR65V ADOOR DCT ILM DCT KEMPR DCT SBY DCT VCN DCT CYN DCT JFK/N0500F350 DCT PUT DCT EBONY DCT ALLRY/M085F350 DCT 51N050W DCT 53N040W DCT 53N030W DCT 52N020W DCT LIMRI/N0494F350 DCT XETBO/N0492F370 DCT BANBA DCT DIQSE DCT ICOSA DCT RUHUN DCT UNZIB DCT NUCHU L607 KONAN DCT KOK DCT REMBA DCT LIRSU DCT LALMI DCT ABTAL DCT RIDAR DCT GOMIG DCT GOLVA DCT OBUTI DCT LAKIK/N0477F410 DCT ETIDA DCT RESLA DCT SOPIS T390 RILEX</t>
  </si>
  <si>
    <t>N813NN</t>
  </si>
  <si>
    <t>S12R SR00 SR01 SR02 SR03 SR04 SR05 SR06 SR07 2105N08645W 2140N08653W 2148N08656W 2204N08701W 2232N08712W 2257N08731W 2321N08752W 2335N08749W 2345N08753W IRDOV/N0454F380 L214 DAGGR DCT JEPEG DCT CESAN DCT CRIED WHINY4</t>
  </si>
  <si>
    <t>S12R SR00 SR01 SR02 SR03 SR04 SR05 SR06 SR07 SR08 SR09 SR10 SR11 SR12 SR17 SR18 2115N08649W 2210N08651W 2224N08653W 2235N08655W MINOW M215 KNOST Q109 CAMJO Q99 OGRAE DCT GOOOB DCT THHMP RAVNN9</t>
  </si>
  <si>
    <t>S12R T12R6 UN418 2056N08656W UN703 2048N08720W 2047N08736W 2104N08840W 2104N08901W 2117N08933W 2125N08959W 2134N09145W 2135N09151W TMN UT147 AGU UT44 MEZCA MEZCA1A</t>
  </si>
  <si>
    <t>S12R T12R6 2100N08648W NC01 NUDAL UV106 PODON UG765 MAXIM Y262 ZFP Y319 JAZZI DCT SAGGY DCT CHIEZ Q161 KALDA Q108 SIE CAMRN5</t>
  </si>
  <si>
    <t>N38458</t>
  </si>
  <si>
    <t>UDGUV2A UDGUV DCT 2058N08807W 2148N08832W 2201N08833W 2216N08837W 2228N08844W 2233N08850W 2239N08911W 2240N08915W 2251N09043W 2245N09152W NOTEN UT37 EBDUB DCT ETMES UJ53 REX DCT DLF DCT KOBLE DCT ELP DCT WOBUG DCT PXR DCT BXK J4 WLVRN DCT ESTWD HLYWD1</t>
  </si>
  <si>
    <t>ENEBA2A ENEBA 2133N08654W 2134N08653W MINOW M215 CIGAR/N0462F350 DCT DEANR Q109 CAMJO Q99 QUART PHLBO4</t>
  </si>
  <si>
    <t>S12R SR00 SR01 SR02 SR03 SR04 SR05 2146N08652W 2220N08656W 2227N08659W 2228N08659W 2233N08700W MINOW M215 CIGAR DCT BRUTS DCT ESENT DCT FLO DCT POB/N0481F410 DCT RIC DCT RIDGY DCT RBV Q22 FOXWD DCT EBONY N605A SAXAN/M084F410 DCT 53N050W DCT 55N040W DCT 56N030W DCT 56N020W DCT PIKIL DCT SOVED DCT MIMKU/N0479F410 DCT TLA Y96 NATEB</t>
  </si>
  <si>
    <t>2408N08633W</t>
  </si>
  <si>
    <t>S12R T12R6 UN418 UN409 2053N08714W 2053N08716W 2054N08719W 2053N08732W 2050N08736W 2048N08739W 1746N09130W 1736N09136W 1716N09202W SAXAV V51 TGZ</t>
  </si>
  <si>
    <t>S12R SR00 SR01 SR02 SR03 SR04 2129N08650W 2143N08649W NOSUG 2158N08654W 2203N08657W 2218N08709W 2230N08717W 2253N08730W 2252N08732W 2255N08740W IPSEV/M078F360 L207 MUSYL/N0460F360 L207 VUH DCT FUZ DCT WEEDS DCT KD78U DCT KU90S DCT COUTS DCT EBGAL EBGAL7</t>
  </si>
  <si>
    <t>NUDAL1A NUDAL UV106 PODON UG765 MAXIM Y262 ZFP Y319 JAZZI DCT GARIC Q129 YERBA DCT MAYKR DCT TRSSK CAVLR7</t>
  </si>
  <si>
    <t>S12R T12R6 UN418 UN409 2054N08711W 2053N08713W 2057N08723W 2105N08747W 2105N08808W 2110N08819W 2127N08830W 2130N08831W 2205N08844W 2205N08849W 2212N08853W 2226N08855W 2228N08855W 2230N08856W 2233N08901W 2251N09101W 2252N09104W 2251N09109W 2248N09125W 2243N09154W NOTEN UT37 SESNO UJ15E RETOS RETOS1A</t>
  </si>
  <si>
    <t>S12R T12R6 UN418 UN409 2059N08700W 2100N08702W 2100N08710W 2101N08749W 2105N08757W 2128N08843W 2153N08932W NOTEN UT37 EBDUB J177 IPRUL/N0460F350 UT151 PLAYA/N0460F360 UT151 MAM DCT LRD DCT DLF DCT INK J15 CME DCT CNX DCT RSK/N0457F340 DCT RIFMN DCT HELPR JAZZZ1</t>
  </si>
  <si>
    <t>S12R T12R6 UN418 UN409 VOBED 2106N08808W 2107N08810W 2143N08908W 2149N08934W UBVOV UT20 TAJIN DCT VITOS VITOS2A</t>
  </si>
  <si>
    <t>S12R T12R6 2056N08653W 2045N08716W 2057N08757W 2105N08807W 2145N08855W 2142N08902W 2149N08909W 2212N09018W 2222N09100W NOTEN UT37 SESNO UJ15E RETOS RETOS1A</t>
  </si>
  <si>
    <t>S12R SR00 SR01 SR02 SR03 SR04 SR05 SR06 SR07 SR08 SR09 SR10 2110N08647W NOSUG 2208N08657W 2228N08659W 2229N08659W 2245N08700W 2257N08700W 2305N08659W 2310N08659W 2321N08701W 2335N08707W 2339N08723W 2353N08736W 2359N08741W DAGGR L214 LEV DCT AEX DCT EIC DCT MLC DCT GCK DCT KIISS CLASH5</t>
  </si>
  <si>
    <t>2428N08755W</t>
  </si>
  <si>
    <t>HP9902</t>
  </si>
  <si>
    <t>S12R T12R6 UN415 UN440 2042N08620W 2030N08614W 2002N08600W OMIRO/N0456F370 UN420 PELRA DCT SPP DCT SEKMA OSUPA2</t>
  </si>
  <si>
    <t>S12R SR00 SR01 SR02 SR03 NOSUG IPSEV L207 CATFS DCT SAT DCT JCT DCT CNX DCT ZUN DCT HAHAA RKSTR4</t>
  </si>
  <si>
    <t>S12R T12R6 UN415 UN440 UN400 2041N08619W 2039N08618W 2018N08607W 2012N08601W MAMBI/N0447F410 UL577 CDO UT15 NADAX NADAX1W</t>
  </si>
  <si>
    <t>2008N08537W</t>
  </si>
  <si>
    <t>N567AV</t>
  </si>
  <si>
    <t>S12R T12R6 UN415 2055N08640W ALYRE TAKUX UM782 OMIRO UN420 SPP UP530 KAKOL DCT RNG UQ121 ISVAT ISVAT5E</t>
  </si>
  <si>
    <t>S12R SR00 SR01 NOSUG 2248N08701W 2253N08701W 2316N08718W 2330N08725W DAGGR L214 PLNDR/N0461F360 L214 LEV/N0457F370 DCT KM24M DCT BEATS DCT KI45O DCT NIKGY DCT QWERI NUBER6</t>
  </si>
  <si>
    <t>S12R T12R6 UN418 2055N08659W 2055N08727W 2055N08741W 2101N08755W 2120N08826W 2135N08847W 2154N08855W 2212N08903W 2234N08912W 2249N08941W NOTEN UT37 ULUMA DCT MTY DCT TASTO DCT ILAMA UT41 NADIS DCT AVRIL UJ3 TANRI TANRI1B</t>
  </si>
  <si>
    <t>N77573</t>
  </si>
  <si>
    <t>S12R 2103N08648W NOSUG 2210N08657W 2212N08658W 2232N08717W 2235N08720W 2253N08737W DUTNA L208 PEGLG NNCEE2</t>
  </si>
  <si>
    <t>S12R T12R6 2100N08651W 2058N08653W 2057N08727W 2101N08730W 2101N08740W 2101N08741W 2050N08835W 2044N08906W 2042N08911W 2020N08928W 1956N08945W XHAN 1931N09001W 1924N09012W 1923N09018W 1923N09027W 1926N09053W 1927N09135W 1926N09141W VER UT111 MEBAS LARLO</t>
  </si>
  <si>
    <t>S12R T12R6 UN418 2056N08654W 2058N08701W 2104N08715W DURPI DCT 2049N08952W 2048N09001W 2046N09010W 2042N09038W 2042N09047W NUBIT DCT RIBET UT101 ENAGA DCT OVAGO UT123 IKLOK/N0450F220 UT123 IGSON IGSON1B</t>
  </si>
  <si>
    <t>S12R T12R6 2058N08652W 2059N08722W 2058N08734W 2102N08757W 2107N08806W 2141N08900W 2212N08933W 2218N08939W 2215N09121W 2214N09122W 2211N09456W TMN UT147 SLP</t>
  </si>
  <si>
    <t>2211N09459W</t>
  </si>
  <si>
    <t>XARIN</t>
  </si>
  <si>
    <t>S12R T12R6 UN418 2056N08654W 2100N08710W 2058N08717W CZA UT20 PAZ UT104 LENUL DCT</t>
  </si>
  <si>
    <t>CFYBK</t>
  </si>
  <si>
    <t>S12R SR00 SR01 SR02 SR03 2140N08654W 2217N08705W 2236N08712W 2246N08721W 2338N08832W 2343N08836W 2409N08919W KELPP A766 KLAMS/N0461F340 A766 SBI DCT FUZ/N0450F360 DCT HALEN DCT QUAIL DCT CKW DCT KU84O DCT DOXIE DCT METOW GRIZZ1</t>
  </si>
  <si>
    <t>S12R 2101N08648W 2141N08654W 2145N08655W 2221N08728W 2246N08755W 2400N08917W KELPP BAYYY5</t>
  </si>
  <si>
    <t>S12R T12R6 UN418 2057N08658W 2102N08705W 2111N08709W 2059N08846W OMPAN VER</t>
  </si>
  <si>
    <t>N563UW</t>
  </si>
  <si>
    <t>NUDAL1A NUDAL UV106 PODON UG765 MAXIM DCT LULLS DCT GOPEY Q87 TIRCO/N0450F360 Q87 ZERBO/N0451F370 Q87 TAALN/N0453F380 DCT SAV DCT PONZE BANKR8</t>
  </si>
  <si>
    <t>S12R T12R6 2057N08646W 2056N08646W 2046N08639W 2044N08640W 2046N08642W 2041N08648W 2040N08651W 2041N08741W UKOKO 2053N08816W 2056N08834W 2055N08840W 2050N08902W 2048N08906W 2015N08939W 2013N08951W 2004N09013W UBVOV UT101 ENAGA DCT OTAGO DCT ATUKA ATUKA1B</t>
  </si>
  <si>
    <t>S12R 2101N08651W NC01 R1201 2049N08642W 2044N08642W 2041N08645W CZ506 2017N08703W 1958N08717W 1959N08718W 1947N08733W 1949N08751W 1947N08824W 1949N08849W 1943N08919W 1939N08953W 1933N09005W 1927N09033W 1909N09111W NOPON UJ9 VSA DCT</t>
  </si>
  <si>
    <t>N831DN</t>
  </si>
  <si>
    <t>S12R 2101N08651W 2059N08643W 2101N08640W UN1KU 2109N08642W UN406 2110N08704W 2111N08707W 2111N08711W 2113N08727W 2113N08729W 2122N08814W 2129N08813W 2144N08853W NOTEN UT37 SESNO UJ15E MTY UT11 RUDLO UJ38 CUU DCT TUS DCT GBN J104 WLVRN DCT ESTWD HLYWD1</t>
  </si>
  <si>
    <t>XBBFF</t>
  </si>
  <si>
    <t>S12R 2100N08650W 2102N08648W 2104N08648W 2104N08651W 2107N08700W 2108N08703W 2114N08711W 2115N08712W 2121N08723W 2129N08733W 2132N08737W 2133N08742W 2121N08957W 2120N09002W 2052N09037W VER KAVRU LENUL DCT</t>
  </si>
  <si>
    <t>1932N09459W</t>
  </si>
  <si>
    <t>S12R T12R6 UN415 2053N08638W UN601 TAKUX UM782 OMIRO/N0452F390 UN420 SPP UP530 KAKOL DCT RNG UQ121 ISVAT ISVA5E</t>
  </si>
  <si>
    <t>S12R T12R6 UN418 2054N08655W 2055N08716W 2057N08727W 2057N08734W 2057N08747W 2059N08806W 2059N08816W 2102N08831W 2106N08903W 2104N08914W 2107N08937W 2102N09013W 2054N09046W 2106N09052W 2114N09105W NOTEN UT37 SESNO UJ15E RETOS RETOS1A</t>
  </si>
  <si>
    <t>XALFI</t>
  </si>
  <si>
    <t>S12R T12R6 UN418 2053N08656W 2046N08702W 2045N08703W 2034N08711W 2031N08713W 2018N08719W 2016N08719W UBVOV UT20 PAZ UT104 LENUL</t>
  </si>
  <si>
    <t>S12R T12R6 UN418 UN409 2055N08706W 2059N08724W 2057N08733W 1941N09349W ENAGA</t>
  </si>
  <si>
    <t>S12R T12R6 UN418 UN409 UN419 2110N08952W 2109N09002W 2108N09009W 2107N09023W 2107N09055W 2113N09137W TMN DCT MORAS UJ17 QET</t>
  </si>
  <si>
    <t>GRAPHIC 2: DEPARTURES BY HOUR AND SID - FRI OCT 2, 2026</t>
  </si>
  <si>
    <t>GRAPHIC 1: DEPARTURES BY HOUR AND SID - FRI OCT 2, 2026</t>
  </si>
  <si>
    <t>S12R T12R6 UN402 2053N08649W 2040N08659W 2032N08646W 2030N08645W 2028N08646W 2002N08652W BTO UZ498 MGA/N0453F350 UZ512 LIXAS UL203 ARNEL UM542 TAL UV1 ATATU ATATU4</t>
  </si>
  <si>
    <t>S12R SR00 SR01 SR02 SR03 SR04 2136N08647W 2137N08647W 2140N08649W 2148N08654W 2149N08654W 2153N08657W 2158N08654W 2202N08652W 2209N08650W 2221N08643W 2223N08640W 2234N08619W 2307N08529W MYDIA M219 CIGAR DCT CTY DCT TAALR DCT SAV DCT VAN DCT FLO DCT RIC DCT BBOBO Q22 SHTGN/N0467F390 Q22 RBV DCT PUT DCT ALLEX N565B TUDEP/M081F390 NATY MALOT/N0463F390 NATY GISTI DCT KURUM/N0469F410 DCT EVRIN DCT JETZI DCT AMFUL DCT CAWZE/N0459F390 DCT SIRIC P2 DVR UL9 KONAN DCT KOK DCT SPI T180 NIVNU T847 TUTOV TUTOV1D</t>
  </si>
  <si>
    <t>N339TP</t>
  </si>
  <si>
    <t>S12R T12R6 UN418 2054N08658W 2049N08658W 2037N08658W 2039N08702W 2030N08710W 2027N08725W 2028N08728W 2031N08736W 2030N08746W 2031N08753W 2030N08757W 1921N09502W VER UT111 MEBAS LARLO</t>
  </si>
  <si>
    <t>S12R T12R6 2059N08651W 2047N08701W 2044N08702W 2043N08702W 2039N08704W 2038N08705W 2036N08710W 2034N08721W NUBIT DCT RIBET UT101 ENAGA DCT OVAGO UT123 IKLOK/N0451F220 UT123 IGSON IGSON1B</t>
  </si>
  <si>
    <t>S12R T12R6 UN418 2054N08655W 2039N08703W 2036N08724W 2037N08731W 2111N09023W 2114N09040W TMN DCT MORAS UJ17 QET</t>
  </si>
  <si>
    <t>S12R T12R6 UN418 UN409 2051N08701W 2042N08703W 2041N08704W 2039N08707W 2038N08709W 2037N08712W 2035N08715W 2034N08728W 2037N08753W 2039N08758W 2127N09009W 2130N09122W 2214N09224W 2238N09301W NOTEN UT37 SESNO UJ15E RETOS RETOS1A</t>
  </si>
  <si>
    <t>S12R T12R6 2058N08654W 2057N08700W 2047N08702W 2039N08706W 2036N08713W 2032N08717W 2036N08730W 2037N08757W UBVOV UT101 ENAGA</t>
  </si>
  <si>
    <t>S12R 2100N08650W 2059N08649W 2057N08643W 2057N08642W 2056N08641W 2037N08642W CZ29 PIRAS/N0473F240 BARRA4P</t>
  </si>
  <si>
    <t>S12R SR00 SR01 SR02 SR03 SR04 SR05 SR06 SR07 SR08 2104N08648W 2107N08649W 2121N08646W 2130N08639W 2135N08637W 2136N08637W MYDIA/M083F370 M219 CULLY/N0485F370 M219 CIGAR DCT KJ84Q DCT TAY DCT SAV DCT RDU/N0479F390 DCT BBOBO Q22 FOXWD DCT MIILS N691A NEEKO/M081F390 DCT 54N050W 56N040W 56N030W/M082F390 55N020W DCT RESNO/N0468F390 DCT NETKI DCT DEXEN UY124 AMPIT L15 KEPAD L151 DISIT DISIT1G</t>
  </si>
  <si>
    <t>S12R T12R6 2100N08649W L41 2101N08641W 2102N08637W 2100N08623W 2103N08614W 2104N08609W NUDAL UV106 PODON UG765 FRANT UR522 UHA UR628 UVA/N0493F380 UR628 TANIA/M085F390 DCT ZQA BR53V BNTTZ DCT MILLE DCT 27N070W 32N060W/M085F390 36N050W 3730N04000W 38N030W 3730N02000W DCT KOMUT/N0475F380 DCT TOFEF DCT OGERO/N0457F340 DCT ROLDO Z409 TLD</t>
  </si>
  <si>
    <t>S12R T12R6 UN415 2058N08642W 2059N08616W NUDAL UV106 PODON UG765 MAXIM Y262 LULLS Y642 GRATX/M085F370 M329 BALTN/N0493F370 DCT BALOO/M085F370 DCT 35N060W/M085F370 37N050W/M085F390 39N040W 40N030W/M085F410 40N020W/M085F410 DCT ERPES/N0486F410 DCT OGERO Z409 TLD</t>
  </si>
  <si>
    <t>XAAMI</t>
  </si>
  <si>
    <t>S12R T12R6 UN418 UN409 2055N08702W 2054N08703W 2046N08708W 2048N08719W 2046N08733W 2046N08735W NOTEN UT37 SESNO UJ15E RETOS DCT</t>
  </si>
  <si>
    <t>S30L T30L6 UN708 UN700 2115N08610W PODON UG765 MAXIM Y262 LULLS Y642 JITGO/M082F350 Y642 GRATX M329 BALTN DCT BALOO DCT 35N060W/M082F370 DCT 37N050W DCT 39N040W DCT 40N030W/M082F390 DCT 40N020W DCT ERPES/N0470F390 DCT OGERO Z409 ROLDO/N0396F260 Z409 TLD</t>
  </si>
  <si>
    <t>S12R 2101N08650W CN17 2050N08648W UDGUV UT78 VIKMO/N0450F380 UT78 MEDOS DCT UBVOV DCT UMAVO UT101 ENAGA ENAGA3A</t>
  </si>
  <si>
    <t>S12R SR00 SR01 SR02 SR03 SR04 SR05 SR06 SR07 2104N08646W 2112N08645W APMUS 2130N08633W NOSAT CANOA Y196 LULLS/N0467F350 Y196 TUNSL Y262 GOPEY Q87 TIRCO/N0468F340 Q87 ZERBO/N0466F350 Q87 VIYAP Q69 RICCS DCT OXMAN LINNG3</t>
  </si>
  <si>
    <t>NOSAT</t>
  </si>
  <si>
    <t>UDGUV2A UDGUV UT78 VIKMO 2042N09334W 2045N09353W 2044N09413W ENAGA ENAGA3A</t>
  </si>
  <si>
    <t>S12R T12R6 UN418 UN409 2048N08713W 2038N08715W 2036N08737W 2038N08827W UBVOV UT101 ENAGA ENAGA3A</t>
  </si>
  <si>
    <t>S12R T12R6 UN418 UN409 UN419 UN432 2036N08738W CZ902 2040N08840W 2044N08902W VITOS VITOS2A</t>
  </si>
  <si>
    <t>S12R 2102N08648W TAKUX UM782 OMIRO UN420 BONOS/N0447F390 UN420 SPP DCT VUNIB DCT SIROT DCT KUBEK DCT RNG DCT ISVAT ISVAT5E</t>
  </si>
  <si>
    <t>S30L T30L6 UN710 UN704 2128N09040W 2132N09109W 2148N09500W TMN BJX MUTEM GDL</t>
  </si>
  <si>
    <t>S30L T30L6 2103N08700W NOTEN UT37 SESNO UJ15E RETOS RETOS1A</t>
  </si>
  <si>
    <t>S30L T30L6 UN710 2123N08715W 2126N08721W 2125N08719W 2127N08730W UBVOV UT101 ENAGA ENAGA3A</t>
  </si>
  <si>
    <t>S30L T30L6 UN710 UN704 2058N08715W 2059N08737W UBVOV UT101 UMAVO/N0459F300 UT101 ENAGA ENAGA3A</t>
  </si>
  <si>
    <t>S30L T30L6 2114N08702W 2128N08711W 2120N08724W OMPAN OMPAN1A</t>
  </si>
  <si>
    <t>S30L T30L6 2114N08703W 2123N08722W 2121N08738W 2121N08753W 2110N08821W 2110N08818W 2049N09451W TAJIN DCT VITOS VITOS2A</t>
  </si>
  <si>
    <t>S30L T30L6 UN710 UN704 2050N08717W 2041N08722W 2040N08807W CT500 2022N09454W UMAVO UT101 ENAGA ENAGA3A</t>
  </si>
  <si>
    <t>S30L L0 L00 L01 2119N08712W 2121N08716W 2111N08756W 2112N08805W 2047N09429W 2047N09432W 2040N09449W VOKIR UT101 UMAVO UT169 VITOS DCT SLM/N0180A105 VFR</t>
  </si>
  <si>
    <t>S30L T30L6 UN710 UN704 2055N08705W 2048N08712W 2051N08734W 2051N08735W 2303N09342W 2320N09406W 2328N09423W AVRAV UT37 SESNO UJ15E RETOS RETOS1A</t>
  </si>
  <si>
    <t>2328N09423W</t>
  </si>
  <si>
    <t>S30L 2106N08654W NUDAL UR506 KALNO VETSI2A</t>
  </si>
  <si>
    <t>S30L T30L6 UN712 UN703 UN706 CZM 2026N08638W 2006N08607W PELRA DCT SPP DCT SEKMA OSUPA2</t>
  </si>
  <si>
    <t>UDGUV1F UDGUV UT78 MEDOS UT20 UBVOV UT101 UMAVO/N0444F300 UT101 ENAGA ENAGA3A</t>
  </si>
  <si>
    <t>N77ME</t>
  </si>
  <si>
    <t>S30L L0 ROTGI UM219 XOPGI UB646 CANOA DCT EYW DCT</t>
  </si>
  <si>
    <t>S30L T30L6 UN710 UN704 UN711 2055N08725W 2055N08727W NOTEN/N0449F380 UT37 SESNO DCT MTY UJ32 TRC DCT</t>
  </si>
  <si>
    <t>NOSUG2F NOSUG 2235N08659W 2239N08700W 2244N08700W KEHLI A766 KELPP NNCEE2</t>
  </si>
  <si>
    <t>N387DA</t>
  </si>
  <si>
    <t>S30L L0 L00 L28 L29 L30 L31 L32 L33 2114N08610W 2114N08558W 2116N08541W FRANT UG765 MAXIM DCT CYY DCT LAL/N0465F360 DCT MARQO DCT LARZZ JJEDI4</t>
  </si>
  <si>
    <t>S30L T30L6 UN710 UN704 2057N08719W 2056N08722W 2057N08741W 2059N08756W UBVOV UT101 UMAVO/N0459F300 UT101 ENAGA ENAGA3A</t>
  </si>
  <si>
    <t>S12R T12R6 UN418 2056N08657W 2100N08708W 2104N08721W 2111N08742W 2113N08745W 2134N08807W 2135N08815W 2136N08820W 2127N08934W NA295 UBVOV UT101 UMAVO/N0456F300 UT101 ENAGA ENAGA3A</t>
  </si>
  <si>
    <t>XBNVN</t>
  </si>
  <si>
    <t>UDGUV2A UDGUV DCT 2052N08831W 2053N08837W 2128N09020W DUPAS NOTEN UT37 SESNO UJ15E RETOS DCT</t>
  </si>
  <si>
    <t>S12R T12R6 UN418 UN409 2055N08703W 2103N08732W 2102N08740W 2054N08804W 2053N08805W 2050N09026W UBVOV DCT UMAVO UT101 ENAGA ENAGA3A</t>
  </si>
  <si>
    <t>S12R T12R6 UN418 2055N08659W 2105N08721W 2110N08729W 2105N08851W S1030 UBVOV UT20 TAJIN DCT VITOS VITOS2A</t>
  </si>
  <si>
    <t>S12R T12R6 UN418 UN409 2055N08705W 2054N08709W 2101N08714W 2105N08730W 2103N08748W 2057N09014W UBVOV UT101 UMAVO UT104 LENUL LENUL3A</t>
  </si>
  <si>
    <t>S12R T12R6 UN418 UN409 2055N08701W 2055N08707W 2106N08725W 2109N08732W 2111N08736W NUBIT DCT RIBET UT101 ENAGA DCT OVAGO UT123 IKLOK/N0450F220 UT123 IGSON IGSON1B</t>
  </si>
  <si>
    <t>S12R T12R6 UN418 UN409 2055N08703W 2054N08708W 2105N08725W XOTNA 2046N09012W UBVOV UT101 UMAVO UT169 VITOS VITOS2A</t>
  </si>
  <si>
    <t>ENEBA2A ENEBA UT27 NOSUG 2208N08657W 2209N08657W 2216N08658W IRDOV L214 DAGGR/N0461F400 L214 LEV J35 MCB/N0459F410 J35 MEM BOOSH3</t>
  </si>
  <si>
    <t>S12R T12R6 UN418 UN409 2107N08722W 2111N08725W 2115N08730W 2120N08735W 2119N08736W 2119N08737W 2119N08742W 2119N08748W 2108N08806W 2106N08810W 2106N08811W MID DCT NOTEN/N0449F380 UT37 SESNO UJ15E RETOS RETOS1A</t>
  </si>
  <si>
    <t>UDGUV2A UDGUV MEDOS UT20 PAZ UT104 LENUL DCT</t>
  </si>
  <si>
    <t>S12R T12R6 UN418 UN409 2105N08714W 2111N08725W 2112N08726W 2117N08735W 2120N08739W 2118N08752W 2104N09018W UBVOV UT101 ENAGA ENAGA3A</t>
  </si>
  <si>
    <t>S12R T12R6 UN418 UN409 2106N08720W 2115N08726W 2118N08730W 2123N08738W 2128N08746W 2136N08801W UBVOV UT20 TAJIN DCT VITOS VITOS2A</t>
  </si>
  <si>
    <t>N804DN</t>
  </si>
  <si>
    <t>S12R 2101N08651W 2101N08647W 2102N08646W 2101N08644W 2102N08643W 2105N08643W 2142N08653W 2218N08705W 2219N08705W 2238N08712W 2242N08713W 2250N08717W IRDOV LEV DCT GCV/N0465F350 DCT PAYTN DCT SHYRE HOBTT3</t>
  </si>
  <si>
    <t>NUDAL1A NUDAL UV106 PODON UG765 MAXIM Y262 LULLS DCT GOPEY Q87 ONEWY/N0455F320 Q87 ZERBO/N0457F330 Q87 VIYAP Q69 GURGE/N0456F350 Q69 RICCS DCT OXMAN LINNG3</t>
  </si>
  <si>
    <t>S12R T12R6 UN415 TAKUX UM782 DELVI/N0446F390 DCT ARNAL UL465 SEKMA OSUPA2</t>
  </si>
  <si>
    <t>S12R T12R6 UN418 UN409 2059N08705W 2103N08712W 2105N08715W 2107N08718W 2109N08721W 2114N08729W 2122N08745W 2156N08945W 2208N09003W 2228N09032W 2252N09058W 2257N09121W 2303N09214W NOTEN DCT LIBOX/N0453F380 DCT MOV UT3 URKOM UJ54 CJS DCT</t>
  </si>
  <si>
    <t>S12R T12R6 2100N08650W 2022N08652W 2004N08653W 1906N08702W ANEPU DCT RIDEM UG765 AUR DCT</t>
  </si>
  <si>
    <t>S12R T12R6 UN418 UN409 2055N08700W 2101N08714W 2122N08738W 2132N08756W 2137N08804W 2211N09013W 2215N09022W 2237N09048W 2254N09102W 2303N09125W 2300N09155W NOTEN UT37 SESNO UJ15E RETOS RETOS1A</t>
  </si>
  <si>
    <t>S12R T12R6 UN418 UN409 2055N08700W 2056N08712W 2057N08714W 2058N08720W 2101N08727W 2102N08732W 2100N08740W 2101N08741W LIDAM UT23 TAM UJ14 TMN UT147 SLP UJ40 LIBOL LIBOL1B</t>
  </si>
  <si>
    <t>S12R T12R6 UN418 UN409 2054N08710W 2059N08740W 2100N08933W 2100N08935W NA281 UBVOV UT20 PAZ UT104 LENUL DCT</t>
  </si>
  <si>
    <t>N17597</t>
  </si>
  <si>
    <t>S12R 2100N08648W SR0 2100N08647W 2107N08648W 2107N08647W L35 ROTGI 2151N08640W 2157N08639W LENUK UB646 CANOA Y196 TUNSL DCT FEMID/N0481F320 Q118 KPASA/N0476F340 Q118 JAMIZ/N0471F350 DCT OTK DCT DBN DCT OGRAE DCT BZNGA DCT DORRN CAVLR7</t>
  </si>
  <si>
    <t>N972NN</t>
  </si>
  <si>
    <t>S12R 2101N08651W 2100N08649W 2102N08648W ENEBA UT27 OMVIP UT45 ALKIM 2357N08734W 2408N08736W 2422N08739W KELPP DCT MUSYL DCT WEEED WLEEE7</t>
  </si>
  <si>
    <t>S12R SR00 SR01 2100N08644W NOSUG UT27 OMVIP UT45 IRDOV L214 DAGGR/N0460F380 L214 LEV J35 MCB/N0457F390 J35 MEM/N0454F400 J35 FAM/N0459F370 DCT SPI DCT PHEEB ENDEE8</t>
  </si>
  <si>
    <t>S12R T12R6 TAKUX UM782 OMIRO UN420 BONOS/N0453F390 UN420 PELRA DCT SPP DCT AROVI VUMAN2</t>
  </si>
  <si>
    <t>OMSUK2A OMSUK 2145N08642W LENUK UB646 CANOA Y196 TUNSL DCT FEMID/N0474F340 Q118 BRUTS/N0472F350 Q109 CAMJO DCT TWINS DCT IRQ/N0463F370 DCT DANCO DCT EWESS Q69 RICCS DCT OXMAN LINNG3</t>
  </si>
  <si>
    <t>S12R T12R6 TAKUX UM782 ARNAL UL465 SEKMA OSUPA2</t>
  </si>
  <si>
    <t>XAVIW</t>
  </si>
  <si>
    <t>UDGUV2A UDGUV DCT MID DCT LIDAM/N0449F380 UT23 TAM UJ14 TMN UT147 AGU UT44 MEZCA MEZCA1A</t>
  </si>
  <si>
    <t>ENEBA2A ENEBA UT27 OMVIP 2346N08825W 2352N08837W KELPP A766 SBI DCT FUZ J58 SPS DCT HALEN NIIXX4</t>
  </si>
  <si>
    <t>2429N08913W</t>
  </si>
  <si>
    <t>S12R T12R6 UN415 2059N08637W 2113N08617W 2128N08600W FRANT UG765 MAXIM Y262 LULLS DCT GOPEY Q87 ONEWY/N0458F340 Q87 ZERBO/N0458F350 Q87 VIYAP Q69 RICCS DCT PSB DCT SYR DCT ART IMPAC4</t>
  </si>
  <si>
    <t>S12R T12R6 2057N08653W 2057N08658W 2101N08705W 2139N09100W 2139N09109W 2136N09118W 2130N09215W 2128N09245W 2127N09319W 2125N09340W 2124N09357W TMN DCT MORAS UJ17 QET</t>
  </si>
  <si>
    <t>ENEBA2A ENEBA UT27 NOSUG 2154N08656W 2201N08656W 2320N08829W 2325N08835W 2329N08843W 2351N08917W KELPP BAYYY5</t>
  </si>
  <si>
    <t>2429N08947W</t>
  </si>
  <si>
    <t>ENEBA2A ENEBA UT27 NOSUG 2215N08658W 2224N08658W 2253N08737W 2318N08754W 2317N08758W 2341N08816W 2346N08820W 2348N08822W 2406N08837W KELPP A766 LAURL/N0474F340 A766 SBI/N0469F350 DCT ELD DCT LIT J180 FTZ SHAIN2</t>
  </si>
  <si>
    <t>S12R T12R6 UN415 UN413 2102N08626W 2106N08615W 2110N08607W SEVKA FRANT UG765 MAXIM Y262 TUNSL DCT BNICE DCT TIRCO/N0470F340 Q87 ZERBO/N0468F350 Q87 VIYAP Q69 OLBEC/N0463F340 DCT DEQUE DCT PONZE BANKR8</t>
  </si>
  <si>
    <t>S12R T12R6 2058N08652W 2050N08659W 2049N08701W 2047N08702W 2036N08707W 2034N08710W PQE/N0334A180 1722N09213W 1658N09231W TGZ DCT</t>
  </si>
  <si>
    <t>S12R SR00 SR01 SR02 ROTGI UM219 XOPGI UB646 CANOA Y196 TUNSL Q81 KARTR DCT RSW DCT ENEME Q65 KERLY DCT ACERB DCT PSB DCT ART IMPAC4</t>
  </si>
  <si>
    <t>S12R T12R6 UN418 2056N08654W SR35 2058N08700W 2109N08711W 2113N08714W 2126N08733W NOTEN/N0450F380 UT37 SESNO UJ15E RETOS RETOS1A</t>
  </si>
  <si>
    <t>S12R 2101N08650W 2103N08647W NOSUG 2158N08656W 2205N08657W 2307N08811W 2323N08820W 2331N08823W 2353N08831W 2424N08844W KELPP/N0452F360 A766 SBI DCT CRIED WHINY4</t>
  </si>
  <si>
    <t>2429N08850W</t>
  </si>
  <si>
    <t>XAMJE</t>
  </si>
  <si>
    <t>S12R T12R6 UN418 UN409 2055N08704W 2054N08710W 2056N08903W NOTEN UT37 SESNO UJ15E RETOS DCT</t>
  </si>
  <si>
    <t>NUDAL1A NUDAL UV106 PODON UG765 MAXIM DCT CYY DCT LAL/N0464F340 DCT MARQO DCT LARZZ JJEDI4</t>
  </si>
  <si>
    <t>SWA1986</t>
  </si>
  <si>
    <t>S12R SR00 SR01 SR02 SR03 SR04 SR05 SR06 SR07 SR08 UN406 NOSUG UT27 OMVIP UT45 IRDOV L214 LEV J35 MCB/N0453F410 J35 MEM BOOSH3</t>
  </si>
  <si>
    <t>S12R T12R6 UN418 UN409 2105N08710W 2107N08713W 2114N08723W 2115N08727W 2118N08745W 2120N08752W 2117N08758W 2113N08804W 1828N09351W 1827N09355W 1821N09358W 1747N09503W OMATO UJ16 OAX</t>
  </si>
  <si>
    <t>S12R T12R6 2058N08645W 2043N08630W 2021N08608W MAMBI UL577 CDO UT15 NADAX NADAX1W</t>
  </si>
  <si>
    <t>S12R T12R6 UN418 UN409 2057N08702W UBVOV UT101 UMAVO/N0469F300 UT101 ENAGA ENAGA3A</t>
  </si>
  <si>
    <t>N338DN</t>
  </si>
  <si>
    <t>S12R SR00 SR01 SR02 SR03 SR04 SR05 SR06 SR07 SR08 OMSUK UM219 XOPGI UB646 CANOA Y196 TUNSL DCT FEMID Q118 CHRRI/N0464F340 DCT KPASA DCT CYNTA/N0461F350 DCT TEUFL DCT WIGVO DCT SPA DCT HMV/N0459F360 DCT GZG/N0459F350 DCT SPAYD/N0456F360 DCT HNN/N0457F350 DCT SUBWY CRAKN2</t>
  </si>
  <si>
    <t>N861NN</t>
  </si>
  <si>
    <t>S12R SR00 SR01 SR02 SR03 SR04 SR05 SR06 SR07 SR08 SR09 NOSUG UT27 OMVIP 2307N08711W 2314N08821W 2318N08844W 2321N08915W 2321N08917W 2323N08953W 2326N08956W 2329N08957W 2339N09003W 2341N09004W 2400N09015W 2402N09016W 2409N09020W 2417N09035W 2447N09120W PEGLG SBI DCT CRIED WHINY4</t>
  </si>
  <si>
    <t>2429N09053W</t>
  </si>
  <si>
    <t>S12R SR00 SR01 SR02 SR03 SR04 SR05 SR06 SR07 SR08 ROTGI UM219 XOPGI UB646 CANOA Y196 TUNSL/N0476F320 DCT DOLIE/N0476F330 DCT KPASA/N0474F340 Q99 CAMJO/N0468F350 DCT TWINS DCT BURGG DCT HVQ DCT JANYS ROLLN2</t>
  </si>
  <si>
    <t>S12R T12R6 UN415 2052N08635W UN601 ALYRE TAKUX UM782 OMIRO UN420 SPP UP530 KAKOL DCT RNG UQ121 ISVAT ISVA5E</t>
  </si>
  <si>
    <t>HK5353</t>
  </si>
  <si>
    <t>S12R T12R6 UN415 2055N08641W UN619 TAKUX UM782 OMIRO/N0451F390 UM782 MEVUB UP406 AKPEK AKPE4C</t>
  </si>
  <si>
    <t>N8838Q</t>
  </si>
  <si>
    <t>S12R SEVKA NUDAL UV106 PODON UG765 MAXIM Y262 GOPEY Q87 TIRCO/N0465F380 Q87 ZERBO/N0462F390 Q87 RAYVO Q113 AARNN DCT THHMP RAVNN9</t>
  </si>
  <si>
    <t>N17405</t>
  </si>
  <si>
    <t>S12R T12R6 UN418 UN409 2055N08700W 2055N08703W 2100N08709W 2119N08726W 2121N08730W 2122N08734W 2129N08817W NOTEN UT37 SESNO/N0468F340 UJ15E MTY UT11 PPE J93 AXASA DCT ASUTA J93 PDZ/N0460F360 DCT COREZ DCT MAKRS DCT SERFR SERFR4</t>
  </si>
  <si>
    <t>N565JB</t>
  </si>
  <si>
    <t>S12R SR00 SR01 SR02 SR03 SR04 SR05 SR06 SR07 SR08 SR09 2133N08643W 2137N08643W LENUK B646 CANOA Y196 LULLS DCT EYW DCT KARTR/N0471F360 DCT FERAL BLFRG3</t>
  </si>
  <si>
    <t>SCX796</t>
  </si>
  <si>
    <t>N856SY</t>
  </si>
  <si>
    <t>S12R SR00 SR01 SR02 SR03 SR04 SR05 SR06 SR07 SR08 SR09 SR10 NOSUG UT27 PISAD M215 CIGAR PRICY5</t>
  </si>
  <si>
    <t>S12R T12R6 UN418 UN409 LIDAM UT23 TAM DCT</t>
  </si>
  <si>
    <t>S12R T12R6 UN415 SEVKA NUDAL UV106 PODON UG765 MAXIM Y262 ZFP AR23 OZENA Y309 FLRDA DCT SAGGY DCT CHIEZ Q161 BENCH/N0453F350 Q161 KALDA Q108 SIE CAMRN5</t>
  </si>
  <si>
    <t>S12R T12R6 UN418 UN409 2056N08708W 2102N08724W 2105N08732W 2105N08733W 2109N08744W NUBIT DCT RIBET/N0437F360 UT101 ENAGA DCT OVAGO UT123 IKLOK/N0447F220 UT123 IGSON IGSON1B</t>
  </si>
  <si>
    <t>S12R 2100N08650W 2100N08649W 2101N08648W NOSUG 2231N08659W 2238N08700W 2323N08841W 2331N08854W SUVUM 2401N08933W 2402N08934W 2446N09039W PEGLG L208 SBI DCT ACT DCT ABI DCT TXO J72 GUP DCT HAHAA RKSTR4</t>
  </si>
  <si>
    <t>2429N09014W</t>
  </si>
  <si>
    <t>UDGUV2A UDGUV DCT 2051N08822W 2052N08833W NOTEN UT37 SESNO UJ15E RETOS RETOS1A</t>
  </si>
  <si>
    <t>S12R T12R6 UN418 UN409 2055N08705W 2055N08727W UBVOV UT101 ENAGA DCT OTAGO DCT ATUKA ATUKA1B</t>
  </si>
  <si>
    <t>N196UW</t>
  </si>
  <si>
    <t>NUDAL1A NUDAL UV106 PODON UG765 MAXIM Y262 CANVI DCT FOLZZ DCT PERMT AR16 SEELO DCT GARIC DCT AARNN DCT BBDOL PAATS4</t>
  </si>
  <si>
    <t>S12R 2059N08654W 2100N08655W 2101N08655W OMSUK 2146N08641W LENUK UB646 KERVU/N0474F330 UB646 CANOA Y196 TUNSL DCT FEMID/N0477F320 Q118 BRUTS/N0475F330 Q109 CAMJO DCT TEEEM Q99 EFFAY/N0466F350 Q99 POLYY DCT OGRAE DCT AUDII DCT FAK DCT RBV DCT LLUND DCT CAM DCT JASDU DCT PBERG CARTR5</t>
  </si>
  <si>
    <t>ENEBA2A ENEBA UT27 OMVIP 2332N08823W 2404N08927W DUTNA L208 SBI DCT</t>
  </si>
  <si>
    <t>S12R SR00 SR01 SR02 SR03 SR04 SR05 2106N08645W OMSUK 2142N08642W LENUK UB646 CANOA Y196 TUNSL Q81 KARTR/N0459F360 DCT RSW DCT KR72S/N0461F350 DCT HEPOX DCT KJ09S DCT ACERB DCT PSK DCT OXMAN LINNG3</t>
  </si>
  <si>
    <t>S12R T12R6 UN418 2056N08658W 2104N08741W 2131N08850W NOTEN UT37 ULUMA DCT MTY UT11 SINLO SINLO1A</t>
  </si>
  <si>
    <t>SWA217</t>
  </si>
  <si>
    <t>S12R SR00 SR01 SR02 SR03 SR04 SR05 SR06 SR07 2105N08645W 2132N08652W IRDOV L214 LEV J35 MCB/N0455F390 J35 MEM/N0453F400 J35 FAM/N0454F410 DCT SPI DCT PHEEB ENDEE8</t>
  </si>
  <si>
    <t>S12R SR00 SR01 SR02 SR03 SR04 SR05 SR06 SR07 2105N08646W NOSUG 2208N08657W 2210N08657W 2225N08658W 2238N08736W 2253N08805W 2302N08824W 2303N08825W 2311N08846W 2323N08918W 2351N09009W 2412N09027W 2413N09028W 2416N09032W PEGLG L208 SBI DCT</t>
  </si>
  <si>
    <t>2429N09044W</t>
  </si>
  <si>
    <t>S12R T12R6 UN418 UN409 UN419 UN432 LIDAM UT23 TAM UJ14 TMN DCT MORAS UJ17 QET DCT</t>
  </si>
  <si>
    <t>VIV2286</t>
  </si>
  <si>
    <t>S12R 2101N08651W 2058N08657W 2104N08709W 2108N08717W 2108N08718W 2108N08720W 2108N08721W 2108N08723W UBVOV UT20 TAJIN DCT VITOS VITOS2A</t>
  </si>
  <si>
    <t>S12R SR00 2102N08646W ENEBA UT27 NOSUG 2240N08700W IRDOV L214 LEV/N0465F370 DCT GCV DCT PAYTN DCT SHYRE HOBTT3</t>
  </si>
  <si>
    <t>HP9905</t>
  </si>
  <si>
    <t>S12R T12R6 TAKUX UM782 OMIRO/N0455F370 UN420 PELRA DCT SPP DCT SEKMA OSUPA2</t>
  </si>
  <si>
    <t>S12R SR00 SR01 SR02 SR03 SR04 SR05 SR06 SR07 SR08 SR09 SR10 SR11 2113N08648W 2115N08648W NOSUG 2215N08708W 2314N08737W 2325N08744W IRDOV/M077F360 L214 PLNDR/N0453F360 L214 LEV DCT DOOMS DCT HILTY DCT JAVAS DCT KP90G DCT LITNA PEPNO5</t>
  </si>
  <si>
    <t>S12R SR00 SR01 SR02 SR03 NOSUG 2225N08658W 2233N08658W MINOW/N0462F330 M215 KNOST Q109 BRUTS Q118 JAMIZ/N0462F340 Q118 THRSR DCT VXV/N0453F350 DCT SPAYD DCT HNN/N0456F350 DCT SUBWY CRAKN2</t>
  </si>
  <si>
    <t>S12R 2101N08651W MURBU B764 BUKKY BUKKY1A</t>
  </si>
  <si>
    <t>S12R SR00 SR01 SR02 NOSUG 2152N08656W 2153N08656W 2157N08657W 2203N08701W 2241N08805W 2242N08809W 2305N08830W 2325N08848W 2346N08909W 2347N08909W 2404N08927W PEGLG L208 SBI DCT EIC/N0456F350 DCT RZC/N0452F340 DCT SGF/N0455F350 DCT ROEZZ DCT MNOSO BLUEM5</t>
  </si>
  <si>
    <t>2429N08957W</t>
  </si>
  <si>
    <t>S12R T12R6 2100N08648W SR01 NUDAL UV106 PODON UG765 MAXIM SNDBR3</t>
  </si>
  <si>
    <t>N24508</t>
  </si>
  <si>
    <t>S12R T12R6 UN418 UN409 UN419 UN432 2050N08735W 2048N08743W 2047N08746W 2134N09213W 2145N09228W 2152N09240W 2154N09247W 2157N09259W 2153N09408W LIDAM TAM LRD DCT DLF DCT PNH DCT ZIGEE NIIXX4</t>
  </si>
  <si>
    <t>S12R SR00 SR01 SR02 SR03 NOSUG UT27 PISAD M215 CIGAR/N0494F350 DCT CTY DCT CRG DCT ORF DCT SIE DCT EBONY/N0482F370 DCT YYT DCT NICSO DCT 48N050W/M083F370 DCT 50N040W DCT 52N030W DCT 5230N02000W/M084F370 DCT MALOT/N0484F370 DCT GISTI DCT LAPMO DCT LIFFY DCT DOLAS DCT NAVPI DCT TIVUN/N0474F390 DCT ESAMA DCT OSBIT DCT BARSU DCT DEXIT DCT ARSIN DCT GITAS DCT INVED DCT TIMUR L606 GASRU T390 RILEX</t>
  </si>
  <si>
    <t>CGKXT</t>
  </si>
  <si>
    <t>S12R SR00 SR01 SR02 SR03 2104N08646W 2107N08648W ENEBA 2136N08654W 2146N08656W 2222N08708W 2228N08710W 2254N08723W 2256N08725W 2328N08751W 2332N08754W IRDOV L214 DAGGR/N0452F360 L214 LEV/N0451F370 J31 HRV DCT IGB DCT HITMN Q139 RINTE DCT QWERI NUBER6</t>
  </si>
  <si>
    <t>SWA180</t>
  </si>
  <si>
    <t>S12R T12R6 UN418 UN409 UN419 2052N08724W UKOKO UT78 DURPI 2059N08932W NA102 2101N08940W 2111N09014W 2116N09025W 2215N09225W 2218N09231W 2229N09254W 2229N09255W NOTEN UT37 EBDUB DCT NOTAL UJ2 MOV UT3 URKOM DCT CUS DCT DRRVR PINNG1</t>
  </si>
  <si>
    <t>S12R SR00 SR01 SR02 SR03 SR04 ENEBA 2145N08655W 2149N08655W 2158N08704W 2204N08709W 2353N09004W 2412N09020W 2424N09028W PEGLG L208 SBI DCT CRIED WHINY4</t>
  </si>
  <si>
    <t>2429N09033W</t>
  </si>
  <si>
    <t>S12R SR00 SR01 SR02 2100N08644W 2104N08643W 2106N08642W 2109N08642W NOSUG 2200N08656W 2205N08657W 2206N08657W 2209N08658W 2333N08931W 2335N08935W 2355N09000W 2400N09004W PEGLG L208 SBI DCT LUKKN WLEEE7</t>
  </si>
  <si>
    <t>2429N09032W</t>
  </si>
  <si>
    <t>S12R T12R6 2100N08648W N16S 2100N08642W 2102N08636W 2102N08633W NUDAL UV106 PODON UG765 EMOVI/N0468F350 UG765 MAXIM Y262 ZFP Y319 BRATZ/N0470F330 Y319 JAZZI DCT SAGGY/N0466F350 DCT CHIEZ Q161 KALDA Q108 SIE CAMRN5</t>
  </si>
  <si>
    <t>UDGUV2A UDGUV UT78 DURPI 2126N09030W 2132N09052W 2151N09138W NOTEN UT37 SESNO UJ15E RETOS RETOS1A</t>
  </si>
  <si>
    <t>N8783L</t>
  </si>
  <si>
    <t>S12R 2100N08650W 2100N08649W NC01 2100N08646W SR04 XHMJ NOSUG 2158N08656W 2203N08657W 2248N08714W 2252N08716W 2300N08721W 2308N08727W 2348N08801W IRDOV L214 LEV J35 MCB DCT LIT DCT KRTNY MHOMS3</t>
  </si>
  <si>
    <t>S12R T12R6 UN418 2056N08657W 2100N08713W 2106N08732W 2109N08740W 2110N08749W 2110N08755W 2120N09017W 2154N09131W 2206N09211W 2217N09220W NOTEN UT37 ULUMA DCT MTY DCT TASTO DCT ILAMA UT41 ELURO/N0454F340 UT41 NADIS DCT AVRIL UJ3 TANRI TANRI1B</t>
  </si>
  <si>
    <t>S12R T12R6 NC01 2105N08642W 2107N08639W NUDAL UV106 PODON UG765 EMOVI/N0468F350 UG765 MAXIM Y262 ZFP Y319 BRATZ/N0470F330 Y319 JAZZI DCT WAALT/N0466F350 Q131 EARZZ DCT JAMIE Q133 JFK ROBUC3</t>
  </si>
  <si>
    <t>S12R T12R6 UN418 UN409 2052N08721W UKOKO UT78 XOLRO 2050N09010W 2055N09026W 2059N09035W 2101N09059W UBVOV UT101 UMAVO/N0458F300 UT101 ENAGA ENAGA3A</t>
  </si>
  <si>
    <t>S12R SR00 SR01 SR02 2114N08645W 2119N08645W 2121N08644W 2132N08640W 2138N08639W 2144N08638W 2151N08635W 2208N08630W 2240N08621W 2248N08620W 2324N08610W 2335N08602W SNAKR M219 KNOST DCT DEANR/N0457F370 DCT BRUTS Q109 CAMJO DCT TWINS DCT PONZE BANKR8</t>
  </si>
  <si>
    <t>S12R T12R6 UN418 UN409 UN419 UN432 2058N08810W 2103N08834W 2105N08841W 2109N08903W 2109N08907W 2128N08947W 2139N09019W 2144N09110W 2150N09132W 2157N09158W 2203N09226W 2218N09302W NOTEN UT37 EBDUB DCT NUGUS/N0467F370 UJ59 MAM/N0465F380 DCT CRP HTOWN3</t>
  </si>
  <si>
    <t>S12R T12R6 UN418 2055N08659W UKOKO UT78 GOSAT 2053N08955W 2052N09003W 2044N09017W 2031N09056W VOKIR UMAVO UT101 ENAGA ENAGA3A</t>
  </si>
  <si>
    <t>N123DW</t>
  </si>
  <si>
    <t>S12R T12R6 2100N08649W CN02 2100N08646W 2101N08644W NUDAL UV106 PODON UG765 MAXIM DCT CYY DCT LAL/N0459F360 DCT MARQO DCT LARZZ JJEDI4</t>
  </si>
  <si>
    <t>SWA1032</t>
  </si>
  <si>
    <t>S12R SR00 SR01 NOSUG 2155N08656W 2230N08716W 2238N08724W 2336N08923W 2336N08924W 2347N08939W 2400N08955W DUTNA L208 SBI DCT FUZ J58 SPS DCT HALEN NIIXX4</t>
  </si>
  <si>
    <t>N68802</t>
  </si>
  <si>
    <t>S12R T12R6 UN418 UN409 UN419 UN432 2048N08746W 2114N08933W LCL5 2132N08959W 2155N09022W 2154N09036W 2200N09051W 2201N09054W 2203N09103W 2205N09106W 2208N09114W IPSEV L207 SEAGL CRP HTOWN3</t>
  </si>
  <si>
    <t>S12R T12R6 2056N08657W 2106N08711W 2106N08713W 2107N08719W 2103N08908W 2107N08938W 2109N08938W 2113N08957W 2118N09030W 2117N09052W UBVOV UT101 UMAVO UT169 VITOS VITOS2A</t>
  </si>
  <si>
    <t>S12R SR00 SR01 SR02 SR03 SR04 SR05 SR06 SR07 2130N08641W 2154N08636W 2338N08612W 2408N08550W NAVVL M219 CIGAR DCT GULFR DCT HOTHH DCT NOOKS DCT AUDII DCT PEETT DCT RIC DCT HOGGS DCT RIFLE DCT CELTK DCT TUSKY N467B BUDAR/M085F400 NATV MOGLO/M085F410 DCT NIBOG/N0474F410 DCT BRUCE BRUCE1G</t>
  </si>
  <si>
    <t>S12R 2100N08648W 2102N08646W NOSUG 2202N08657W 2207N08657W 2253N08720W 2322N08745W IRDOV L214 PLNDR DCT HRV DCT MCB/N0443F370 DCT MEM/N0444F380 J187 FTZ TRTLL6</t>
  </si>
  <si>
    <t>XASAM</t>
  </si>
  <si>
    <t>S12R T12R6 2056N08653W 2054N08737W 2054N08745W 2048N09323W 2048N09334W UMAVO UT104 LENUL DCT</t>
  </si>
  <si>
    <t>SWA1027</t>
  </si>
  <si>
    <t>S12R 2101N08651W NC29 CN09 NOSUG UT27 PISAD L333 HRV</t>
  </si>
  <si>
    <t>S12R T12R6 UN418 2056N08655W 2102N08719W 2106N08732W 2102N08936W S3602 2108N08956W 2115N09015W 2115N09024W 2124N09047W 2124N09106W UBVOV UT20 PAZ UT104 LENUL LENUL2B</t>
  </si>
  <si>
    <t>S12R 2101N08650W MOGOP NUDAL UV106 PODON UG765 EMOVI/N0474F350 UG765 MAXIM BHHIA3</t>
  </si>
  <si>
    <t>S12R T12R6 UN418 UN409 UN419 UN432 UBVOV UT101 ENAGA ENAGA3A</t>
  </si>
  <si>
    <t>S12R T12R6 NUDAL UV106 PODON UG765 MAXIM Y262 TUNSL DCT FEMID Q118 CHRRI/N0470F340 Q118 SHEEK Q110 DAWWN DCT BEORN HOBTT3</t>
  </si>
  <si>
    <t>S12R SR00 SR01 SR02 ROTGI UM219 X219 2359N08559W SNAKR M219 KNOST DCT NICKI DCT MGR/N0453F360 DCT JOHNN/N0452F370 Q118 THRSR DCT NOTWO DCT HUCHH DCT VXV JAKIE7</t>
  </si>
  <si>
    <t>S12R NUDAL UV106 PODON UG765 EMOVI/N0455F370 UG765 MAXIM Y262 TUNSL DCT KUTNE MUNGI1</t>
  </si>
  <si>
    <t>S12R T12R6 UN418 2056N08655W 2103N08716W 2108N08729W 2109N08731W 2111N08736W XOTNA 2110N08739W 2110N08740W 2110N08742W 2110N08744W 2110N08815W 2111N08817W 2111N08831W LIDAM UT23 TAM UJ14 TMN UT147 SLP UJ40 LIBOL LIBOL1B</t>
  </si>
  <si>
    <t>S12R T12R6 UN418 UN409 2059N08708W 2059N08711W 2057N08927W 2057N08930W 2106N09009W 2126N09037W 2133N09046W 2134N09050W 2136N09111W 2137N09131W LIDAM UT23 TAM UJ14 TMN UT147 AGU UT44 MEZCA MEZCA1A</t>
  </si>
  <si>
    <t>N507AY</t>
  </si>
  <si>
    <t>S12R SR00 SR01 SR02 ROTGI UM219 MYDIA M219 CIGAR/N0462F350 M219 KNOST DCT DEANR DCT BRUTS Q109 CAMJO DCT TWINS DCT PONZE BANKR8</t>
  </si>
  <si>
    <t>S12R SR00 SR01 NOSUG 2232N08659W 2238N08700W 2312N08842W 2312N08855W 2313N08915W 2313N08920W 2312N09021W 2313N09102W 2326N09102W IPSEV L207 SEAGL/N0475F300 L207 VUH/N0476F320 DCT JCT DCT LOWGO J15 INK DCT KA12U DCT AXARY DCT KA18Q DCT BXK J4 WLVRN DCT ESTWD HLYWD1</t>
  </si>
  <si>
    <t>S12R T12R6 2059N08650W 2046N08655W CZ70 2037N08658W 1956N08715W 1949N08722W 1912N08739W 1856N08747W URNOS DCT CAT DCT</t>
  </si>
  <si>
    <t>1822N08756W</t>
  </si>
  <si>
    <t>S12R T12R6 UN402 UN408 CZM 2023N08655W 2002N08647W 1916N08626W MGA UZ512 IMOLA/N0450F370 UZ512 LIXAS UL203 ARNEL UM542 TAL UV1 ATATU ATATU4</t>
  </si>
  <si>
    <t>1929N08632W</t>
  </si>
  <si>
    <t>N1803U</t>
  </si>
  <si>
    <t>S12R SR00 SR01 SR02 SR03 SR04 SR05 ROTGI UM219 MYDIA M219 KNOST/N0462F390 Q109 CAMJO Q99 OGRAE DCT GOOOB DCT THHMP RAVNN9</t>
  </si>
  <si>
    <t>S12R SR00 SR01 SR02 SR03 KEHLI A766 SBI/N0470F350 DCT ELD/N0464F370 DCT LIT J180 FTZ SHAIN2</t>
  </si>
  <si>
    <t>S12R SR00 SR01 SR02 2125N08643W 2135N08641W 2144N08638W LENUK UB646 KERVU/N0468F330 UB646 CANOA Y196 TUNSL Y262 GOPEY Q87 TIRCO/N0467F340 Q87 ZERBO/N0465F350 Q87 ALWZZ DCT OGRAE Q99 QUART PHLBO4</t>
  </si>
  <si>
    <t>N146AA</t>
  </si>
  <si>
    <t>S12R SR00 SR01 SR02 KEHLI A766 SBI DCT CRIED WHINY4</t>
  </si>
  <si>
    <t>S12R T12R6 2100N08649W NUDAL UV106 PODON UG765 MAXIM Y262 ZFP Y319 JAZZI DCT SAGGY DCT CHIEZ Q161 KALDA Q108 SIE CAMRN5</t>
  </si>
  <si>
    <t>CGEWJ</t>
  </si>
  <si>
    <t>S12R SR00 SR01 2138N08653W 2311N08735W 2335N08753W 2404N08809W IRDOV/M078F340 L214 PLNDR/N0464F340 L214 LEV DCT TBD DCT AEX DCT MLC DCT HYS/N0455F360 DCT HANKI DCT OLIIV DCT COUTS DCT EBGAL EBGAL7</t>
  </si>
  <si>
    <t>S12R T12R6 UN418 UN409 UN419 UN432 2054N08847W 2055N08852W NOTEN UT37 EBDUB DCT ETMES UJ53 REX DCT DLF DCT PNH DCT ZIGEE NIIXX4</t>
  </si>
  <si>
    <t>S12R T12R6 UN418 UN409 UN419 UN432 NUBIT DCT RIBET UT101 ENAGA DCT OVAGO UT123 IKLOK/N0450F220 UT123 IGSON IGSON1B</t>
  </si>
  <si>
    <t>S12R SR00 SR01 NOSUG 2158N08656W 2206N08657W 2213N08659W KEHLI A766 SBI DCT ACT DCT PNH DCT ALS DCT JNC J12 HELPR JAZZZ1</t>
  </si>
  <si>
    <t>S12R SR00 SR01 2128N08643W 2328N08617W 2336N08614W 2340N08611W 2342N08609W 2345N08607W 2406N08548W SNAKR M219 CIGAR DCT GULFR/N0484F390 DCT HOTHH DCT NOOKS DCT AUDII DCT PEETT DCT RIC DCT HOGGS DCT RIFLE DCT CELTK DCT TUSKY DCT 47N060W DCT VINSI DCT YQX/N0432F270 DCT ELSIR/M072F270 DCT 50N050W DCT 52N040W DCT 53N030W DCT 54N020W DCT DOGAL/N0423F330 DCT BEXET/N0412F370 DCT OLAPO DCT ULTAG DCT GMN DCT BOFUM Q37 MALUD MALUD1M</t>
  </si>
  <si>
    <t>HP1842</t>
  </si>
  <si>
    <t>S12R T12R6 2100N08648W 2044N08633W 2037N08636W 2035N08635W 2028N08629W 2021N08619W CZ704 2017N08614W TAKUX 1833N08431W PELRA DCT SPP DCT SEKMA OSUPA2</t>
  </si>
  <si>
    <t>N944AV</t>
  </si>
  <si>
    <t>S12R T12R6 UN415 2055N08640W 2028N08616W TAKUX UM782 OMIRO/N0454F370 UN420 SPP UP530 KAKOL DCT RNG UQ121 ISVAT ISVA5E</t>
  </si>
  <si>
    <t>S12R SR00 SR01 SR02 SR03 NOSUG UT27 OMVIP UT45 IRDOV DCT DAGGR DCT LEV/N0464F370 J31 MEI DCT IGB/N0458F380 DCT KISTS CHSNE3</t>
  </si>
  <si>
    <t>S12R T12R6 UN418 2052N08717W 2050N08725W 2006N08857W 2004N08900W CME NOPON UJ9 VSA DCT</t>
  </si>
  <si>
    <t>MXY1600</t>
  </si>
  <si>
    <t>N258BZ</t>
  </si>
  <si>
    <t>S12R SR00 SR01 SR02 NOSUG UT27 OMVIP UT45 IRDOV L214 LEV DCT</t>
  </si>
  <si>
    <t>SWA115</t>
  </si>
  <si>
    <t>N283WN</t>
  </si>
  <si>
    <t>S12R T12R6 UN418 2050N08725W 2049N08730W 2102N09308W 2102N09309W 2103N09311W 2103N09312W 2103N09327W 2103N09331W 2104N09338W 2050N09346W 2045N09351W AXOMU ALUXU UT48 MAM DCT HRL/N0444F410 DCT BRENI CRVZA2</t>
  </si>
  <si>
    <t>N1807U</t>
  </si>
  <si>
    <t>S12R SR00 SR01 SR02 SR03 NOSUG 2157N08656W 2202N08656W KEHLI A766 KELPP PUCKS4</t>
  </si>
  <si>
    <t>N978NN</t>
  </si>
  <si>
    <t>S12R SR00 SR01 SR02 SR03 2145N08654W 2211N08710W 2214N08704W 2221N08707W KEHLI A766 SBI DCT CRIED WHINY4</t>
  </si>
  <si>
    <t>CFSIP</t>
  </si>
  <si>
    <t>S12R SR00 SR01 SR02 SR03 NOSUG 2152N08656W 2201N08658W 2203N08700W KEHLI/M078F360 A766 KLAMS/N0461F360 A766 SBI DCT FUZ DCT SPS J168 LAA DCT FQF DCT CKW DCT DBS J52 DOXIE DCT METOW GRIZZ1</t>
  </si>
  <si>
    <t>S12R SR00 SR01 SR02 2100N08644W 2101N08644W ENEBA NOSUG 2210N08657W 2213N08658W OMVIP 2329N08723W 2345N08746W 2346N08746W 2353N08757W 2354N08758W 2402N08806W 2404N08808W 2418N08819W DAGGR L214 PLNDR/N0467F340 L214 LEV DCT TBD DCT AEX DCT KF27E DCT GCK DCT CKW DCT KU84O DCT DBS DCT FINUT DCT METOW GRIZZ1</t>
  </si>
  <si>
    <t>ENEBA2A ENEBA UT27 OMVIP 2314N08711W 2330N08735W 2335N08745W 2338N08751W 2340N08754W 2346N08759W 2405N08812W DAGGR/M078F380 L214 PLNDR/N0456F380 L214 LEV DCT TBD DCT SWB DCT KF24G DCT LYGHT DCT KK54C DCT NUXRO DCT RECAP/N0445F400 DCT KU09U DCT BEVEL DCT VESDO DCT EBGAL EBGAL7</t>
  </si>
  <si>
    <t>S12R SR00 SR01 2104N08647W 2139N08642W 2226N08637W MYDIA M219 CIGAR M215 KNOST Q109 DEANR/N0471F350 Q109 CAMJO Q99 QUART PHLBO4</t>
  </si>
  <si>
    <t>S12R T12R6 UN415 UN413 2109N08607W 2111N08603W FRANT UG765 MAXIM Y262 GOPEY Q87 TIRCO/N0476F340 Q87 MATLK/N0480F320 Q87 ZERBO/N0479F330 Q87 VIYAP/N0470F350 Q87 LCAPE DCT RDU DCT BZNGA DCT DORRN CAVLR7</t>
  </si>
  <si>
    <t>UDGUV2A UDGUV DCT MID DCT NOTEN/N0455F380 UT37 SESNO UJ15E RETOS RETOS1A</t>
  </si>
  <si>
    <t>UDGUV2A UDGUV UT78 UKOKO 2049N08840W 2049N08848W TMN UT147 SLP</t>
  </si>
  <si>
    <t>S12R T12R6 UN418 UN409 UN419 2052N08729W 2053N08730W 2108N08927W 2113N09005W 2134N09314W TMN DCT MORAS UJ17 QET</t>
  </si>
  <si>
    <t>N948AV</t>
  </si>
  <si>
    <t>S12R T12R6 2100N08649W ALYRE TAKUX UM782 OMIRO/N0453F370 UM782 MEVUB UP406 AKPEK W37 NENES/N0412F270 A323 RNG DCT ISVAT ISVA5E</t>
  </si>
  <si>
    <t>CCBFP</t>
  </si>
  <si>
    <t>S12R 2101N08650W 2047N08650W 2041N08648W 2005N08641W 1955N08641W BTO UZ498 MGA UZ512 LIXAS UL203 EKEDA/N0442F370 UL203 ARNEL UM542 TAL UV1 ATATU ATATU4</t>
  </si>
  <si>
    <t>GRAPHIC 2: DEPARTURES BY HOUR AND SID - SAT OCT 3, 2026</t>
  </si>
  <si>
    <t>GRAPHIC 1: DEPARTURES BY HOUR AND SID - SAT OCT 3, 2026</t>
  </si>
  <si>
    <t>S12R T12R6 UN418 UN409 UN419 2051N08729W 2051N08736W NUBIT DCT RIBET UT101 ENAGA DCT OVAGO UT123 IKLOK/N0449F220 UT123 IGSON IGSON1B</t>
  </si>
  <si>
    <t>VIV2108</t>
  </si>
  <si>
    <t>VIV2204</t>
  </si>
  <si>
    <t>S12R T12R6 UN418 UN409 UN419 2052N08722W NOTEN/N0455F380 UT37 SESNO UJ15E RETOS RETOS1A</t>
  </si>
  <si>
    <t>CFLKO</t>
  </si>
  <si>
    <t>S12R SR00 SR01 SR02 SR03 SR04 OMSUK UM219 MYDIA/N0453F390 M219 KNOST Q109 CAMJO DCT RIELE DCT BLAAN Q69 RICCS DCT OXMAN LINNG3</t>
  </si>
  <si>
    <t>S12R T12R6 UN418 UN409 UN419 2051N08725W 2051N08730W 2050N08740W 2054N08857W NOTEN UT37 EBDUB/N0448F180 UT37 SESNO UJ15E RETOS/N0329F180 RETOS1A</t>
  </si>
  <si>
    <t>CGWSB</t>
  </si>
  <si>
    <t>S12R 2101N08650W CN04 OMSUK UM219 MYDIA/M078F370 M219 CIGAR/N0458F370 DCT KT12Q DCT SCNRY DCT AIR DCT OXMAN LINNG3</t>
  </si>
  <si>
    <t>S12R SR00 SR01 SR02 SR03 ROTGI UM219 MYDIA/M083F350 M219 CULLY/N0491F350 M219 CIGAR M215 KNOST Q109 EVANZ/N0487F370 Q109 TEEEM Q99 POLYY DCT DADDS Q87 GEARS DCT BBOBO Q22 FOXWD DCT TUSKY N179G PORTI/M080F270 DCT 47N050W 49N040W 51N030W 52N020W DCT LIMRI/N0472F390 DCT XETBO DCT NORLA/N0473F410 DCT FONZU DCT ELRIP DCT OTMET OTMET1G</t>
  </si>
  <si>
    <t>S12R T12R6 2101N08648W NUDAL UV106 PODON UG765 MAXIM Y262 ZFP DCT NUCAR DCT SNAGY/M085F370 M203 BOBTU/N0493F370 DCT RAFIN/M085F390 DCT 46N050W/M085F390 49N040W 50N030W 49N020W/M085F390 DCT PITAX/N0491F400 DCT STG DCT DESAT N733 ZMR</t>
  </si>
  <si>
    <t>S12R 2101N08651W SL0 NOSUG 2218N08658W 2225N08657W KEHLI A766 KELPP NNCEE2</t>
  </si>
  <si>
    <t>S12R 2100N08651W UDGUV DCT 2116N09023W 2116N09031W TMN DCT MORAS UJ17 QET</t>
  </si>
  <si>
    <t>N883DN</t>
  </si>
  <si>
    <t>UDGUV2A UDGUV 2050N08803W 2051N08810W NOTEN UT37 EBDUB NUGUS UJ59 MAM DCT BRO DCT KH72C DCT SATOC/N0471F340 DCT KH81A DCT DLF ELP J50 ITEMM BXK ESTWD HLWD1</t>
  </si>
  <si>
    <t>S12R 2101N08650W PIRAS/N0335F230 BARRA4P</t>
  </si>
  <si>
    <t>1925N08635W</t>
  </si>
  <si>
    <t>S12R SR00 SR01 SR02 SR03 SR04 2102N08644W OMSUK UM219 MYDIA Y240 SNAKR M219 CIGAR/N0490F390 DCT TAY DCT CHS/N0485F410 DCT FAK DCT ENO DCT VCN DCT CYN DCT RIFLE DCT HTO DCT BRADD N427A ELSIR/M085F400 NATW NETKI/M085F410 DCT LIPGO/N0481F410 DCT NUCHU DCT BOGNA UL612 XAMAB/N0484F410 UL612 VEULE DCT TEPRI DCT POGZI DCT GELTA DCT MANAG DCT PEVIT DCT BLM</t>
  </si>
  <si>
    <t>CGFCI</t>
  </si>
  <si>
    <t>S12R 2100N08649W OMSUK UM219 MYDIA/M080F310 M219 CULLY/N0484F310 M219 CIGAR/N0479F330 M219 KNOST DCT CAMJO DCT TWINS DCT SPA DCT BKW DCT GEFFS Q71 EMNEM DCT OXMAN LINNG3</t>
  </si>
  <si>
    <t>TAKUX2A TAKUX UM782 OMIRO UN420 BONOS/N0448F390 UN420 SPP DCT VUNIB DCT SIROT DCT KUBEK DCT RNG DCT ISVAT ISVAT5E</t>
  </si>
  <si>
    <t>S12R T12R6 UN418 UN409 2051N09022W ELURA UMAVO UT101 ENAGA ENAGA3A</t>
  </si>
  <si>
    <t>S12R SR00 SR01 SR02 SR03 OMSUK UM219 MYDIA M219 BUUOY/N0480F370 M219 CIGAR DCT KJ84Q DCT TAY DCT SAV DCT VAN DCT FLO DCT CVI DCT ORF/M082F370 DCT LINND/N0474F370 DCT KANNI/N0470F390 N421B ELSIR/M081F390 DCT 50N050W 52N040W 54N030W/M082F400 55N020W DCT RESNO/N0466F400 DCT NETKI/N0462F410 DCT LIPGO DCT NUCHU L607 KONAN DCT KOK DCT SPI T180 NIVNU T847 TUTOV TUTOV1D</t>
  </si>
  <si>
    <t>S12R T12R6 UN418 UN409 UN419 UBVOV UT101 ENAGA ENAGA3A</t>
  </si>
  <si>
    <t>PHTFL</t>
  </si>
  <si>
    <t>S12R SR00 SR01 SR02 OMSUK UM219 MYDIA M219 CIGAR DCT GULFR DCT HOTHH DCT JENDO DCT AHOEY/N0478F410 DCT HBUDA DCT COLIN DCT SIE DCT SHERL DCT LFV DCT TUSKY N269B ACADN DCT MIVAD DCT JOOPY DCT 49N050W/M085F410 DCT 53N040W DCT 55N030W DCT 56N020W DCT PIKIL DCT SOVED DCT KUGUR/N0466F410 DCT BELZU DCT MASOP DCT BELOX L603 LAMSO</t>
  </si>
  <si>
    <t>S12R T12R6 UN418 UN409 UN419 UN432 2048N09323W 2047N09326W 2046N09336W 2031N09454W LIDAR UMAVO UT101 ENAGA ENAGA3A</t>
  </si>
  <si>
    <t>UDGUV2A UDGUV DCT 2059N08754W NOTEN UT37 SESNO UJ15E RETOS RETOS1A</t>
  </si>
  <si>
    <t>UDGUV2A UDGUV UT78 DURPI 2044N09159W 2048N09236W UBVOV UT101 ENAGA ENAGA3A</t>
  </si>
  <si>
    <t>S12R T12R6 UN418 UN409 UN419 UN432 2014N09004W 2004N09022W 1947N09058W 1924N09149W 1914N09209W 1852N09251W 1850N09308W 1843N09332W ALRAD OMPAN1A</t>
  </si>
  <si>
    <t>1852N09510W</t>
  </si>
  <si>
    <t>UDGUV2A UDGUV UT78 VIKMO 2053N09131W 2111N09233W UBVOV UT20 TAJIN DCT VITOS VITOS2A</t>
  </si>
  <si>
    <t>UDGUV2A UDGUV UT78 VIKMO 2056N09202W 2115N09327W UBVOV DCT UMAVO UT101 ENAGA ENAGA3A</t>
  </si>
  <si>
    <t>UDGUV2A UDGUV UT78 VIKMO 2053N09153W 2057N09230W 2057N09240W UBVOV UT101 UMAVO/N0454F300 UT101 ENAGA ENAGA3A</t>
  </si>
  <si>
    <t>S12R T12R6 UDGUV DCT 2051N08757W 2241N09232W 2300N09304W NOTEN UT37 SESNO UJ15E RETOS RETOS1A</t>
  </si>
  <si>
    <t>1958N08602W</t>
  </si>
  <si>
    <t>UDGUV2A UDGUV 2049N09049W 2050N09057W 2107N09152W 2117N09205W 2119N09228W 2117N09235W UBVOV UT101 UMAVO/N0457F300 UT101 ENAGA ENAGA3A</t>
  </si>
  <si>
    <t>N3754A</t>
  </si>
  <si>
    <t>S12R SR00 SR01 SR02 SR03 SR04 SR05 SR06 2117N08642W 2135N08635W 2146N08630W 2154N08628W MYDIA M219 CIGAR M215 KNOST/N0453F370 DCT CAMJO DCT LAIRI DCT LARZZ SITTH3</t>
  </si>
  <si>
    <t>S12R SR00 SR01 SR02 SR03 SR04 SR05 SR06 SR07 NOSUG 2200N08656W 2206N08657W IRDOV L214 DAGGR/N0472F340 L214 LEV DCT AEX GESNR2</t>
  </si>
  <si>
    <t>S12R T12R6 UN415 UN413 2100N08633W 2107N08627W 2116N08619W 2124N08612W FRANT UG765 MAXIM Y262 ZFP/M083F330 DCT SUMRS/M083F350 M327 JIMAC DCT BALOO DCT 38N050W/M082F370 DCT 3930N04000W DCT 41N030W DCT 41N020W DCT ERPES/N0479F390 DCT OGERO/N0474F380 Z409 TLD</t>
  </si>
  <si>
    <t>XASRJ</t>
  </si>
  <si>
    <t>UDGUV2A UDGUV UT78 VIKMO 2054N09159W 2055N09200W 2100N09221W 2111N09245W 2122N09337W 2110N09344W 2108N09351W UBVOV UT101 UMAVO/N0478F300 UT101 ENAGA ENAGA3A</t>
  </si>
  <si>
    <t>XAVFT</t>
  </si>
  <si>
    <t>S12R 2101N08651W UDGUV UJ84 CZA UJ9 NAPRI NAPRI1A</t>
  </si>
  <si>
    <t>N650RA</t>
  </si>
  <si>
    <t>S12R SR00 SR01 SR02 SR03 SR04 NOSUG 2328N08841W 2333N08846W 2339N08852W 2344N08856W KELPP DCT</t>
  </si>
  <si>
    <t>S12R SR00 SR01 SR02 SR03 2117N08646W 2129N08641W 2148N08629W 2154N08623W 2200N08619W MYDIA/N0465F350 M219 CIGAR DCT DEANR Q109 CAMJO Q99 QUART PHLBO4</t>
  </si>
  <si>
    <t>UDGUV2A UDGUV UT78 VIKMO 2047N09158W 2046N09202W 2055N09312W UBVOV UT101 UMAVO/N0459F300 UT101 ENAGA</t>
  </si>
  <si>
    <t>UDGUV2A UDGUV UT78 DURPI 2238N09311W 2239N09313W 2245N09357W ULUMA UT37 SESNO UJ15E RETOS RETOS1A</t>
  </si>
  <si>
    <t>UDGUV2A UDGUV UT78 VIKMO 2116N09143W 2123N09150W 2128N09305W 2124N09315W 2103N09403W 2100N09413W TAJIN DCT VITOS VITOS2A</t>
  </si>
  <si>
    <t>2054N09459W</t>
  </si>
  <si>
    <t>S12R T12R6 UN418 UN409 UN419 UN432 2050N08734W 2049N08739W 2054N09231W 2052N09238W 2044N09300W 2049N09327W UBVOV DCT UMAVO UT101 ENAGA ENAGA3A</t>
  </si>
  <si>
    <t>UDGUV2A UDGUV 2048N08749W 2047N08753W 2052N09203W 2102N09216W 2107N09229W 2107N09251W UBVOV UT101 UMAVO UT169 VITOS VITOS2A</t>
  </si>
  <si>
    <t>UDGUV2A UDGUV UT78 DURPI 2051N09142W 2107N09211W 2122N09225W NUBIT DCT RIBET UT101 ENAGA DCT OVAGO UT123 IKLOK/N0449F220 UT123 IGSON IGSON1B</t>
  </si>
  <si>
    <t>S12R T12R6 UN418 UN409 UN419 2051N08733W 2050N08737W UBVOV UT101 UMAVO/N0428F300 UT101 ENAGA/N0414F270 ENAGA3A</t>
  </si>
  <si>
    <t>N981NN</t>
  </si>
  <si>
    <t>S12R 2101N08651W UN580 SL0 2101N08646W 2110N08648W NOSUG 2210N08657W 2214N08658W KEHLI A766 SBI DCT CRIED WHINY4</t>
  </si>
  <si>
    <t>S12R T12R6 UN415 PELRA DCT SPP DCT SEKMA OSUPA2</t>
  </si>
  <si>
    <t>S12R 2100N08649W MOGOP CN02 NC011 2101N08646W ROTGI UM219 XOPGI UB646 CANOA Y196 TUNSL Y262 GOPEY Q87 TIRCO/N0474F340 Q87 ZERBO/N0471F350 Q87 VIYAP Q69 GURGE DCT CAE DCT LUNDD Q69 RICCS DCT OXMAN LINNG3</t>
  </si>
  <si>
    <t>S12R 2100N08649W SR0 2059N08645W SR02 OMSUK UM219 MYDIA/N0465F350 M219 CIGAR DCT DEANR Q109 CAMJO Q99 OGRAE DCT BZNGA DCT DORRN CAVLR7</t>
  </si>
  <si>
    <t>S12R T12R6 2031N08703W 1757N08857W TUCAN UG757 AUR DCT</t>
  </si>
  <si>
    <t>1804N08852W</t>
  </si>
  <si>
    <t>S12R SR00 2058N08646W DEP12 2059N08643W ROTGI UM219 MYDIA M219 CIGAR M219 KNOST DCT CAMJO Q99 TEEEM/N0452F350 Q99 BLAAN Q69 RICCS DCT OXMAN LINNG3</t>
  </si>
  <si>
    <t>S12R T12R6 2057N08649W ALSUP UB881 URIOS DCT GABIX DCT TUMEK DCT TIBUT DCT PIRAS BARRA4P</t>
  </si>
  <si>
    <t>UDGUV2A UDGUV DCT 2052N08842W 2053N08849W NOTEN UT37 SESNO UJ15E RETOS RETOS1A</t>
  </si>
  <si>
    <t>S12R T12R6 2057N08653W 2054N08655W 2053N08657W UDGUV DCT 2053N08842W 2053N08849W NOTEN/N0450F380 DCT LIBOX DCT MOV UT3 URKOM UJ54 CJS DCT</t>
  </si>
  <si>
    <t>S12R 2102N08651W T12R6 2101N08649W ENEBA 2143N08655W 2148N08655W 2151N08657W 2157N08659W KEHLI A766 KELPP BAYYY5</t>
  </si>
  <si>
    <t>HP1524</t>
  </si>
  <si>
    <t>S12R T12R6 UN415 TAKUX UM782 OMIRO/N0438F410 UN420 PELRA DCT SPP DCT SEKMA OSUPA2</t>
  </si>
  <si>
    <t>S12R 2100N08650W T12L6 2101N08648W OMSUK UM219 MYDIA M219 KNOST DCT CAMJO Q99 TEEEM/N0453F370 Q99 BLAAN Q69 RICCS DCT PSB DCT SYR DCT ART IMPAC4</t>
  </si>
  <si>
    <t>S12R SR00 SR01 SR02 SR03 2129N08650W 2135N08652W 2147N08656W 2154N08659W KEHLI A766 KELPP DCT MUSYL DCT WEEED WLEEE7</t>
  </si>
  <si>
    <t>UDGUV2A UDGUV 2048N08748W 2048N08754W LIDAM UT23 TAM UJ14 TMN UT147 SLP UJ40 MERGO/N0458F200 UJ40 LIBOL LIBOL1B</t>
  </si>
  <si>
    <t>S12R 2026N08617W AVSEB PELRA/N0446F390 DCT SPP DCT SEKMA OSUPA2</t>
  </si>
  <si>
    <t>S12R 2100N08648W SR00 SR01 SR02 OMSUK UM219 MYDIA/M078F370 M219 KNOST/N0455F370 Q109 CAMJO DCT CAE DCT GSO DCT PAYGE DCT GUBID OMVAR2</t>
  </si>
  <si>
    <t>UDGUV2A UDGUV UJ84 CPE 1948N09037W 1859N09204W 1852N09300W 1853N09509W OTIGA UJ24 UPN DCT IGSON IGSON1A</t>
  </si>
  <si>
    <t>1853N09510W</t>
  </si>
  <si>
    <t>N207WN</t>
  </si>
  <si>
    <t>NUDAL1A NUDAL UV106 PODON UG765 MAXIM Y262 GOPEY Q87 TIRCO/N0466F360 Q87 ZERBO/N0468F370 Q87 RAYVO Q113 AARNN DCT THHMP RAVNN9</t>
  </si>
  <si>
    <t>S12R T12R6 UN418 UN409 UN419 UN432 PQE/N0327A180 V51 SAXAV V51 TGZ DCT</t>
  </si>
  <si>
    <t>CCBGX</t>
  </si>
  <si>
    <t>ALSUP1C ALSUP UB881 BTO UZ498 MGA UZ512 LIXAS UL203 ATENO UM542 ISREN UL780 MOXES/N0484F410 UL780 SORTA/N0484F410 UL780 SULNA UT315 TOY UL302 SIMOK SIMOK7B</t>
  </si>
  <si>
    <t>S12R SR00 SR01 SR02 SR03 2106N08645W 2115N08648W 2117N08649W 2119N08650W ROTGI UM219 MYDIA M219 CIGAR/N0463F330 DCT BULZI DCT JOHNN/N0460F340 Q118 HEVAN/N0432F280 Q118 BONNT/N0406F240 VEECK5</t>
  </si>
  <si>
    <t>N539UW</t>
  </si>
  <si>
    <t>S12R SR00 SR01 SR02 2100N08644W ROTGI UM219 MYDIA M219 BUUOY/N0451F350 M219 KNOST Q109 CAMJO Q99 PEETT DCT BBDOL PAATS4</t>
  </si>
  <si>
    <t>XBEEM</t>
  </si>
  <si>
    <t>N8789Q</t>
  </si>
  <si>
    <t>S12R SR00 SR01 SR02 SR03 SR04 SR05 SR06 SR07 ROTGI UM219 MYDIA M219 CIGAR DCT SZW/N0465F360 DCT JAGIR SWFFT3</t>
  </si>
  <si>
    <t>S12R T12R6 2058N08645W 2051N08641W 2038N08636W 2035N08635W TAKUX UM782 MEVUB UP406 AKPEK AKPE4C</t>
  </si>
  <si>
    <t>S12R SR00 SR01 SR02 SR03 SR04 SR05 SR06 SR07 SR08 SR09 UN406 2148N08655W 2214N08703W 2225N08707W KEHLI A766 SBI DCT CRIED WHINY4</t>
  </si>
  <si>
    <t>S12R T12R6 UN418 UN409 UN419 UN432 2050N08739W 2036N08755W CZA DCT 2012N08953W OMATO UJ16 OAX</t>
  </si>
  <si>
    <t>UDGUV2A UDGUV DCT 2054N08859W MD611 NOTEN UT37 SESNO UJ15E RETOS RETOS1A</t>
  </si>
  <si>
    <t>N306DN</t>
  </si>
  <si>
    <t>OMSUK2A OMSUK UM219 MYDIA M219 CIGAR DCT PLYER DCT AMG DCT TWINS DCT SUG DCT HMV DCT GZG DCT HNN/N0448F350 DCT SUBWY HTROD2</t>
  </si>
  <si>
    <t>S12R T12R6 UN418 UN409 UN419 UN432 2053N08739W 2101N08833W 2050N09116W 2050N09117W 2055N09220W 2111N09316W 2115N09342W VOKIR UT101 ENAGA DCT OVAGO UT123 IKLOK/N0448F220 UT123 IGSON IGSON1B</t>
  </si>
  <si>
    <t>2055N09459W</t>
  </si>
  <si>
    <t>OMSUK2A OMSUK UM219 MYDIA M219 KNOST Q109 DFENC/N0449F330 DCT SAWED Q108 SIE CAMRN5</t>
  </si>
  <si>
    <t>UDGUV2A UDGUV DCT 2053N08850W IZAML NOTEN/N0459F360 UT37 SESNO UJ15E RETOS RETOS1A</t>
  </si>
  <si>
    <t>S12R SR00 SR01 SR02 SR03 2101N08644W NOSUG UT27 OMVIP DCT KEHLI A766 SBI DCT LUKKN WLEEE7</t>
  </si>
  <si>
    <t>S12R SR00 SR01 SR02 SR03 SR04 SR05 SR06 SR07 SR08 SR09 SR10 SR11 2113N08647W NOSUG UT27 OMVIP UT45 ALKIM DCT KEHLI A766 KELPP NNCEE2</t>
  </si>
  <si>
    <t>N45KH</t>
  </si>
  <si>
    <t>S12R T12R6 2100N08650W 1958N09200W 1954N09239W OMPAN DCT</t>
  </si>
  <si>
    <t>S12R SR00 SR01 SR02 SR03 SR04 SR05 SR06 2103N08646W OMSUK UM219 MYDIA M219 CIGAR M215 KNOST DCT CAMJO DCT LAIRI DCT LARZZ SITTH3</t>
  </si>
  <si>
    <t>S12R 2102N08652W TAKUX UM782 OMIRO/N0450F390 UN420 SPP UP530 KAKOL DCT RNG UQ121 ISVAT ISVA5E</t>
  </si>
  <si>
    <t>2102N08652W 2100N08649W 2100N08643W 2101N08640W 2102N08639W 2140N08640W 2144N08640W LENUK UB646 CANOA Y196 TUNSL DCT FEMID/N0477F320 Q118 BRUTS/N0474F330 Q109 EVANZ/N0468F350 Q109 CAMJO DCT TEEEM Q99 POLYY DCT OGRAE DCT AUDII DCT FAK/N0458F370 DCT RBV DCT LLUND DCT CAM DCT JASDU DCT PBERG CARTR5</t>
  </si>
  <si>
    <t>S12R T12R6 UN418 UN409 2053N08715W 2059N08750W 2103N08801W 2104N08805W 2105N08810W 2106N08847W 2107N08854W NOTEN UT37 SESNO UJ15E RETOS RETOS1A</t>
  </si>
  <si>
    <t>N8313F</t>
  </si>
  <si>
    <t>UDGUV2A UDGUV UT78 UKOKO 2057N08836W 2059N08844W NOTEN DCT REX DCT DLF DCT FST DCT EWM DCT DRRVR PINNG1</t>
  </si>
  <si>
    <t>S12R 2101N08650W 2100N08649W 2101N08647W 2102N08646W OMSUK UM219 MYDIA/M079F350 M219 KNOST/N0463F350 Q109 CAMJO DCT DANCO DCT OXMAN LINNG3</t>
  </si>
  <si>
    <t>ACW1551</t>
  </si>
  <si>
    <t>XAUPZ</t>
  </si>
  <si>
    <t>UDGUV2A UDGUV UJ84 IKLEK 2044N08815W 2044N08820W 2051N09254W UBVOV UT20 PAZ UT104 LENUL DCT</t>
  </si>
  <si>
    <t>UDGUV2A UDGUV DCT 2049N08800W 2051N08807W NOTEN UT37 ULUMA DCT MTY UT11 SINLO SINLO1A</t>
  </si>
  <si>
    <t>S12R SR00 NC011 NOSUG UT27 OMVIP KEHLI/N0460F340 A766 KELPP NNCEE2</t>
  </si>
  <si>
    <t>N177HN</t>
  </si>
  <si>
    <t>ALSUP1C ALSUP UB881 BTO UA754 TNT</t>
  </si>
  <si>
    <t>S12R SR00 SR01 SR02 SR03 SR04 NOSUG UT27 OMVIP UT45 IRDOV L214 LEV J35 MCB DCT LIT DCT KRTNY MHOMS3</t>
  </si>
  <si>
    <t>S12R T12R6 UN418 UN409 UN419 2052N08724W 2053N08741W 2104N08802W 2105N08810W 2107N08818W 2101N09220W 2111N09310W 2101N09321W 2101N09331W UBVOV UT20 TAJIN DCT VITOS VITOS2A</t>
  </si>
  <si>
    <t>S12R 2101N08651W T12R6 CZM B764 BUKKY BUKKY1A</t>
  </si>
  <si>
    <t>TAKUX2A TAKUX UM782 OMIRO UN420 PELRA/N0446F390 DCT SPP DCT SEKMA OSUPA2</t>
  </si>
  <si>
    <t>N634FR</t>
  </si>
  <si>
    <t>S12R SR00 SR01 SR02 OMSUK UM219 MYDIA M219 CIGAR M215 KNOST Q109 DEANR/N0453F360 DCT DAWWN DCT BEORN HOBTT3</t>
  </si>
  <si>
    <t>S12R T12R6 2058N08649W 2040N08643W 2024N08648W 2017N08650W TIKIS UG765 AUR DCT</t>
  </si>
  <si>
    <t>1826N08809W</t>
  </si>
  <si>
    <t>S12R SR00 SR01 SR02 SR03 ENEBA UT27 OMVIP UT45 ALKIM DCT KEHLI A766 SBI DCT CRIED WHINY4</t>
  </si>
  <si>
    <t>N213WN</t>
  </si>
  <si>
    <t>S12R SR00 SR01 SR02 2112N08644W 2116N08644W ROTGI UM219 MYDIA M219 CIGAR RAYZZ3</t>
  </si>
  <si>
    <t>S12R T12R6 UN418 UN409 2053N08714W 2054N08720W 2103N08749W 2110N08814W 2113N08830W 2119N08914W 2121N08928W 2129N08951W LIDAM UT23 TAM UJ14 TMN DCT MORAS UJ17 QET DCT</t>
  </si>
  <si>
    <t>S12R SR00 SR01 SR02 SR03 SR04 SR05 SR06 SR07 SR08 SR09 OMSUK 2131N08649W 2140N08649W XOPGI UM219 MYDIA M219 CIGAR DCT SZW DCT DAWWN/N0458F320 DCT BEORN GNDLF3</t>
  </si>
  <si>
    <t>S12R SR00 SR01 SR02 SR03 SR04 SR05 ENEBA 2138N08655W ALKIM UT45 IRDOV L214 LEV J35 MCB/N0453F390 J35 MEM BOOSH3</t>
  </si>
  <si>
    <t>N24542</t>
  </si>
  <si>
    <t>S12R SR00 SR01 SR02 SR03 SR04 ENEBA UT27 OMVIP UT45 IRDOV L214 PLNDR DCT KH03I DCT SHRLY DCT KF27E DCT RDHWK DCT KK36C DCT GCK DCT KIISS CLASH5</t>
  </si>
  <si>
    <t>S12R SR00 SR01 SR02 SR03 2101N08644W OMSUK UM219 RAKAR 2310N08622W 2313N08621W ALPUK 2334N08640W 2339N08639W 2345N08647W NAVVL Y240 SNAKR M219 CIGAR/N0493F350 DCT CTY DCT CRG DCT ORF DCT SIE DCT EBONY/N0480F370 DCT RIKAL DCT 53N050W/M084F370 DCT 56N040W DCT 57N030W DCT 59N020W DCT BALIX/N0485F370 DCT NINEX DCT STN DCT REKNA DCT PETIL DCT DOROR DCT OMELO DCT ERGOM DCT TEGRI DCT XANEX L606 GASRU T390 RILEX</t>
  </si>
  <si>
    <t>S12R SR00 SR01 SR02 SR03 SR04 SR05 2109N08646W XBMS NOSUG UT27 OMVIP DCT KEHLI A766 KELPP BAYYY5</t>
  </si>
  <si>
    <t>S12R SR00 SR01 SR02 SR03 SR04 ENEBA UT27 OMVIP UT45 IRDOV/M077F340 L214 PLNDR/N0459F340 L214 LEV DCT KOMMA DCT KK39E/N0451F360 DCT KK51C DCT PORDR DCT KD84W DCT KU06U DCT YEA DCT CAMRA IGSOX3</t>
  </si>
  <si>
    <t>N661JB</t>
  </si>
  <si>
    <t>S12R T12R6 UN415 UN413 SEVKA 2117N08552W 2117N08551W 2127N08532W FRANT UG765 MAXIM Y262 ZFP Y319 JAZZI DCT SAGGY/N0466F350 DCT CHIEZ Q161 KALDA Q108 SIE CAMRN5</t>
  </si>
  <si>
    <t>UDGUV2A UDGUV UT78 UKOKO NOTEN UT37 ULUMA DCT MTY DCT TASTO DCT ILAMA UT41 NADIS DCT AVRIL UJ3 TANRI TANRI1B</t>
  </si>
  <si>
    <t>S12R T12R6 UN415 UN440 UN400 2040N08618W TAKUX DCT MAMBI UL577 CDO UT15 NADAX NADAX1W</t>
  </si>
  <si>
    <t>N36476</t>
  </si>
  <si>
    <t>S12R T12R6 UN418 UN409 2054N08712W 2054N08729W 2053N08735W 2101N08759W 2103N08806W 2134N08931W 2333N09301W 2343N09314W REX DCT DLF DCT KOBLE DCT ELP DCT SSO/N0464F340 DCT BXK J4 WLVRN DCT ESTWD HLYWD1</t>
  </si>
  <si>
    <t>2357N09343W</t>
  </si>
  <si>
    <t>S12R 2059N08648W 2106N08645W OMSUK UM219 MYDIA/M078F370 M219 CIGAR/N0456F370 DCT SPA DCT PSK DCT OXMAN LINNG3</t>
  </si>
  <si>
    <t>S12R T12R6 UN418 2056N08655W 2052N08745W 2113N08905W 2123N08939W 2130N08957W 2140N09025W 2129N09034W 2113N09244W 2111N09317W UBVOV UT101 UMAVO/N0458F300 UT101 ENAGA ENAGA3A</t>
  </si>
  <si>
    <t>UDGUV2A UDGUV DCT 2049N08751W 2108N08817W 2122N08834W NOTEN/N0468F320 UT37 EBDUB DCT ETMES UJ53 REX DCT DLF DCT KOBLE DCT ELP DCT PGS DCT BLD DCT BTY DCT RUSME DYAMD5</t>
  </si>
  <si>
    <t>UDGUV2A UDGUV 2048N08750W 2049N08755W 2104N08813W 2104N08814W NOTEN UT37 SESNO UJ15E RETOS RETOS1A</t>
  </si>
  <si>
    <t>S12R SR00 SR01 SR02 SR03 SR04 ENEBA 2130N08654W 2146N08655W IRDOV L214 LEV J35 MCB/N0456F390 J35 MEM/N0453F380 J35 FAM/N0456F390 DCT SPI DCT PHEEB ENDEE8</t>
  </si>
  <si>
    <t>UDGUV2A UDGUV UT78 UKOKO 2049N08817W 2107N08906W 2117N08930W 2130N09037W 2129N09042W 2116N09234W 2113N09309W UBVOV UT101 ENAGA ENAGA3A</t>
  </si>
  <si>
    <t>S12R 2100N08649W NC01 CN03 T12L7 2110N08649W 2142N08654W 2148N08655W 2153N08658W 2239N08713W KEHLI/N0461F360 A766 KELPP NNCEE2</t>
  </si>
  <si>
    <t>N957AN</t>
  </si>
  <si>
    <t>S12R SR00 SR01 SR02 SR03 SR04 2105N08645W 2106N08646W 2110N08645W 2114N08645W NOSUG 2206N08701W 2239N08713W KEHLI A766 KELPP/N0448F380 A766 SBI DCT CRIED WHINY4</t>
  </si>
  <si>
    <t>N380DN</t>
  </si>
  <si>
    <t>S12R SR00 SR01 SR02 SR03 SR04 SR05 SR06 SR07 ENEBA UT27 NOSUG 2215N08658W 2238N08700W 2302N08702W 2308N08706W KEHLI A766 SBI DCT EIC/N0467F350 DCT RZC/N0461F340 DCT SGF/N0458F350 DCT ROEZZ DCT MNOSO BLUEM5</t>
  </si>
  <si>
    <t>UDGUV2A UDGUV UT78 UKOKO 2049N08821W 2034N08953W 2029N09006W 2030N09024W 2031N09110W 2016N09204W 2017N09227W 2018N09235W VOKIR UT101 UMAVO UT169 VITOS VITOS2A</t>
  </si>
  <si>
    <t>S12R SR00 SR01 SR02 ROTGI UM219 MYDIA M219 CIGAR/N0450F360 DCT DRABK/N0446F370 DCT LGC DCT GQO DCT SWAPP DCT HEVAN/N0447F380 Q118 BONNT VEECK5</t>
  </si>
  <si>
    <t>UDGUV2A UDGUV UT78 UKOKO 2057N08854W 2106N08911W 2111N08919W 2122N08937W 2139N09012W 2146N09028W 2136N09039W 2124N09142W 2122N09149W 2125N09317W 2110N09335W 2109N09341W UBVOV UT20 PAZ UT104 ELVED/N0446F300 UT104 LENUL LENUL2B</t>
  </si>
  <si>
    <t>OMSUK2A OMSUK UM219 MYDIA M219 KNOST Q109 CAMJO Q99 OGRAE DCT GOOOB DCT THHMP RAVNN9</t>
  </si>
  <si>
    <t>S12R 2101N08650W MOGOP 2100N08647W 2101N08644W UN412 ROTGI UM219 MYDIA M219 CIGAR DCT SZW DCT DAWWN/N0459F340 DCT BEORN GNDLF3</t>
  </si>
  <si>
    <t>UDGUV2A UDGUV UT78 UKOKO 2050N08850W 2057N08907W 2111N08946W 2103N09009W 2058N09020W 2055N09045W 2056N09050W 2100N09202W 2104N09239W 2103N09248W UBVOV UT101 ENAGA DCT OTAGO DCT ATUKA ATUKA1B</t>
  </si>
  <si>
    <t>S12R SR00 SR01 OMSUK UM219 MYDIA M219 CIGAR PRICY5</t>
  </si>
  <si>
    <t>UDGUV2A UDGUV 2103N08852W 2103N08855W 2127N08950W 2138N09010W 2139N09017W LIDAM UT23 TAM UJ14 TMN UT147 SLP UJ40 LIBOL LIBOL1B</t>
  </si>
  <si>
    <t>UDGUV2A UDGUV UT78 UKOKO 2049N08831W 2127N08943W 2135N09005W 2138N09025W 2138N09027W 2140N09036W LIDAM UT23 TAM UJ14 TMN UT147 BOPAX BOPAX1B</t>
  </si>
  <si>
    <t>UDGUV2A UDGUV 2050N08814W 2050N08815W 2107N08911W 2117N08928W 2121N08941W 2132N09002W 2208N09247W 2217N09301W 2227N09339W DUSAT UM206 NABDA DCT MAM DCT JCT DCT PNH DCT ZIGEE NIIXX4</t>
  </si>
  <si>
    <t>S12R T12R6 UN415 2059N08636W 2108N08621W 2119N08556W 2141N08535W PODON UG765 MAXIM BHHIA3</t>
  </si>
  <si>
    <t>UDGUV2A UDGUV DCT 2054N08905W 2054N08913W 2104N09012W 2115N09057W 2117N09106W LIDAM UT23 TAM UJ14 TMN UT147 SLP UJ40 LIBOL LIBOL1B</t>
  </si>
  <si>
    <t>UDGUV2A UDGUV UT78 UKOKO 2050N08901W 2059N08911W 2115N08926W 2138N08953W 2141N09006W 2139N09035W UBVOV UT101 ENAGA ENAGA3A</t>
  </si>
  <si>
    <t>S12R SR00 SR01 SR02 SR03 ROTGI UM219 MYDIA M219 CIGAR DCT DEANR Q109 CAMJO Q99 TEEEM/N0462F350 Q99 QUART PHLBO4</t>
  </si>
  <si>
    <t>N671MM</t>
  </si>
  <si>
    <t>S12R T12R6 UN418 UN409 2054N08708W 2053N08710W 2052N08717W 2051N08719W 2048N08721W 2046N08731W 2046N08757W 2053N08823W 2101N08850W 2132N08952W 2145N09017W 2133N09122W 2144N09206W 2149N09226W 2134N09322W 2131N09339W 2126N09358W 2123N09415W 2123N09418W PAZ UT104 LENUL DCT</t>
  </si>
  <si>
    <t>2113N09459W</t>
  </si>
  <si>
    <t>S12R SR00 SR01 SR02 SR03 2109N08645W ROTGI UM219 MYDIA M219 KNOST DCT DEANR DCT BRUTS Q109 CAMJO DCT TWINS DCT PONZE BANKR8</t>
  </si>
  <si>
    <t>S12R T12R6 UN418 2056N08655W UN703 2054N08747W 2120N08838W 2123N08847W 2130N08903W 2149N09023W 2128N09203W 2132N09215W 2133N09232W 2135N09249W 2133N09304W 2128N09325W UBVOV UT101 UMAVO/N0459F300 UT101 ENAGA ENAGA3A</t>
  </si>
  <si>
    <t>S12R T12R6 2059N08647W ALYRE TAKUX UM782 OMIRO UN420 PELRA/N0448F350 UN420 TBG UL780 TRU UV1 ATATU ATATU4</t>
  </si>
  <si>
    <t>N8780Q</t>
  </si>
  <si>
    <t>S12R SR00 2145N08655W 2200N08656W 2215N08723W KEHLI A766 KELPP DCT SBI DCT ACT/N0467F380 DCT ABI DCT TXO J72 GUP DCT HAHAA RKSTR4</t>
  </si>
  <si>
    <t>S12R SR00 2147N08655W 2156N08657W KEHLI A766 SBI DCT FUZ J58 SPS DCT HALEN NIIXX4</t>
  </si>
  <si>
    <t>S12R SR00 SR01 NOSUG 2250N08701W 2251N08701W 2255N08701W 2301N08704W KEHLI/M079F360 A766 KLAMS/N0460F360 A766 SBI DCT DONIE DCT KF12E DCT FAWNT DCT KD54Y DCT DDY DCT COUTS DCT EBGAL EBGAL7</t>
  </si>
  <si>
    <t>N971JT</t>
  </si>
  <si>
    <t>S12R SR00 SR01 SR02 SR03 NOSUG UT27 OMVIP UT45 ALKIM DCT KEHLI A766 LAURL/N0463F340 A766 SBI DCT ACT DCT PNH DCT ALS DCT JNC J12 HELPR JAZZZ1</t>
  </si>
  <si>
    <t>S12R SR00 SR01 SR02 NOSUG 2201N08657W 2209N08657W 2235N08708W 2250N08714W 2253N08729W 2300N08739W KEHLI A766 SBI DCT CRIED WHINY4</t>
  </si>
  <si>
    <t>TFF821</t>
  </si>
  <si>
    <t>N321EJ</t>
  </si>
  <si>
    <t>S12R SR00 2140N08642W LENUK UB646 CANOA DCT EYW DCT</t>
  </si>
  <si>
    <t>S12R SR00 SR01 SR02 SR03 SR04 NOSUG 2221N08658W 2230N08659W KEHLI A766 SBI/N0469F350 DCT ELD DCT LIT J180 FTZ TRTLL6</t>
  </si>
  <si>
    <t>S12R SR00 SR01 SR02 ROTGI UM219 MYDIA M219 CIGAR/N0463F350 DCT DEANR Q109 CAMJO Q99 OGRAE DCT BZNGA DCT DORRN CAVLR7</t>
  </si>
  <si>
    <t>UDGUV2A UDGUV UT78 UKOKO 2048N08910W 2039N08929W 2024N08949W 1950N09027W 1958N09037W 1959N09115W 1953N09138W 1948N09151W 1944N09206W 1946N09228W UBVOV UT20 TAJIN VITOS</t>
  </si>
  <si>
    <t>N324RN</t>
  </si>
  <si>
    <t>S12R T12R6 UN418 UN409 UN419 UN432 PQE V51 TGZ</t>
  </si>
  <si>
    <t>S12R T12R6 UN418 UN409 UN419 2051N08728W 2051N08737W NOTEN UT37 SESNO UJ15E RETOS RETOS1A</t>
  </si>
  <si>
    <t>UDGUV2A UDGUV UT78 UKOKO 2056N08854W 2109N08916W 2113N08923W 2129N08940W 2149N08958W 2140N09008W 2139N09009W 2134N09036W 2114N09248W 2110N09325W 2048N09430W 2045N09439W VOKIR UT101 ENAGA DCT OVAGO UT123 IKLOK/N0458F220 UT123 IGSON IGSON1B</t>
  </si>
  <si>
    <t>N431AN</t>
  </si>
  <si>
    <t>S12R SR00 SR01 NOSUG UT27 OMVIP UT45 ALKIM DCT KEHLI A766 KELPP DCT LAMMY DCT PSX DCT PALMS DCT SAT DCT ELP J50 ALIBY DCT DRRVR PINNG1</t>
  </si>
  <si>
    <t>S12R SR00 SR01 SR02 SR03 SR04 SR05 2103N08644W ROTGI UM219 MYDIA M219 CIGAR DCT GULFR DCT AMG DCT BLAAN DCT RAANE DCT RDU DCT SWL DCT ZIZZI DCT TOPRR DCT EMJAY Q167 RIFLE DCT ACK DCT BRADD N385C IBERG/M084F390 NATX KOKIB/N0461F390 DCT GMN DCT BOFUM Q37 MALUD MALUD1M</t>
  </si>
  <si>
    <t>S12R T12R6 2100N08648W ALYRE TAKUX UM782 OMIRO/N0454F370 UN420 SPP/N0449F390 UP530 KAKOL DCT RNG UQ121 ISVAT ISVA5E</t>
  </si>
  <si>
    <t>S12R SR00 SR01 SR02 ROTGI UM219 MYDIA M219 CIGAR DCT GULFR DCT AMG DCT BLAAN DCT RAANE DCT RDU/N0476F390 DCT SWL DCT ZIZZI DCT TOPRR DCT EMJAY Q167 RIFLE DCT YAHOO DCT KANNI/N0416F310 N343B JOOPY/M078F270 DCT 49N050W DCT 52N040W DCT 53N030W DCT 54N020W DCT DOGAL/N0417F330 DCT BEXET/N0477F410 DCT DAP DCT DEXEN UY124 DOLOP DOLOP1B</t>
  </si>
  <si>
    <t>S12R T12R6 2058N08645W ALYRE TAKUX UM782 OMIRO/N0453F390 UN420 PELRA DCT SPP DCT SEKMA OSUPA2</t>
  </si>
  <si>
    <t>S12R T12R6 UN418 UN409 UN419 UN432 2001N08903W 1956N08910W 1921N09010W 1904N09041W 1902N09045W 1858N09052W 1839N09131W AGAVE VSA V51</t>
  </si>
  <si>
    <t>N232CF</t>
  </si>
  <si>
    <t>TAKUX2A TAKUX UM782 OMIRO UN420 MORLI DCT</t>
  </si>
  <si>
    <t>ENEBA2A ENEBA 2136N08654W 2141N08655W KEHLI A766 KELPP NNCEE2</t>
  </si>
  <si>
    <t>UDGUV2A UDGUV UT78 GOSAT 2050N08951W MD952 2059N09051W UBVOV UT101 UMAVO/N0460F300 UT101 ENAGA ENAGA3A</t>
  </si>
  <si>
    <t>NUDAL1A NUDAL UV106 PODON UG765 MAXIM DCT VKZ DCT NUCAR A699 LOUIZ/M082F370 A699 SUMRS M204 BEXUM/M082F390 DCT SELIM DCT 44N050W 4730N04000W 51N030W 5130N02000W DCT DINIM/N0468F390 DCT ELSOX DCT KOMAG DCT EVRIN DCT JETZI DCT AMFUL DCT CAWZE DCT SIRIC P2 DVR UL9 KONAN DCT KOK DCT REMBA DCT SPI T180 NIVNU T847 TUTOV TUTOV1A</t>
  </si>
  <si>
    <t>S12R 2101N08651W 2059N08650W UDGUV 2049N08756W 2050N08802W 2052N08804W 2055N08806W 2138N08935W 2140N08938W 2145N08944W NOTEN UT37 ULUMA DCT MTY DCT TASTO DCT ILAMA UT41 NADIS DCT AVRIL/N0337F200 UJ3 TANRI TANRI1B</t>
  </si>
  <si>
    <t>N8763L</t>
  </si>
  <si>
    <t>S12R SR00 SR01 SR02 SR03 SR04 SR05 SR06 SR07 ENEBA 2145N08655W 2146N08655W 2145N08655W 2159N08656W 2219N08728W KEHLI/N0462F380 A766 KELPP PUCKS4</t>
  </si>
  <si>
    <t>XADIJ</t>
  </si>
  <si>
    <t>S12R T12R6 UN418 UN409 UN419 UN432 2050N08737W 2049N08741W 2049N08751W 2122N09158W 2142N09459W TMN UT147 SLP UJ40 LIBOL DCT</t>
  </si>
  <si>
    <t>N667WJ</t>
  </si>
  <si>
    <t>S12R SR00 SR01 SR02 SR03 SR04 SR05 SR06 SR07 SR08 2106N08645W B30L5 2121N08649W 2128N08650W 2148N08657W IRDOV L214 PLNDR DCT HRV DCT</t>
  </si>
  <si>
    <t>UDGUV2A UDGUV 2049N08758W 2049N08827W 2059N08921W 2059N08925W 2058N08928W 2056N08940W 2056N08943W 2055N08948W 2053N09003W 2103N09117W 2110N09145W 2130N09303W TMN UT147 SLP</t>
  </si>
  <si>
    <t>N963AV</t>
  </si>
  <si>
    <t>S12R 2101N08650W TAKUX UM782 OMIRO UN420 SPP UP530 KAKOL/N0444F390 DCT RNG UQ121 ISVAT ISVA5E</t>
  </si>
  <si>
    <t>GRAPHIC 2: DEPARTURES BY HOUR AND SID - SUN OCT 4, 2026</t>
  </si>
  <si>
    <t>GRAPHIC 1: DEPARTURES BY HOUR AND SID - SUN OCT 4, 2026</t>
  </si>
  <si>
    <t>S12R T12R6 UN418 UN409 UN419 2040N08841W 2052N08936W 2100N09014W 2109N09046W 2109N09047W 2115N09106W 2121N09124W 2121N09126W 2059N09214W 2051N09233W 2037N09300W 2023N09326W 1954N09418W 1953N09424W 1951N09435W 1948N09510W VER OMPAN1A</t>
  </si>
  <si>
    <t>1949N09459W</t>
  </si>
  <si>
    <t>XAVLU</t>
  </si>
  <si>
    <t>UDGUV2A UDGUV UT78 DURPI 2049N09004W 2050N09008W 2055N09017W 2101N09026W 2113N09046W 2113N09047W 2117N09058W RIBET UT101 VOKIR/N0459F340 UT101 ENAGA DCT OVAGO UT123 IKLOK/N0457F220 UT123 IGSON IGSON1B</t>
  </si>
  <si>
    <t>N17QS</t>
  </si>
  <si>
    <t>S12R 2101N08649W 2144N08635W 2225N08609W CANOA Y196 TUNSL DCT</t>
  </si>
  <si>
    <t>2229N08601W</t>
  </si>
  <si>
    <t>XAMMN</t>
  </si>
  <si>
    <t>S12R T12R6 2058N08648W SR30 UDGUV UJ84 CZA 2038N08928W 2037N08930W 2031N08939W 2009N09007W 2002N09015W 1954N09022W 1938N09038W 1938N09045W 1937N09057W 1940N09111W 1951N09133W 1954N09139W 1959N09149W 2009N09213W 2014N09235W 2020N09251W UBVOV UT20 PAZ UT104 LENUL DCT</t>
  </si>
  <si>
    <t>S12R 2100N08651W UDGUV UT78 DURPI 2050N08927W 2050N08929W S1003 2102N09017W 2117N09059W 2132N09129W 2047N09459W VOKIR UT101 UMAVO/N0458F300 UT101 ENAGA ENAGA3A</t>
  </si>
  <si>
    <t>2047N09459W</t>
  </si>
  <si>
    <t>S12R T12R6 2059N08651W UKOKO UT78 DURPI 2050N08922W S1014 2111N09036W 2121N09103W 2127N09128W 2130N09145W 2126N09209W UBVOV DCT UMAVO UT101 ENAGA ENAGA3A</t>
  </si>
  <si>
    <t>S12R SR00 SR01 SR02 ROTGI UM219 MYDIA/M083F370 M219 CULLY/N0485F370 M219 CIGAR M215 KNOST Q109 TEEEM Q99 POLYY DCT DADDS Q87 GEARS DCT BBOBO Q22 BRAND/N0476F390 Q22 RBV Q430 RIFLE DCT YAHOO DCT KANNI N343B JOOPY/M082F390 NATY 49N050W/M083F400 NATY DOGAL/N0470F400 NATY BEXET/N0469F390 DCT DEXEN UY124 AMPIT L15 KEPAD L151 DISIT DISIT1G</t>
  </si>
  <si>
    <t>UAL3933</t>
  </si>
  <si>
    <t>N27539</t>
  </si>
  <si>
    <t>S12R SR00 SR01 SR02 2100N08644W 2139N08653W 2148N08654W KEHLI A766 KELPP NNCEE2</t>
  </si>
  <si>
    <t>WPT2152</t>
  </si>
  <si>
    <t>A333</t>
  </si>
  <si>
    <t>CSWFP</t>
  </si>
  <si>
    <t>NUDAL1A NUDAL UV106 PODON UG765 MAXIM Y262 LULLS Y642 DROWN/N0474F370 Y642 GRATX/M081F370 M593 AMENO DCT 32N050W/M081F370 34N040W/M081F390 36N030W 37N020W/M081F390 DCT LUTAK/N0466F390 DCT ESUTI</t>
  </si>
  <si>
    <t>ECMOM</t>
  </si>
  <si>
    <t>S12R 2101N08651W 2102N08648W ROTGI UM219 MYDIA/M085F390 M219 CULLY/N0489F390 M219 CIGAR DCT CTY DCT TAALR DCT SAV DCT VAN DCT FLO DCT CVI/N0479F410 DCT ORF/M084F410 DCT LINND/N0478F410 DCT WHALE N167B PORTI/M085F410 DCT 47N050W 4730N04000W 47N030W 46N020W DCT RETEN/N0492F410 DCT EPOPO/N0490F400 DCT ADORO L155 ZMR</t>
  </si>
  <si>
    <t>UDGUV2A UDGUV 2049N08756W 2049N08804W 2134N08940W 2208N09008W 2219N09018W 2226N09029W 2233N09041W 2237N09051W 2259N09141W 2308N09207W 2311N09210W 2327N09225W 2335N09244W 2337N09247W 2340N09259W 2358N09352W SESNO UJ15E RETOS RETOS1A</t>
  </si>
  <si>
    <t>2356N09345W</t>
  </si>
  <si>
    <t>S12R SR00 SR01 ROTGI UM219 MYDIA M219 CULLY/N0461F350 M219 KNOST DCT CAMJO Q99 BLAAN Q69 RICCS DCT OXMAN LINNG3</t>
  </si>
  <si>
    <t>OBS864</t>
  </si>
  <si>
    <t>CSTKH</t>
  </si>
  <si>
    <t>NUDAL1A NUDAL UV106 PODON UG765 MAXIM Y262 LULLS DCT DHP/N0476F370 DCT SUMRS/M082F370 M204 LUNKR DCT 38N060W/M082F390 DCT 41N050W DCT 4330N04000W DCT 43N030W DCT 41N020W DCT ERPES/N0478F390 DCT LAZET</t>
  </si>
  <si>
    <t>S12R 2021N08611W 2003N08542W OMIRO/N0447F390 UN420 SPP DCT VUNIB DCT SIROT DCT KUBEK DCT RNG DCT ISVAT ISVAT5E</t>
  </si>
  <si>
    <t>2005N08546W</t>
  </si>
  <si>
    <t>UDGUV2A UDGUV UT78 UKOKO 2049N08848W RENES 2031N08937W 2024N08949W 1940N09117W 1927N09145W 1926N09152W 1919N09210W 1910N09247W 1907N09256W 1859N09318W 1854N09326W 1835N09350W 1825N09403W 1811N09424W 1811N09427W 1800N09454W ENAGA ENAGA3A</t>
  </si>
  <si>
    <t>1817N09521W</t>
  </si>
  <si>
    <t>S12R T12R6 UN418 UN409 UN419 UN432 2050N08738W 2047N09219W 2045N09247W 2043N09404W 2101N09432W ENAGA ENAGA3A</t>
  </si>
  <si>
    <t>VIV2202</t>
  </si>
  <si>
    <t>XAVXX</t>
  </si>
  <si>
    <t>S12R T12R6 UN418 UN409 UN419 2051N08730W 2052N08735W 2143N08954W 2201N09015W 2238N09045W 2309N09117W 2336N09217W 2349N09230W 2354N09232W 2400N09233W 2415N09237W 2421N09300W EBDUB UT37 SESNO UJ15E RETOS RETOS1A</t>
  </si>
  <si>
    <t>2421N09311W</t>
  </si>
  <si>
    <t>UDGUV2A UDGUV UT78 XOLRO 2051N09013W 2048N09215W 2047N09233W ELURA VITOS VITOS2A</t>
  </si>
  <si>
    <t>S12R T12R6 2058N08759W LOKMA 2111N08932W 2103N08950W 2037N09100W 2028N09111W 2018N09140W 2015N09157W 2011N09239W 2021N09250W 2034N09321W 2058N09406W 2119N09459W SLP UT147 AGU UT44 MEZCA MEZCA1A</t>
  </si>
  <si>
    <t>2119N09459W</t>
  </si>
  <si>
    <t>TSC653</t>
  </si>
  <si>
    <t>CGEZD</t>
  </si>
  <si>
    <t>NUDAL1A NUDAL UV106 PODON UG765 MAXIM Y262 LINEY DCT DHP AR10 ZAPPA DCT PERMT AR16 SEELO DCT AAARG Y291 CHIEZ Q161 KALDA DCT CONFR Q133 MGERK/N0444F370 Q133 CAM DCT GUBID OMVAR2</t>
  </si>
  <si>
    <t>XAVCF</t>
  </si>
  <si>
    <t>UDGUV2A UDGUV 2049N09018W 2049N09026W 2047N09329W 2048N09354W UMAVO UT101 ENAGA ENAGA3A</t>
  </si>
  <si>
    <t>2037N09459W</t>
  </si>
  <si>
    <t>XAVRX</t>
  </si>
  <si>
    <t>UDGUV2A UDGUV UT78 DURPI 2048N09021W 2042N09033W 1958N09146W 1945N09203W 1920N09238W 1910N09257W 1853N09325W 1841N09341W ALUEN MTT MEBAS LARLO</t>
  </si>
  <si>
    <t>1814N09521W</t>
  </si>
  <si>
    <t>S12R T12R6 UN418 UN409 UN419 UN432 2006N09152W 2004N09201W 1935N09244W 1915N09310W 1857N09335W 1821N09423W DUPLO VER</t>
  </si>
  <si>
    <t>DUPLO</t>
  </si>
  <si>
    <t>UDGUV2A UDGUV UT78 VIKMO 2047N09155W 2018N09327W VITOS VITOS2A</t>
  </si>
  <si>
    <t>2016N09459W</t>
  </si>
  <si>
    <t>UDGUV2A UDGUV UT78 VIKMO 2048N09126W 2028N09234W 2026N09306W 2030N09323W UMAVO/N0459F300 UT101 ENAGA ENAGA3A</t>
  </si>
  <si>
    <t>UDGUV2A UDGUV UT78 UKOKO 2038N08826W 1819N09421W MEBAS UT112 LARLO</t>
  </si>
  <si>
    <t>1824N09518W</t>
  </si>
  <si>
    <t>S12R T12R6 UN418 UN409 2235N09215W 2306N09259W 2332N09401W SESNO UJ15E RETOS RETOS1A</t>
  </si>
  <si>
    <t>2335N09412W</t>
  </si>
  <si>
    <t>XACUN</t>
  </si>
  <si>
    <t>XCLQU</t>
  </si>
  <si>
    <t>LJ31</t>
  </si>
  <si>
    <t>LIDEK2A LIDEK B881</t>
  </si>
  <si>
    <t>S12R T12R6 2058N08645W NUDAL UR506 KALNO VETSI2A</t>
  </si>
  <si>
    <t>XAJMX</t>
  </si>
  <si>
    <t>NOSUG2A NOSUG UT27 PISAD L333 HRV DCT</t>
  </si>
  <si>
    <t>HP1841</t>
  </si>
  <si>
    <t>S12R 2043N08630W ALYRE TAKUX UM782 OMIRO/N0442F390 UN420 PELRA DCT SPP DCT SEKMA OSUPA2</t>
  </si>
  <si>
    <t>S12R T12R6 UN418 VOBED 2048N08746W 2046N08814W 2049N09045W 2033N09140W MTT UT112 LARLO</t>
  </si>
  <si>
    <t>XORUV</t>
  </si>
  <si>
    <t>N62849</t>
  </si>
  <si>
    <t>S12R SR00 SR01 SR02 SR03 SR04 SR05 SR06 SR07 SR08 UN406 NOSUG 2154N08658W IRDOV L214 DAGGR/N0467F360 L214 PLNDR/N0463F380 L214 LEV NNCEE2</t>
  </si>
  <si>
    <t>UDGUV2A UDGUV UT78 DURPI 2050N09018W 2013N09119W 2004N09133W 1916N09302W 1915N09303W 1911N09311W 1855N09352W 1849N09410W 1847N09414W 1830N09506W MISAS LARLO LARLO1D</t>
  </si>
  <si>
    <t>1830N09517W</t>
  </si>
  <si>
    <t>XAAME</t>
  </si>
  <si>
    <t>S12R T12R6 UN418 UN409 2051N09215W 2042N09300W 2053N09334W 2107N09352W 2114N09359W 2124N09413W ENAGA ENAGA3A</t>
  </si>
  <si>
    <t>2109N09459W</t>
  </si>
  <si>
    <t>S12R 2101N08650W MOGOP 2101N08647W NOSUG IRDOV L214 LEV DCT GCV/N0453F370 DCT PAYTN DCT SHYRE GNDLF3</t>
  </si>
  <si>
    <t>N786BD</t>
  </si>
  <si>
    <t>KEYW</t>
  </si>
  <si>
    <t>SF50</t>
  </si>
  <si>
    <t>S12R 2100N08649W SR0 2101N08646W 2119N08645W 2122N08644W 2129N08640W 2145N08640W LENUK UB646 CANOA DCT EYW DCT</t>
  </si>
  <si>
    <t>XBMJE</t>
  </si>
  <si>
    <t>2102N08652W UN580 2058N08651W CZA 2038N08830W CT400 2008N08946W XORUV UJ64 CUA UJ24 TEQ J13 TLC DCT</t>
  </si>
  <si>
    <t>NUDAL1A NUDAL UV106 PODON UG765 FRANT/N0466F330 UG765 MAXIM Y262 GOPEY Q87 TIRCO/N0466F340 Q87 ZERBO/N0464F350 Q87 ALWZZ DCT OGRAE Q99 QUART PHLBO4</t>
  </si>
  <si>
    <t>UDGUV2A UDGUV UT78 XOLRO 2048N09110W 2040N09127W 2023N09149W 2000N09220W 1939N09245W 1935N09250W 1929N09258W 1929N09301W 1928N09306W MEBAS LARLO</t>
  </si>
  <si>
    <t>1906N09506W</t>
  </si>
  <si>
    <t>XBBVZ</t>
  </si>
  <si>
    <t>C152</t>
  </si>
  <si>
    <t>LCLUN CUN</t>
  </si>
  <si>
    <t>S12R T12R6 UN418 UN409 UN419 2051N08732W 2051N08734W 2050N08739W 2053N08739W 2054N08741W 2056N08747W 2059N08746W 2103N08747W 2111N08754W 2117N08759W 2242N09234W 2243N09236W 2259N09423W EBDUB UT37 SESNO UJ15E RETOS RETOS1A</t>
  </si>
  <si>
    <t>2310N09446W</t>
  </si>
  <si>
    <t>S12R 2101N08650W LIDEK UB881 CZM UT30 KATRO 1954N08834W 1954N08835W VER UT161 PAZ DCT VITOS DCT</t>
  </si>
  <si>
    <t>1917N09503W</t>
  </si>
  <si>
    <t>S12R T12R6 UN418 UN409 UN419 2051N08729W 2055N09219W 2055N09315W 2043N09353W 2049N09422W 2049N09430W VOKIR UT101 UMAVO UT104 LENUL LENUL3A</t>
  </si>
  <si>
    <t>2044N09459W</t>
  </si>
  <si>
    <t>S12R T12R6 2059N08651W 2058N08653W UDGUV UJ84 CZA 2041N08957W 2011N09134W 2000N09158W 1953N09213W 1944N09237W 1939N09250W 1937N09258W 1935N09307W RIBET UT101 UMAVO UT169 VITOS VITOS2A</t>
  </si>
  <si>
    <t>UDGUV2A UDGUV 2048N08750W 2047N09209W 2046N09215W 2051N09312W 2050N09343W TAJIN DCT VITOS VITOS2A</t>
  </si>
  <si>
    <t>2046N09459W</t>
  </si>
  <si>
    <t>S12R T12R6 2059N08651W 2055N08721W UBVOV UT20 PAZ UT104 LENUL LENUL2B</t>
  </si>
  <si>
    <t>N300FB</t>
  </si>
  <si>
    <t>EPIC</t>
  </si>
  <si>
    <t>S12R T12R6 2055N08713W 2051N09219W 2050N09225W 2053N09307W 2052N09312W 2051N09340W PAZ UT104 LENUL DCT</t>
  </si>
  <si>
    <t>OMSUK2A OMSUK UM219 ROTGI LENUK UB646 CANOA Y196 TUNSL Y262 GOPEY Q87 TIRCO/N0471F340 Q87 ZERBO/N0469F350 Q87 VIYAP Q69 RYCKI/N0462F370 Q69 RICCS DCT OXMAN LINNG3</t>
  </si>
  <si>
    <t>UDGUV2A UDGUV UJ84 CZA 2010N08940W MMFR 1958N09009W 1955N09015W 1914N09423W 1913N09429W 1858N09445W 1839N09508W MEBAS ERDEL/N0480F260 UT112 LARLO LARLO4A</t>
  </si>
  <si>
    <t>1839N09514W</t>
  </si>
  <si>
    <t>AAL1030</t>
  </si>
  <si>
    <t>N960AN</t>
  </si>
  <si>
    <t>S12R SR00 SR01 SR02 SR03 SR04 2103N08644W ENEBA UT27 NOSUG 2208N08701W KEHLI A766 SBI DCT CRIED WHINY4</t>
  </si>
  <si>
    <t>S12R T12R6 UN418 UN409 2055N08701W 2055N08703W 2056N08821W 2056N08824W 2120N08922W 2229N09238W 2230N09243W 2241N09316W 2242N09327W 2246N09346W 2251N09419W 2255N09501W SESNO UJ15E RETOS RETOS1A</t>
  </si>
  <si>
    <t>2255N09459W</t>
  </si>
  <si>
    <t>S12R T12R6 UN418 UN409 UN419 2051N08730W 2048N08744W 2046N08759W 2028N08939W 2024N09001W 2003N09206W 1928N09444W LARLO OVAGO UT123 IGSON IGSON1A</t>
  </si>
  <si>
    <t>1925N09500W</t>
  </si>
  <si>
    <t>N970UY</t>
  </si>
  <si>
    <t>S12R SR00 SR01 SR02 SR03 OMSUK UM219 MYDIA M219 CIGAR/N0462F350 M219 KNOST Q109 CAMJO Q99 PEETT DCT BBDOL PAATS4</t>
  </si>
  <si>
    <t>N47569</t>
  </si>
  <si>
    <t>S12R SR00 SR01 SR02 SR03 SR04 SR05 SR06 OMSUK UM219 ROTGI LENUK UB646 CANOA Y196 TUNSL Y262 GOPEY Q87 TIRCO/N0475F340 Q87 MATLK/N0480F320 Q87 ZERBO/N0478F330 Q87 LCAPE DCT RDU DCT BZNGA DCT DORRN CAVLR7</t>
  </si>
  <si>
    <t>N8758L</t>
  </si>
  <si>
    <t>S12R SR00 SR01 SR02 SR03 SR04 SR05 SR06 SR07 NOSUG 2208N08657W 2226N08659W KEHLI A766 KELPP PUCKS4</t>
  </si>
  <si>
    <t>S12R T12R6 UN402 2007N08653W 2006N08653W 1958N08654W TIKIS UG765 AUR DCT</t>
  </si>
  <si>
    <t>1825N08805W</t>
  </si>
  <si>
    <t>HP1846</t>
  </si>
  <si>
    <t>S12R T12R6 UN415 ALYRE TAKUX UM782 OMIRO/N0445F390 UN420 PELRA DCT SPP DCT SEKMA OSUPA2</t>
  </si>
  <si>
    <t>S12R T12R6 UN418 UN409 UN419 UN432 2013N08925W 1938N09304W VER UJ24 UPN DCT IGSON IGSON1A</t>
  </si>
  <si>
    <t>1920N09502W</t>
  </si>
  <si>
    <t>UDGUV2A UDGUV 2051N08749W 2055N08805W 2052N08818W 2044N08858W OMPAN UJ18 VER UT178 REXES DCT VITOS VITOS2A</t>
  </si>
  <si>
    <t>S12R T12R6 UN418 UN409 UN419 2051N08732W 2052N08740W 2106N08903W LIDAM UT23 TAM UJ14 TMN UT147 SLP UJ40 LIBOL LIBOL1B</t>
  </si>
  <si>
    <t>S12R SR00 SR01 SR02 SR03 SR04 SR05 SR06 SR07 OMSUK UM219 MYDIA M219 CIGAR DCT KNOST DCT CAMJO/N0453F350 Q99 BLAAN Q69 RICCS DCT OXMAN LINNG3</t>
  </si>
  <si>
    <t>S12R T12R6 UN418 UN409 UN419 UN432 2054N08740W 2057N08818W 2057N08838W BEMOX 2114N08924W EBLAS 2252N09332W 2316N09435W NOTEN DCT LIBOX DCT MOV UT3 URKOM UJ54 CJS DCT</t>
  </si>
  <si>
    <t>N983NN</t>
  </si>
  <si>
    <t>S12R SR00 SR01 SR02 SR03 2106N08644W 2109N08645W NOSUG UT27 OMVIP UT45 IRDOV L214 DAGGR/N0446F380 L214 LEV DCT KCEEE DCT DBOYS WLEEE7</t>
  </si>
  <si>
    <t>XAMAQ</t>
  </si>
  <si>
    <t>S12R T12R6 UN418 UN409 UN419 UN432 2039N08802W 2016N09000W 1959N09138W 1954N09158W 1951N09216W 1950N09220W 2008N09445W 2027N09542W AVALI UT169 UMAVO UT101 ENAGA ENAGA3A</t>
  </si>
  <si>
    <t>2013N09459W</t>
  </si>
  <si>
    <t>HP1826</t>
  </si>
  <si>
    <t>S12R T12R6 ALYRE TAKUX UM782 OMIRO/N0443F390 UN420 PELRA DCT SPP DCT SEKMA OSUPA2</t>
  </si>
  <si>
    <t>S12R SR00 SR01 SR02 SR03 SR04 NOSUG 2216N08658W 2224N08700W KEHLI/N0455F400 A766 SBI DCT LUKKN WLEEE7</t>
  </si>
  <si>
    <t>2104N08648W 2106N08646W 2111N08647W 2112N08639W VIS3 LCLUN CUN</t>
  </si>
  <si>
    <t>S12R SR00 SR01 SR02 SR03 SR04 SR05 SR06 SR07 SR08 OMSUK UM219 ROTGI LENUK UB646 CANOA DCT EYW DCT</t>
  </si>
  <si>
    <t>S12R SR00 SR01 SR02 SR03 SR04 SR05 SR06 SR07 SR08 SR09 NOSUG 2235N08659W 2239N08700W KEHLI A766 SBI DCT CRIED WHINY4</t>
  </si>
  <si>
    <t>S12R T12R6 UN418 UN409 UN419 2052N08724W 2050N08730W 2050N08733W 2050N08734W 1951N09035W 2012N09328W 2012N09329W 2016N09347W TARBI</t>
  </si>
  <si>
    <t>N69833</t>
  </si>
  <si>
    <t>S12R SR00 SR01 SR02 SR03 SR04 SR05 SR06 SR07 SR08 UN406 NOSUG UT27 OMVIP/N0463F320 UT27 PISAD/N0464F340 L333 HOOCK DCT MEMFS/N0456F360 DCT FTZ TRTLL6</t>
  </si>
  <si>
    <t>S12R 2101N08651W 2100N08651W 2010N08810W 2001N08815W 1943N08827W 1940N08838W 1939N08858W 1939N08905W 1734N09201W PQE/N0328A180 V51 SAXAV V51 TGZ DCT</t>
  </si>
  <si>
    <t>N184US</t>
  </si>
  <si>
    <t>OMSUK2A OMSUK UM219 MYDIA M219 KNOST DCT DEANR DCT BRUTS Q109 CAMJO/N0447F310 DCT TWINS DCT PONZE BANKR8</t>
  </si>
  <si>
    <t>N284AV</t>
  </si>
  <si>
    <t>TAKUX2A TAKUX UM782 OMIRO/N0450F370 UN420 SPP UP530 KAKOL DCT RNG UQ121 ISVAT ISVA5E</t>
  </si>
  <si>
    <t>N152AA</t>
  </si>
  <si>
    <t>S12R SR00 SR01 SR02 SR03 OMSUK UM219 MYDIA M219 KNOST Q109 CAMJO Q99 PEETT DCT BBDOL PAATS4</t>
  </si>
  <si>
    <t>XAGPS</t>
  </si>
  <si>
    <t>S12R T12R6 UN418 UN409 UN419 2051N08729W 2051N08732W 2030N08811W 2028N08822W 2020N08911W 2004N09006W 2004N09011W 2003N09019W 2010N09050W 2020N09124W 2021N09138W 2023N09149W 2033N09317W 2016N09338W 2012N09345W 2017N09420W 2025N09507W VOKIR ENAGA</t>
  </si>
  <si>
    <t>XAVXH</t>
  </si>
  <si>
    <t>S12R T12R6 UN418 UN409 UN419 2053N08737W 2053N08743W 2053N08750W 2053N08755W 2211N09141W 2214N09222W 2219N09235W 2220N09236W 2238N09327W 2306N09430W 2307N09442W 2310N09456W ULUMA UT37 SESNO UJ15E RETOS RETOS1A</t>
  </si>
  <si>
    <t>2308N09448W</t>
  </si>
  <si>
    <t>CFTXQ</t>
  </si>
  <si>
    <t>S12R SR00 SR01 SR02 SR03 SR04 SR05 SR06 SR07 OMSUK UM219 MYDIA M219 KNOST Q109 TEEEM Q99 UMBRE Q22 LLUND DCT BIZEX Q133 CAM/N0461F270 Q133 PBERG CARTR5</t>
  </si>
  <si>
    <t>HK5365</t>
  </si>
  <si>
    <t>TAKUX2A TAKUX UM782 MEVUB UP406 AKPEK AKPE4C</t>
  </si>
  <si>
    <t>N311DN</t>
  </si>
  <si>
    <t>S12R SR00 SR01 SR02 SR03 ENEBA UT27 NOSUG 2224N08659W 2240N08700W 2251N08702W ALKIM UT45 IRDOV L214 LEV/N0459F360 DCT GCV/N0455F350 DCT PAYTN DCT SHYRE GNDLF3</t>
  </si>
  <si>
    <t>S12R T12R6 UN418 UN409 2052N08720W 2048N08736W 2031N08820W 2021N08924W 1909N09200W 1905N09211W OMATO UJ16 OAX</t>
  </si>
  <si>
    <t>S12R SR00 SR01 SR02 SR03 ENEBA UT27 PISAD L333 HRV DCT MHZ DCT HLI/N0457F350 DCT PXV DCT WWODD LECTR3</t>
  </si>
  <si>
    <t>S12R T12R6 UN418 UN409 2053N08718W 2053N08722W 2053N08725W 2046N08806W 2015N08924W 2007N09011W GOTAS UJ24 VER UT111 LARLO LARLO1D</t>
  </si>
  <si>
    <t>N584DN</t>
  </si>
  <si>
    <t>NUDAL1A NUDAL UV106 PODON UG765 MAXIM Y262 ZFP AR23 OZENA Y309 FLRDA DCT SAGGY/N0451F350 DCT CHIEZ Q161 KALDA Q108 SIE CAMRN5</t>
  </si>
  <si>
    <t>S12R T12R6 UN418 UN409 2053N08718W 2100N08751W 2105N08853W 2107N08903W 2219N09203W 2234N09304W 2249N09342W 2315N09438W EBDUB UT37 SESNO UJ15E RETOS RETOS1A</t>
  </si>
  <si>
    <t>2315N09439W</t>
  </si>
  <si>
    <t>AAL1910</t>
  </si>
  <si>
    <t>S12R SR00 SR01 SR02 SR03 SR04 ENEBA UT27 OMVIP UT45 IRDOV L214 LEV/N0450F350 DCT MHZ DCT MEM/N0444F360 DCT FTZ TRTLL6</t>
  </si>
  <si>
    <t>N244WN</t>
  </si>
  <si>
    <t>NUDAL1A NUDAL UV106 PODON UG765 MAXIM Y262 GOPEY Q87 TIRCO/N0465F360 Q87 ZERBO/N0456F390 Q87 RAYVO Q113 AARNN DCT THHMP RAVNN9</t>
  </si>
  <si>
    <t>N8314L</t>
  </si>
  <si>
    <t>S12R SR00 SR01 SR02 SR03 ENEBA UT27 OMVIP UT45 IRDOV L214 DAGGR/N0459F380 L214 LEV J35 MCB DCT LIT DCT KRTNY MHOMS3</t>
  </si>
  <si>
    <t>N7741C</t>
  </si>
  <si>
    <t>ENEBA2A ENEBA UT27 OMVIP UT45 IRDOV L214 DAGGR/N0459F380 L214 LEV J35 MCB/N0457F390 J35 MEM/N0455F400 J35 FAM/N0452F410 DCT SPI DCT PHEEB ENDEE8</t>
  </si>
  <si>
    <t>N633JB</t>
  </si>
  <si>
    <t>S12R 2101N08650W T12R6 2101N08648W NC29 OMSUK UM219 MYDIA M219 CIGAR RAYZZ3</t>
  </si>
  <si>
    <t>S12R SR00 SR01 SR02 SR03 SR04 SR05 SR06 NOSUG 2200N08656W 2206N08656W KEHLI A766 KELPP NNCEE2</t>
  </si>
  <si>
    <t>UDGUV2A UDGUV DCT 2044N08806W 2052N08817W GABOB 2125N08909W 2132N08912W 2231N09210W 2231N09244W 2230N09301W 2238N09326W NOTEN UT37 SESNO UJ15E RETOS RETOS1A</t>
  </si>
  <si>
    <t>CGZQU</t>
  </si>
  <si>
    <t>S12R SR00 SR01 SR02 SR03 OMSUK UM219 MYDIA M219 SNAKR/N0456F370 M219 KNOST Q109 TEEEM Q99 BLAAN Q69 ILLSA/N0451F390 Q69 RICCS DCT OXMAN LINNG3</t>
  </si>
  <si>
    <t>N37513</t>
  </si>
  <si>
    <t>UDGUV2A UDGUV 2041N08813W 2040N08827W MID 2106N09016W 2107N09021W COFRE TAM SESNO MTY PPE J93 AXASA ASUTA J93 PDZ COREZ MAKRS</t>
  </si>
  <si>
    <t>S12R SR00 SR01 SR02 SR03 SR04 SR05 SR06 SR07 SR08 OMSUK UM219 MYDIA/M078F350 M219 KNOST/N0460F350 Q109 CAMJO DCT DANCO DCT OXMAN LINNG3</t>
  </si>
  <si>
    <t>S12R SR00 SR26 SR27 SR28 SR29 SR30 SR31 SR41 SR42 MURBU B764 BUKKY BUKKY1B</t>
  </si>
  <si>
    <t>S12R SR00 SR01 SR02 SR03 SR04 SR05 SR06 SR07 SR08 OMSUK UM219 ROTGI 2152N08640W 2158N08639W LENUK UB646 TELCO/N0474F330 UB646 CANOA Y196 TUNSL Y262 GOPEY Q87 TIRCO/N0477F320 Q87 ZERBO/N0474F330 Q87 RAYVO/N0466F350 Q87 NOWAE DCT BBOBO/N0461F370 Q22 RBV DCT LLUND DCT CAM DCT JASDU DCT PBERG CARTR5</t>
  </si>
  <si>
    <t>WJA2965</t>
  </si>
  <si>
    <t>CGFVE</t>
  </si>
  <si>
    <t>S12R SR00 SR01 SR02 SR03 SR04 OMSUK UM219 MYDIA/M078F350 M219 KNOST/N0460F350 Q109 BRUTS DCT KJ12S DCT AHOEY DCT KW51W DCT PAYGE DCT PBERG CARTR5</t>
  </si>
  <si>
    <t>UDGUV2A UDGUV 2048N08748W 2045N08807W 2048N08826W 2053N08841W 2100N08859W LIDAM UT23 TAM UJ14 TMN DCT MORAS UJ17 QET</t>
  </si>
  <si>
    <t>S12R T12R6 UN418 UN409 UN419 UN432 2050N08736W IKLEK 2036N08856W 1930N09432W 1928N09440W VITOS VITOS2A</t>
  </si>
  <si>
    <t>S12R T12R6 UN418 UN409 TL516 UDGUV DCT 2050N08747W 2056N08806W 2121N08822W 2129N08824W 2232N09206W 2237N09254W 2242N09320W ULUMA DCT MTY UT11 SINLO SINLO1A</t>
  </si>
  <si>
    <t>2316N09439W</t>
  </si>
  <si>
    <t>HP1539</t>
  </si>
  <si>
    <t>S12R ALYRE TAKUX UM782 OMIRO UN420 PELRA DCT SPP DCT SEKMA OSUPA2</t>
  </si>
  <si>
    <t>N145AN</t>
  </si>
  <si>
    <t>N27586</t>
  </si>
  <si>
    <t>S12R SR00 2101N08646W 2151N08656W 2156N08657W IRDOV L214 LEV NNCEE2</t>
  </si>
  <si>
    <t>N613FR</t>
  </si>
  <si>
    <t>S12R SR00 SR01 SR02 2143N08654W 2149N08655W IRDOV L214 LEV/N0451F350 DCT GCV DCT PAYTN DCT SHYRE GNDLF3</t>
  </si>
  <si>
    <t>S12R T12R6 UN418 UN409 UN419 UN432 2049N08742W 2048N08746W 2037N08849W 2034N08858W 2029N08925W OMPAN OMPAN1A</t>
  </si>
  <si>
    <t>TCLLD</t>
  </si>
  <si>
    <t>NUDAL1A NUDAL UV106 PODON UG765 MAXIM Y262 ZFP BR65V STIFF A699 SUMRS/M084F350 M204 LUNKR/M084F370 M204 SOORY/N0484F370 DCT 43N050W/N0482F370 DCT 46N040W/M084F370 DCT 48N030W DCT 49N020W DCT KOGAD DCT BIMGO DCT RATKA/N0484F370 DCT LARLA DCT GANTO/N0483F370 DCT JSY DCT TURDU DCT TADUP DCT TEPRI UN491 POGZI DCT GELTA DCT LUVAL/N0485F370 DCT BEGAR DCT TRA/N0484F370 DCT GAMSA/N0485F370 DCT GEDSO/N0484F370 DCT VEKEN DCT IRDIV/N0474F370 DCT KRV DCT NISVA DCT DEDIN DCT AYTEK</t>
  </si>
  <si>
    <t>2100N08653W CN26 2045N08704W 2038N08707W 2037N08714W 2057N08708W CUN</t>
  </si>
  <si>
    <t>N731AW</t>
  </si>
  <si>
    <t>S12R T12R6 UN418 2055N08658W 2044N08718W 2048N08731W 2048N08745W 2057N08803W 2102N08809W 2128N08846W 2140N08921W 2207N09045W 2255N09307W 2321N09414W 2336N09436W MTY UT11 PPE UJ3 TANRI DCT TIJ</t>
  </si>
  <si>
    <t>2327N09423W</t>
  </si>
  <si>
    <t>N788AV</t>
  </si>
  <si>
    <t>S12R T12R6 2058N08649W 2047N08650W 2029N08701W 2022N08706W RIDEM UG765 AUR DCT</t>
  </si>
  <si>
    <t>1829N08816W</t>
  </si>
  <si>
    <t>N327VP</t>
  </si>
  <si>
    <t>N8729H</t>
  </si>
  <si>
    <t>N106DN</t>
  </si>
  <si>
    <t>S12R SR00 SR01 SR02 ROTGI UM219 MYDIA M219 KNOST DCT AMORY Q110 JOKKY/N0456F360 Q110 DAWWN DCT BEORN GNDLF3</t>
  </si>
  <si>
    <t>N329DN</t>
  </si>
  <si>
    <t>S12R SR00 SR01 SR02 2147N08655W 2203N08700W 2211N08703W KEHLI A766 SBI DCT ELD/N0458F350 DCT LIT DCT IRK/N0453F360 DCT MNOSO BLUEM5</t>
  </si>
  <si>
    <t>S12R SR00 SR01 SR02 SR03 SR04 SR05 SR06 SR07 SR08 2106N08646W ENEBA UT27 NOSUG 2206N08657W 2212N08659W KEHLI A766 KELPP PUCKS4</t>
  </si>
  <si>
    <t>S12R T12R6 UN418 UN409 UN419 UN432 2051N08733W 2053N08753W 2056N08802W 2059N08809W 2116N08839W 2222N09153W 2222N09240W 2228N09309W 2231N09324W 2236N09335W 2308N09449W AVRAV UT37 SESNO UJ15E RETOS RETOS1A</t>
  </si>
  <si>
    <t>2308N09449W</t>
  </si>
  <si>
    <t>XATVJ</t>
  </si>
  <si>
    <t>S12R T12R6 UN418 UN409 UN419 2052N08723W 2054N08729W 2055N08751W 2051N08756W 2052N08809W 2050N08837W 2046N08902W 2043N08909W 2049N08923W NOTEN UT37 ULUMA DCT MTY DCT TASTO DCT ILAMA UT41 NADIS DCT AVRIL UJ3 TANRI TANRI1B</t>
  </si>
  <si>
    <t>N643JB</t>
  </si>
  <si>
    <t>NUDAL1A NUDAL UV106 PODON UG765 MAXIM Y262 LINEY/N0463F350 Y262 ZFP Y319 JAZZI DCT SAGGY DCT CHIEZ Q161 KALDA Q108 SIE CAMRN5</t>
  </si>
  <si>
    <t>S12R 2101N08650W 2100N08649W 2100N08648W NC01 2102N08646W 2106N08643W NOSUG 2216N08658W 2222N08659W 2355N08855W 2413N08913W KEHLI A766 SBI/N0479F320 DCT KH90E DCT MUCKY DCT JCT/N0474F340 DCT PEQ DCT KA09W DCT WIKKR DCT KA18Q DCT BXK J4 WLVRN DCT ESTWD HLYWD1</t>
  </si>
  <si>
    <t>N8728Q</t>
  </si>
  <si>
    <t>S12R SR00 SR01 SR02 2109N08646W NOSUG UT27 OMVIP UT45 IRDOV DCT DAGGR DCT LEV/N0469F370 J31 MEI DCT IGB/N0464F380 DCT KISTS CHSNE3</t>
  </si>
  <si>
    <t>N68AR</t>
  </si>
  <si>
    <t>S12R SR00 SR01 SR02 2107N08644W ROTGI UM219 XOPGI UB646 CANOA DCT EYW DCT</t>
  </si>
  <si>
    <t>S12R T12R6 UN418 UN409 UN419 2050N08732W 2047N08752W 2049N08848W 2100N09025W 2103N09033W 2138N09317W TMN UT147 SLP UJ40 LIBOL LIBOL1B</t>
  </si>
  <si>
    <t>2147N09459W</t>
  </si>
  <si>
    <t>N866AM</t>
  </si>
  <si>
    <t>S12R T12R6 UN418 2050N08729W 2047N08736W 2035N08805W 2016N08839W 2013N08905W 1938N09034W 1937N09036W 1934N09043W 1900N09506W MEBAS LARLO LARLO4A</t>
  </si>
  <si>
    <t>1900N09508W</t>
  </si>
  <si>
    <t>N163AA</t>
  </si>
  <si>
    <t>S12R SR00 SR01 SR02 SR03 2146N08655W 2215N08704W 2220N08706W KEHLI A766 SBI DCT CRIED WHINY4</t>
  </si>
  <si>
    <t>S12R SR00 SR01 SR02 SR03 SR04 ENEBA 2151N08652W 2153N08653W 2204N08657W 2220N08658W 2225N08659W IRDOV/N0459F380 L214 LEV J35 MCB/N0457F390 J35 MEM BOOSH3</t>
  </si>
  <si>
    <t>S12R 2101N08650W 2101N08649W 2101N08648W 2101N08647W 2103N08646W ENEBA NOSUG UT27 OMVIP 2326N08720W 2332N08725W 2358N08815W 2401N08819W 2403N08824W KEHLI A766 KELPP NNCEE2</t>
  </si>
  <si>
    <t>N929AA</t>
  </si>
  <si>
    <t>S12R SR00 SR01 SR02 SR03 2101N08644W ROTGI UM219 MYDIA M219 KNOST DCT DEANR DCT BRUTS Q109 CAMJO DCT TWINS/N0410F290 DCT PONZE BANKR8</t>
  </si>
  <si>
    <t>N974AN</t>
  </si>
  <si>
    <t>S12R SR00 SR01 SR02 SR03 SR04 SR05 SR06 2104N08644W NOSUG 2246N08700W 2254N08701W IRDOV L214 PLNDR DCT HRV DCT MHZ/N0443F350 DCT MEM/N0444F380 DCT FTZ TRTLL6</t>
  </si>
  <si>
    <t>VTE164</t>
  </si>
  <si>
    <t>CRJ2</t>
  </si>
  <si>
    <t>N7164</t>
  </si>
  <si>
    <t>NUDAL1A NUDAL UV106 PODON UG765 MAXIM DCT EYW DCT MAZZY DCT ORL DCT CRG DCT SAV DCT RYFLE DCT RDU DCT SWNGR DCT JAIKE DCT</t>
  </si>
  <si>
    <t>S12R T12R6 2059N08649W N13S 2056N08650W 2055N08652W L11 2053N08701W 2025N08813W 2030N08852W 2031N08856W 2032N08900W 2040N09111W UBVOV UT101 ENAGA</t>
  </si>
  <si>
    <t>N710AB</t>
  </si>
  <si>
    <t>BE36</t>
  </si>
  <si>
    <t>S12R 2102N08652W 2103N08651W OMSUK M219 XOPGI B646 CANOA DCT EYW DCT</t>
  </si>
  <si>
    <t>N24519</t>
  </si>
  <si>
    <t>S12R 2101N08651W 2101N08649W 2101N08646W 2102N08645W NOSUG 2205N08702W 2214N08705W KEHLI A766 SBI DCT FUZ DCT KK36A DCT TOTOE DCT HALEN NIIXX4</t>
  </si>
  <si>
    <t>S12R SR00 SR01 SR02 SR03 2115N08648W 2147N08658W 2157N08701W KEHLI A766 KELPP/N0447F380 A766 SBI DCT CRIED WHINY4</t>
  </si>
  <si>
    <t>S12R T12R6 UN418 UN409 UN419 UN432 2049N08739W 2044N08801W 2037N08812W 2030N08952W 2030N08958W UBVOV UT101 UMAVO UT169 LONBU/N0383F260 UT169 VITOS VITOS2A</t>
  </si>
  <si>
    <t>S12R 2102N08651W 2058N08653W UDGUV 2009N09015W UBVOV UT20 PAZ UT104 LENUL LENUL2B</t>
  </si>
  <si>
    <t>N834DN</t>
  </si>
  <si>
    <t>S12R 2101N08651W 2058N08650W 2040N08835W 2035N08845W 2046N08922W 2053N08948W 2056N08951W 2058N08953W 2100N08951W MD400 MD401 RWY10</t>
  </si>
  <si>
    <t>N8312C</t>
  </si>
  <si>
    <t>S12R 2101N08649W OMSUK UM219 MYDIA M219 KNOST Q109 CAMJO Q99 OGRAE DCT GOOOB DCT THHMP RAVNN9</t>
  </si>
  <si>
    <t>N520JB</t>
  </si>
  <si>
    <t>N37542</t>
  </si>
  <si>
    <t>S12R 2102N08648W NOSUG UT27 PISAD L333 HOOCK DCT MEMFS/N0456F360 DCT FTZ SHAIN2</t>
  </si>
  <si>
    <t>S12R T12R6 UN418 2056N08658W 2057N08705W 2004N09003W 2006N09014W UBVOV UT101 UMAVO/N0438F300 UT101 ENAGA ENAGA3A</t>
  </si>
  <si>
    <t>S12R SR00 SR01 SR02 2109N08645W 2112N08644W 2122N08641W 2132N08638W ROTGI UM219 MYDIA M219 KNOST DCT DEANR DCT BRUTS Q109 CAMJO DCT TWINS/N0396F290 DCT PONZE BANKR8</t>
  </si>
  <si>
    <t>UDGUV2A UDGUV 2038N09104W 2038N09112W NUBIT DCT RIBET UT101 ENAGA DCT OVAGO/N0458F340 UT123 IKLOK/N0458F220 UT123 IGSON IGSON1A</t>
  </si>
  <si>
    <t>S12R T12R6 UN418 UN409 UN419 2051N08726W CPE UJ24 VER UT111 MEBAS UT112 LARLO LARLO1D</t>
  </si>
  <si>
    <t>N769AM</t>
  </si>
  <si>
    <t>UDGUV2A UDGUV UJ84 IKLEK 2040N08814W 2001N08852W 1956N08852W 1950N08855W 1946N08908W 1933N08944W 1910N09037W MTT UT112 LARLO</t>
  </si>
  <si>
    <t>XANTR</t>
  </si>
  <si>
    <t>S12R SR00 SR01 SR02 SR03 2116N08643W 2118N08643W 2122N08641W 2128N08639W 2200N08620W 2201N08620W 2209N08617W CANOA DCT EYW DCT DROWN DCT PEKRE DCT</t>
  </si>
  <si>
    <t>2218N08601W</t>
  </si>
  <si>
    <t>N17565</t>
  </si>
  <si>
    <t>S12R SR00 SR01 SR02 2130N08651W 2142N08653W 2412N08933W 2432N08954W KELPP A766 SBI DCT KF09E DCT MOTZA DCT KK36A DCT TOTOE DCT HALEN NIIXX4</t>
  </si>
  <si>
    <t>2429N08951W</t>
  </si>
  <si>
    <t>N77575</t>
  </si>
  <si>
    <t>S12R SR00 SR01 ROTGI UM219 MYDIA M219 CIGAR/N0463F350 DCT DEANR Q109 CAMJO Q99 QUART PHLBO4</t>
  </si>
  <si>
    <t>VIV2174</t>
  </si>
  <si>
    <t>UDGUV2A UDGUV DCT 2051N08821W 2043N08919W 2057N09013W 2135N09120W 2146N09144W 2147N09146W 2147N09155W 2148N09209W 2151N09243W 2154N09305W 2157N09328W 2201N09339W 2202N09352W SESNO UJ15E RETOS RETOS1A</t>
  </si>
  <si>
    <t>2241N09459W</t>
  </si>
  <si>
    <t>CGWJJ</t>
  </si>
  <si>
    <t>S12R SR00 SR01 2137N08653W IRDOV/M078F340 L214 PLNDR/N0463F340 L214 LEV DCT FSM DCT MAYJI DCT CHELI/N0458F360 DCT KD63A DCT RODIE DCT LNCER DCT COUTS DCT EBGAL EBGAL7</t>
  </si>
  <si>
    <t>N8713M</t>
  </si>
  <si>
    <t>S12R SR00 SR01 2113N08645W 2138N08652W 2157N08659W 2210N08721W 2216N08728W KEHLI A766 KELPP/N0467F360 A766 SBI DCT FUZ J58 SPS DCT HALEN NIIXX4</t>
  </si>
  <si>
    <t>N529JB</t>
  </si>
  <si>
    <t>S12R 2059N08647W NC011 ROTGI UM219 MYDIA M219 CIGAR PRICY5</t>
  </si>
  <si>
    <t>S12R T12R6 UN418 UN409 2056N08702W 2055N08703W 2055N08704W 2054N08709W UDGUV DCT MID DCT 2150N09417W TMN UT147 AGU UT44 MEZCA MEZCA1A</t>
  </si>
  <si>
    <t>2152N09459W</t>
  </si>
  <si>
    <t>N473AN</t>
  </si>
  <si>
    <t>S12R SR00 SR01 2059N08645W SR03 2143N08654W 2159N08658W 2214N08723W 2219N08728W KEHLI A766 SBI DCT IAH DCT CWK DCT FUSCO DCT LINZY J50 ALIBY/N0467F360 DCT DRRVR PINNG1</t>
  </si>
  <si>
    <t>CCBHD</t>
  </si>
  <si>
    <t>ALSUP1C UB881 TIGES/N0449F370 UB881 BTO UZ498 MGA UZ512 LIXAS UL203 ARNEL UM542 TAL UV1 ATATU ATATU4</t>
  </si>
  <si>
    <t>XPCE</t>
  </si>
  <si>
    <t>N855DN</t>
  </si>
  <si>
    <t>S12R SR00 2100N08647W 2101N08646W 2142N08654W 2143N08654W 2259N08702W 2307N08703W 2313N08719W 2319N08732W 2343N08757W 2406N08820W KELPP A766 KLAMS DCT IAH DCT ACT/N0473F340 DCT GTH DCT CIM DCT ALS DCT JNC J12 HELPR JAZZZ1</t>
  </si>
  <si>
    <t>2429N08846W</t>
  </si>
  <si>
    <t>S12R T12R6 2059N08652W 2058N08654W UN703 CZA UT20 UBVOV UT101 UMAVO UT169 VITOS</t>
  </si>
  <si>
    <t>2102N08652W 2111N08649W T30R6 CUN</t>
  </si>
  <si>
    <t>N37521</t>
  </si>
  <si>
    <t>S12R SR00 SR01 SR02 2059N08645W NNE25 ROTGI UM219 MYDIA/N0466F350 M219 CIGAR DCT DEANR Q109 CAMJO Q99 OGRAE DCT BZNGA DCT DORRN CAVLR7</t>
  </si>
  <si>
    <t>S12R T12R6 UN418 UN409 2055N08700W 2051N08711W 2051N08713W 2054N08727W 2051N08727W 2051N08734W UKOKO 2050N08832W 2033N08902W 2023N08921W 2013N09000W 2010N09011W 2014N09015W 2017N09022W 2126N09430W 2128N09434W OTOBA UJ15 CVM UJ15E RETOS RETOS1A</t>
  </si>
  <si>
    <t>2140N09459W</t>
  </si>
  <si>
    <t>N918NN</t>
  </si>
  <si>
    <t>S12R SR00 SR01 NOSUG 2201N08657W 2202N08657W 2208N08657W KEHLI A766 KELPP/N0459F380 A766 SBI DCT CRIED WHINY4</t>
  </si>
  <si>
    <t>N8774Q</t>
  </si>
  <si>
    <t>S12R SR00 SR01 NOSUG 2212N08657W 2225N08659W KEHLI A766 KELPP DCT SBI DCT ACT DCT ABI DCT TXO J72 GUP/N0477F300 DCT HAHAA RKSTR4</t>
  </si>
  <si>
    <t>TOM193</t>
  </si>
  <si>
    <t>NUDAL1A NUDAL UV106 PODON UG765 MAXIM Y262 LULLS DCT EYW DCT VKZ AR11 JANUS BR66V ZFP DCT BAAGR M328 CNNOR/M084F390 M328 ILIDO/M084F410 M328 ANTIG DCT RNGRS DCT 38N060W DCT 44N050W DCT 50N040W DCT 52N030W DCT 53N020W DCT MALOT/N0479F410 DCT GISTI DCT BOFUM Q37 MALUD MALUD1M</t>
  </si>
  <si>
    <t>HP9811</t>
  </si>
  <si>
    <t>TAKUX2A TAKUX UM782 OMIRO UN420 PELRA DCT SPP DCT SEKMA OSUPA2</t>
  </si>
  <si>
    <t>S12R 2101N08650W UN621 ALYRE TAKUX UM782 OMIRO UN420 SPP/N0454F370 UP530 KAKOL DCT RNG UQ121 ISVAT ISVA5E</t>
  </si>
  <si>
    <t>S12R T12R6 2058N08652W 2012N08844W 2011N08846W 2004N08900W 1957N08915W 1950N08928W 1942N08953W 1913N09055W CME NOPON UJ9 VSA DCT</t>
  </si>
  <si>
    <t>S12R SR00 SR01 SR02 SR03 NOSUG 2155N08656W 2156N08656W 2203N08659W 2208N08706W 2411N08928W 2415N08933W KELPP PUCKS4</t>
  </si>
  <si>
    <t>2429N08944W</t>
  </si>
  <si>
    <t>N308UK</t>
  </si>
  <si>
    <t>S12R T12R6 UN418 UN409 2053N08721W 2053N08733W 1949N08859W 1923N08913W 1900N08923W 1843N08936W 1827N08951W 1807N09009W 1806N09010W 1800N09018W 1758N09019W 1753N09024W 1748N09030W 1706N09114W 1706N09115W 1608N09154W 1550N09206W 1603N09221W KESLI A552 TGZ</t>
  </si>
  <si>
    <t>S12R T12R6 UN418 UN409 2053N08716W 2057N08738W 2058N08802W 2101N08816W 2103N08827W 2103N08828W DURPI 2055N08928W 2055N08931W MID 2103N08954W 2106N09000W 2108N09002W 2135N09100W 2205N09200W BESOG 2239N09236W 2253N09249W 2318N09313W 2338N09334W MTY DCT TASTO DCT ILAMA UT41 NADIS DCT AVRIL UJ3 TANRI TANRI1B</t>
  </si>
  <si>
    <t>2346N09358W</t>
  </si>
  <si>
    <t>S12R T12R6 UN418 UN409 2053N08715W CZ551 2053N08734W 2059N08815W 2100N08820W 2101N08827W 2101N08834W 2104N08857W LIDAM UT23 TAM UJ14 TMN UT147 SLP</t>
  </si>
  <si>
    <t>N77572</t>
  </si>
  <si>
    <t>S12R SR00 SR01 SR02 SR03 SR04 2105N08642W 2117N08643W 2129N08648W 2136N08650W 2148N08654W 2149N08655W 2155N08657W KEHLI A766 KELPP NNCEE2</t>
  </si>
  <si>
    <t>TOM039</t>
  </si>
  <si>
    <t>GTUIA</t>
  </si>
  <si>
    <t>S12R SR00 SR01 SR02 SR03 OMSUK UM219 MYDIA M219 CIGAR DCT GULFR DCT HOTHH DCT JENDO DCT LOOEY DCT HAFNR/N0482F410 DCT SPOTZ DCT SMYTH DCT CABCI DCT VIVIL Q850 KISUV DCT BOBBS DCT LOMSI DCT 55N050W/M084F410 DCT 56N040W DCT 56N030W DCT 55N025W DCT NEBIN/N0481F410 DCT OLGON DCT BUNON DCT INRAD DCT NORLA DCT FONZU DCT ELRIP DCT OTMET OTMET1G</t>
  </si>
  <si>
    <t>ARG1324</t>
  </si>
  <si>
    <t>LVKHU</t>
  </si>
  <si>
    <t>S12R T12R6 UN415 2055N08639W 2053N08636W 2014N08606W TAKUX UM782 OMIRO UN420 BUSMO UW90 PLG DCT ROLUS UN420 KETIP/N0465F410 UN420 VAS/N0460F400 UM402 SEKLO/N0460F390 UPR02 KUKEN KUKEN7A</t>
  </si>
  <si>
    <t>HI1133</t>
  </si>
  <si>
    <t>S12R T12R6 UN415 UN440 UN400 2026N08611W 2019N08608W MAMBI UL577 CDO UT15 NADAX NADAX1W</t>
  </si>
  <si>
    <t>2011N08527W</t>
  </si>
  <si>
    <t>UDGUV2A UDGUV UJ84 X84 2037N08826W XSRH 1936N08949W 1858N09007W 1842N09014W 1837N09018W 1825N09037W 1823N09042W RETOM UT112 LARLO LARLO4A</t>
  </si>
  <si>
    <t>1820N09520W</t>
  </si>
  <si>
    <t>N938AV</t>
  </si>
  <si>
    <t>S12R T12R6 UN415 UN440 UN400 OMIRO UN420 SPP UP530 KAKOL DCT RNG UQ121 ISVAT ISVA5E</t>
  </si>
  <si>
    <t>2005N08548W</t>
  </si>
  <si>
    <t>XAADT</t>
  </si>
  <si>
    <t>S12R 2101N08651W 2101N08650W SR24 L17 2057N08650W UDGUV UJ84 CZA 2035N08835W 2035N08836W 2033N08841W VER UT111 LARLO LARLO4A</t>
  </si>
  <si>
    <t>1923N09501W</t>
  </si>
  <si>
    <t>CCCQO</t>
  </si>
  <si>
    <t>S12R T12R6 2029N08619W 1956N08559W PELRA/N0447F350 UN420 TBG UM674 ATATU ATATU4</t>
  </si>
  <si>
    <t>2000N08601W</t>
  </si>
  <si>
    <t>S12R T12R6 UN418 UN409 UN419 2051N08729W VER UT111 MEBAS UT112 LARLO LARLO1D</t>
  </si>
  <si>
    <t>1924N09501W</t>
  </si>
  <si>
    <t>XAVRE</t>
  </si>
  <si>
    <t>S12R T12R6 2100N08651W 2056N08651W 2050N08655W 2049N08715W DURPI DCT LIDAM UT23 TAM UJ14 TMN DCT MORAS UJ17 QET</t>
  </si>
  <si>
    <t>UDGUV2A UDGUV UT78 UKOKO 2050N08854W 2050N08855W MD506 LIDAM UT23 TAM UJ14 TMN UT147 SLP UJ40 LIBOL LIBOL1B</t>
  </si>
  <si>
    <t>CFG119</t>
  </si>
  <si>
    <t>DANRN</t>
  </si>
  <si>
    <t>S12R SR00 SR01 SR02 SR03 2102N08647W 2116N08639W ROTGI UM219 MYDIA M219 CULLY/N0476F370 M219 CIGAR DCT KR81Q DCT CTY DCT TAALR DCT TAALN Q87 JROSS DCT ELLDE DCT ISO/N0468F390 DCT ORF/M081F390 DCT LINND/N0468F390 DCT TUSKY N429A ELSIR/M081F390 NATY 53N030W/M081F400 NATY MALOT/N0465F400 NATY GISTI/N0464F410 DCT ENJEX DCT ADHAV DCT AGCAT DCT AXNEF DCT ZIPWE DCT OZZIL DCT SAWPE Q63 CPT UL9 BIG L607 KONAN DCT KOK DCT SPI T180 NIVNU T847 TUTOV TUTOV1D</t>
  </si>
  <si>
    <t>CFFPH</t>
  </si>
  <si>
    <t>S12R SR00 SR01 SR02 2059N08645W ROTGI UM219 MYDIA/M077F350 M219 CIGAR/N0448F350 DCT KJ90Q DCT PGAAA DCT KT27S DCT REAVS DCT KW54U DCT OXMAN LINNG3</t>
  </si>
  <si>
    <t>XAVSK</t>
  </si>
  <si>
    <t>UDGUV2A UDGUV UT78 DURPI DCT NUBIT DCT RIBET UT101 ENAGA DCT OVAGO UT123 IKLOK/N0402F220 UT123 IGSON/N0326F140 IGSON1A</t>
  </si>
  <si>
    <t>UDGUV2A UDGUV UT78 DURPI DCT NUBIT DCT RIBET UT101 ENAGA DCT OVAGO UT123 IKLOK/N0449F220 UT123 IGSON IGSON1A</t>
  </si>
  <si>
    <t>UDGUV2A UDGUV UJ84 CZA 2032N08845W 2031N08845W 2030N08850W 2020N08958W AXUKO VER UT111 LARLO LARLO4A</t>
  </si>
  <si>
    <t>S12R T12R6 2100N08649W SR00 2101N08639W 2109N08618W 2112N08558W MAXIM/N0497F370 Y262 ZFP DCT ANGLL DCT CNNOR/M085F370 M328 ANTIG/N0495F370 DCT BALOO/M085F390 DCT 36N060W/M085F390 40N050W 40N040W 40N030W/M085F410 39N020W/M085F410 DCT GUNTI/N0491F400 DCT OGERO Z409 TLD</t>
  </si>
  <si>
    <t>S12R 2100N08650W 2058N08651W UDGUV UT78 DURPI 2245N09324W 2307N09452W SESNO UJ15E RETOS RETOS1A</t>
  </si>
  <si>
    <t>2307N09450W</t>
  </si>
  <si>
    <t>ALSUP1C ALSUP UB881 BTO UM206 VIVIT DCT PIRAS BARRA4P</t>
  </si>
  <si>
    <t>S12R T12R6 UN418 UN409 UN419 UN432 2049N08742W NAPRI NAPRI1A</t>
  </si>
  <si>
    <t>S12R T12R6 UN418 UN409 2052N08718W 2052N08720W 2050N08727W MID 2122N09145W 2123N09152W TMN DCT MORAS UJ17 QET</t>
  </si>
  <si>
    <t>S12R SR00 SR01 SR02 OMSUK 2134N08644W 2136N08644W XOPGI 2226N08626W 2254N08559W TELCO UB646 CANOA Y196 TUNSL Y262 GOPEY Q87 TIRCO/N0477F320 Q87 ONEWY/N0472F340 Q87 ZERBO/N0469F350 Q87 VIYAP Q69 BLAAN/N0461F370 Q69 RICCS DCT OXMAN LINNG3</t>
  </si>
  <si>
    <t>2252N08601W</t>
  </si>
  <si>
    <t>ECNGY</t>
  </si>
  <si>
    <t>NUDAL1A NUDAL UV106 PODON/N0492F390 UG765 MAXIM DCT DROWN DCT MILLE/M085F390 M595 VINSO DCT AMENO/M085F410 DCT 33N050W DCT 3630N04000W DCT 39N030W DCT 41N020W DCT DETOX/N0488F410 DCT ADORO L155 ZMR</t>
  </si>
  <si>
    <t>S12R SR00 SR01 SR02 2117N08644W XOPGI UM219 MYDIA/M083F370 M219 CULLY/N0485F370 M219 KNOST Q109 TEEEM Q99 BLAAN/N0479F390 Q99 UMBRE Q22 RBV Q430 RIFLE DCT YAHOO DCT BRADD N349B JOOPY/M082F390 NATZ 49N050W/M082F400 NATZ XETBO/N0470F390 DCT NORLA DCT FONZU DCT ELRIP DCT OTMET OTMET1G</t>
  </si>
  <si>
    <t>UDGUV2A UDGUV UT78 VIKMO/N0451F380 UT78 MEDOS DCT UBVOV DCT UMAVO UT101 ENAGA ENAGA3A</t>
  </si>
  <si>
    <t>N958JB</t>
  </si>
  <si>
    <t>NUDAL1A NUDAL UV106 PODON UG765 MAXIM Y262 ZFP Y319 JAZZI DCT SAGGY DCT CHIEZ Q161 KALDA Q108 SIE CAMRN5</t>
  </si>
  <si>
    <t>S12R T12R6 UN415 UN440 UN400 2041N08619W OMIRO UN420 BONOS/N0446F390 UN420 SPP DCT VUNIB DCT SIROT DCT KUBEK DCT RNG DCT ISVAT ISVAT5E</t>
  </si>
  <si>
    <t>UDGUV2A UDGUV UT78 DURPI 2051N09301W 2050N09334W UBVOV UT101 ENAGA ENAGA3A</t>
  </si>
  <si>
    <t>XAVHV</t>
  </si>
  <si>
    <t>S12R T12R6 UN418 UN409 2052N08721W 2051N08728W 1918N09031W 1847N09130W CME NOPON UJ9 VSA</t>
  </si>
  <si>
    <t>UDGUV2A UDGUV UT78 DURPI DCT UBVOV UT101 UMAVO UT104 LENUL LENUL3A</t>
  </si>
  <si>
    <t>S12R T12R6 UN418 UN409 UN419 UN432 2135N09341W 2142N09502W TMN UT147 AGU UT44 MEZCA MEZCA1A</t>
  </si>
  <si>
    <t>UDGUV2A UDGUV DCT NOTEN UT37 SESNO UJ15E RETOS RETOS1A</t>
  </si>
  <si>
    <t>UDGUV2A UDGUV UT78 DURPI 2042N09321W 2036N09354W 2034N09500W RIBET VOKIR UT101 ENAGA ENAGA3A</t>
  </si>
  <si>
    <t>UDGUV2A UDGUV UT78 UKOKO 1955N09126W 1940N09138W 1921N09150W 1903N09201W 1858N09220W 1855N09248W 1856N09510W ALRAD</t>
  </si>
  <si>
    <t>1856N09509W</t>
  </si>
  <si>
    <t>UDGUV2A UDGUV UT78 XOLRO 2052N09023W 2056N09056W 2105N09141W 2107N09223W 2109N09243W 2105N09425W VITOS VITOS2A</t>
  </si>
  <si>
    <t>2057N09459W</t>
  </si>
  <si>
    <t>UDGUV2A UDGUV UT78 VIKMO 2054N09218W 2058N09241W 2101N09411W VOKIR UT101 UMAVO/N0456F300 UT101 ENAGA ENAGA3A</t>
  </si>
  <si>
    <t>2050N09459W</t>
  </si>
  <si>
    <t>S12R T12R6 NUDAL UR506 KALNO VETSI2A</t>
  </si>
  <si>
    <t>UDGUV2A UDGUV UT78 XOLRO 2056N09055W 2112N09158W 2114N09239W 2117N09340W 2127N09350W 2130N09403W 2120N09456W VOKIR UMAVO UT101 ENAGA ENAGA3A</t>
  </si>
  <si>
    <t>HP1844</t>
  </si>
  <si>
    <t>S12R T12R6 2100N08650W ALYRE TAKUX UM782 OMIRO UN420 PELRA DCT SPP DCT SEKMA OSUPA2</t>
  </si>
  <si>
    <t>S12R T12R6 2100N08651W 2058N08652W 2058N08653W 2058N08736W 2058N08744W 2102N08804W 2103N08811W 2256N09328W 2302N09336W 2325N09407W SESNO DCT MTY UJ32 TRC DCT</t>
  </si>
  <si>
    <t>2329N09420W</t>
  </si>
  <si>
    <t>XAJSO</t>
  </si>
  <si>
    <t>S12R T12R6 2100N08651W 2058N08651W 2103N09204W 2109N09211W 2110N09211W 2123N09227W 2116N09307W 2117N09325W 2110N09400W 2109N09455W RIBET UT101 UMAVO/N0457F300 UT101 ENAGA ENAGA3A</t>
  </si>
  <si>
    <t>2107N09459W</t>
  </si>
  <si>
    <t>S12R T12R6 UN418 2058N08746W 2057N08753W 2240N09243W 2243N09250W 2309N09331W 2336N09411W SESNO UJ15E RETOS RETOS1A</t>
  </si>
  <si>
    <t>AAL316</t>
  </si>
  <si>
    <t>N857NN</t>
  </si>
  <si>
    <t>S12R 2101N08651W T12R6 2101N08649W 2104N08648W 2140N08654W 2146N08654W KEHLI A766 SBI DCT CRIED WHINY4</t>
  </si>
  <si>
    <t>N66828</t>
  </si>
  <si>
    <t>S12R 2101N08650W MOGOP 2102N08648W ENEBA 2139N08655W 2148N08656W KEHLI A766 KELPP NNCEE2</t>
  </si>
  <si>
    <t>N867AM</t>
  </si>
  <si>
    <t>UDGUV2A UDGUV UT78 XOLRO 2049N09035W 2047N09039W 2043N09052W 2018N09142W 2007N09149W 1949N09207W 1945N09209W 1939N09221W 1939N09230W 2001N09401W 2013N09414W 2020N09423W 2046N09457W VOKIR UT101 UMAVO/N0457F300 UT101 ENAGA ENAGA3A</t>
  </si>
  <si>
    <t>N390DA</t>
  </si>
  <si>
    <t>S12R SR00 SR01 SR02 SR03 SR04 SR05 SR06 SR07 SR08 SR09 UN406 NOSUG UT27 OMVIP UT45 IRDOV L214 LEV DCT GCV/N0462F370 DCT PAYTN DCT SHYRE GNDLF3</t>
  </si>
  <si>
    <t>2059N08653W 2051N08653W</t>
  </si>
  <si>
    <t>N77590</t>
  </si>
  <si>
    <t>S12R T12R6 2100N08644W 2104N08628W DUGNI PODON UG765 MAXIM Y262 GOPEY Q87 TIRCO/N0466F340 Q87 ZERBO/N0463F350 Q87 ALWZZ DCT OGRAE Q99 QUART PHLBO4</t>
  </si>
  <si>
    <t>2134N08548W</t>
  </si>
  <si>
    <t>N903TF</t>
  </si>
  <si>
    <t>KROG</t>
  </si>
  <si>
    <t>GA5C</t>
  </si>
  <si>
    <t>S12R 2101N08650W MOGOP 2101N08647W ENEBA UT27 NOSUG 2216N08700W IRDOV L214 LEV J35 SQS DCT LIT DCT RZC DCT</t>
  </si>
  <si>
    <t>UDGUV2A UDGUV UT78 UKOKO 2050N08857W 2050N08904W 2043N08924W 2043N08926W MD953 2044N09421W 2058N09521W VOKIR UT101 UMAVO/N0461F300 UT101 ENAGA ENAGA3A</t>
  </si>
  <si>
    <t>2053N09459W</t>
  </si>
  <si>
    <t>2059N08651W 2058N08650W L25 2046N08703W 2052N08703W 2055N08659W</t>
  </si>
  <si>
    <t>UDGUV2A UDGUV 2048N08748W 2048N08750W 2040N09433W 2038N09454W PAZ UT104 LENUL DCT</t>
  </si>
  <si>
    <t>2038N09459W</t>
  </si>
  <si>
    <t>2102N08652W UN580 2103N08644W 2137N08652W 2150N08657W 2156N08659W KEHLI A766 KELPP DCT VUH DCT</t>
  </si>
  <si>
    <t>DAL9887</t>
  </si>
  <si>
    <t>N930DZ</t>
  </si>
  <si>
    <t>S12R SR00 2105N08645W SR08 2141N08653W 2158N08659W 2200N08700W 2211N08717W 2212N08720W 2216N08724W 2323N08836W 2329N08842W 2403N08910W 2407N08913W 2427N08948W KELPP KENGS A766 KLAMS DCT VUH DCT ELA DCT STV DCT JCT DCT PEQ DCT EWM Q180 BXK/N0477F340 J4 WLVRN DCT ESTWD HLYWD1</t>
  </si>
  <si>
    <t>2429N08950W</t>
  </si>
  <si>
    <t>XAVAY</t>
  </si>
  <si>
    <t>S12R T12R6 UN418 UN409 2056N08701W 2056N08705W UKOKO UT78 XOLRO 2045N09116W 2036N09154W 2027N09347W 2103N09457W UMAVO UT101 ENAGA ENAGA3A</t>
  </si>
  <si>
    <t>2102N09459W</t>
  </si>
  <si>
    <t>S12R T12R6 UN418 2056N08655W 2055N08658W 2052N08709W 2052N08726W 2052N08728W 2059N08825W 2105N08917W 2107N08931W 2109N08945W 2129N09028W 2226N09238W 2242N09314W 2252N09422W AVRAV UT37 SESNO UJ15E RETOS RETOS1A</t>
  </si>
  <si>
    <t>UDGUV2A UDGUV UJ84 CZA 2038N08829W 2036N08840W 2016N08926W 2014N08929W CME UJ28 VER KAVRU LENUL</t>
  </si>
  <si>
    <t>NOREL</t>
  </si>
  <si>
    <t>S12R T12R6 UN418 UN409 UN419 2050N08733W 2050N08736W 1910N09050W 1907N09057W 1851N09157W MTT XORUV UJ64 CUA UJ24 UPN UT145 IGSON</t>
  </si>
  <si>
    <t>SLI591</t>
  </si>
  <si>
    <t>E190</t>
  </si>
  <si>
    <t>XAACE</t>
  </si>
  <si>
    <t>S12R T12R6 UN418 UDGUV UT78 DURPI 2044N09155W 2045N09221W 2048N09234W 2049N09301W 2046N09420W 2045N09449W VOKIR UT101 UMAVO UT169 VITOS VITOS2A</t>
  </si>
  <si>
    <t>CGEOJ</t>
  </si>
  <si>
    <t>S12R SR00 2059N08646W 2100N08644W 2102N08643W 2105N08643W 2111N08644W NOSUG IRDOV/M080F340 L214 PLNDR/N0475F330 DCT MEI/N0463F370 DCT IIU DCT ROD DCT QWERI NUBER6</t>
  </si>
  <si>
    <t>UDGUV2A UDGUV UT78 DURPI 2043N09120W 2040N09142W 2040N09143W VOKIR UT101 UMAVO/N0410F280 UT101 ENAGA ENAGA3A</t>
  </si>
  <si>
    <t>N8723Q</t>
  </si>
  <si>
    <t>S12R 2059N08647W SR01 SR02 NOSUG 2221N08711W 2226N08714W 2320N08821W 2327N08827W 2348N08844W 2355N08849W 2437N08924W KELPP BAYYY5</t>
  </si>
  <si>
    <t>2429N08917W</t>
  </si>
  <si>
    <t>UDGUV2A UDGUV DCT 2052N08841W PERGO 2225N09237W 2217N09311W 2238N09340W AVRAV UT37 SESNO UJ15E RETOS RETOS1A</t>
  </si>
  <si>
    <t>UDGUV2A UDGUV UT78 XOLRO 2049N09016W 2043N09105W 2036N09142W 2032N09154W 2029N09202W 2039N09244W 2044N09259W 2045N09307W 2047N09317W 2054N09349W 2058N09405W 2114N09510W TAJIN DCT VITOS VITOS2A</t>
  </si>
  <si>
    <t>2111N09459W</t>
  </si>
  <si>
    <t>NUDAL1A NUDAL UV106 PODON UG765 MAXIM Y262 LULLS DCT GOPEY Q87 ONEWY/N0455F340 Q87 ZERBO/N0455F350 Q87 VIYAP Q69 RICCS DCT OXMAN LINNG3</t>
  </si>
  <si>
    <t>UDGUV2A UDGUV UT78 UKOKO 2049N08820W 2049N08828W 2006N09208W 2007N09231W 2024N09352W 2025N09353W 2031N09406W 2056N09452W URLIX UT46 TAM</t>
  </si>
  <si>
    <t>2056N09459W</t>
  </si>
  <si>
    <t>TAKUX2A TAKUX UM782 OMIRO UN420 BONOS/N0445F390 UN420 PELRA DCT SPP DCT SEKMA OSUPA2</t>
  </si>
  <si>
    <t>S12R T12R6 2045N08656W CZ70 CTM UG765 AUR DCT</t>
  </si>
  <si>
    <t>CTM</t>
  </si>
  <si>
    <t>N893NN</t>
  </si>
  <si>
    <t>S12R 2101N08649W 2104N08647W NOSUG UT27 OMVIP 2407N08851W 2438N08915W KELPP A766 SBI DCT CRIED WHINY4</t>
  </si>
  <si>
    <t>2429N08908W</t>
  </si>
  <si>
    <t>UDGUV2A UDGUV DCT 2053N08845W 2104N08934W 2112N09002W NOTEN DCT LIBOX DCT MOV UT3 URKOM UJ54 CJS DCT</t>
  </si>
  <si>
    <t>S12R 2101N08651W T12L6 2102N08648W NOSUG 2234N08659W 2240N08701W IRDOV L214 LEV/N0469F350 DCT SJI DCT MGMRY DCT TWOUP Q22 BURGG Q60 JAXSN DCT DORRN CAVLR7</t>
  </si>
  <si>
    <t>XAVAE</t>
  </si>
  <si>
    <t>UDGUV2A UDGUV DCT MID DCT LIDAM UT23 RAULS/N0454F380 UT23 TAM UJ14 TMN UT147 AGU UT44 MEZCA MEZCA1A</t>
  </si>
  <si>
    <t>N525HC</t>
  </si>
  <si>
    <t>C525</t>
  </si>
  <si>
    <t>S12R T12R6 UN418 UN409 2055N08701W 2055N08707W 2055N08719W 2056N08722W 2057N08735W 2058N08739W 2059N08746W 2106N08810W PERGO UT23 ISARO 2125N09041W 2125N09143W 2127N09158W 2144N09500W TMN UT147 AGU</t>
  </si>
  <si>
    <t>XBSKG</t>
  </si>
  <si>
    <t>UDGUV2A UDGUV DCT 2050N08806W 2050N08808W 2102N08851W 2143N09031W 2144N09034W 2147N09038W MARUS XUBSU 2126N08956W 2120N08946W TEXOB 2101N08948W MD401 RWY10</t>
  </si>
  <si>
    <t>HP1834</t>
  </si>
  <si>
    <t>TAKUX2A TAKUX UM782 OMIRO/N0433F350 UN420 BONOS/N0436F370 UN420 PELRA DCT SPP DCT SEKMA OSUPA2</t>
  </si>
  <si>
    <t>UDGUV2A UDGUV UT78 VIKMO 2048N09121W 2043N09137W 2033N09218W 2033N09219W 2034N09223W 2034N09234W 2033N09405W 2033N09407W 2048N09446W RIBET VOKIR UMAVO/N0466F300 UT101 ENAGA ENAGA3A</t>
  </si>
  <si>
    <t>CGEZN</t>
  </si>
  <si>
    <t>S12R 2101N08650W 2101N08648W 2134N08643W 2139N08642W 2202N08625W 2210N08620W CANOA Y196 TUNSL Y262 GOPEY Q87 ONEWY/N0455F340 Q87 ZERBO/N0455F350 Q87 VIYAP Q69 RYCKI/N0451F370 Q69 RICCS DCT PSB DCT SYR DCT ART IMPAC4</t>
  </si>
  <si>
    <t>2221N08601W</t>
  </si>
  <si>
    <t>HP1843</t>
  </si>
  <si>
    <t>N988AL</t>
  </si>
  <si>
    <t>S12R SR00 SR01 NOSUG 2210N08657W 2211N08657W 2217N08658W 2241N08708W 2244N08709W 2304N08718W 2308N08721W 2337N08810W 2338N08813W 2349N08822W 2350N08822W 2409N08835W 2416N08841W 2419N08846W 2421N08850W 2423N08851W 2444N08904W KELPP A766 SBI DCT CRIED WHINY4</t>
  </si>
  <si>
    <t>2429N08855W</t>
  </si>
  <si>
    <t>S12R 2100N08651W 2058N08651W 2055N08706W 2054N08707W 2045N08722W 2029N08746W 2020N08759W PQE/N0383A180 V51 TGZ DCT</t>
  </si>
  <si>
    <t>XACZG</t>
  </si>
  <si>
    <t>S12R 2102N08647W NC29 ROTGI UM219 MYDIA M219 CIGAR DCT THRTL DCT BANNG DCT LORNN Q65 RINTE DCT MAYZE J43 CRL DCT</t>
  </si>
  <si>
    <t>N28457</t>
  </si>
  <si>
    <t>S12R SR00 2150N08655W 2154N08655W 2250N08723W 2254N08725W 2311N08730W 2320N08732W 2325N08734W IRDOV L214 DAGGR/N0472F340 L214 LEV DCT MCB/N0466F350 DCT MEMFS/N0461F360 DCT FTZ TRTLL6</t>
  </si>
  <si>
    <t>N775MJ</t>
  </si>
  <si>
    <t>S12R SR00 SR01 SR02 SR03 SR04 SR05 2103N08644W NOSUG UT27 PISAD L333 HOOCK DCT LEV DCT</t>
  </si>
  <si>
    <t>N163US</t>
  </si>
  <si>
    <t>S12R T12R6 UN415 2058N08639W 2059N08638W 2108N08604W 2110N08601W 2120N08540W PODON UG765 MAXIM Y262 GOPEY Q87 TIRCO/N0459F340 Q87 ZERBO/N0460F350 Q87 VIYAP DCT JONZE JONZE8</t>
  </si>
  <si>
    <t>2120N08540W</t>
  </si>
  <si>
    <t>HI1103</t>
  </si>
  <si>
    <t>S12R 2027N08618W 2014N08520W MAMBI UL577 ITMAD/N0451F390 UL577 CDO UT15 NADAX NADAX1W</t>
  </si>
  <si>
    <t>2014N08521W</t>
  </si>
  <si>
    <t>N523UW</t>
  </si>
  <si>
    <t>NUDAL1A NUDAL UV106 PODON UG765 MAXIM Y262 GOPEY Q87 TIRCO/N0465F340 Q87 ZERBO/N0460F330 Q87 JROSS Q135 RREGG/N0423F290 Q117 SAWED Q97 ZJAAY JIIMS4</t>
  </si>
  <si>
    <t>N330DX</t>
  </si>
  <si>
    <t>S12R SR00 SR01 SR02 2100N08644W 2107N08644W 2108N08644W NOSUG UT27 OMVIP UT45 IRDOV L214 LEV DCT GCV/N0452F330 DCT PAYTN DCT SHYRE GNDLF3</t>
  </si>
  <si>
    <t>S12R T12R6 UN418 2053N08727W 2052N08731W 2052N09048W 2047N09137W 2042N09321W 2038N09424W RIBET UT101 ENAGA ENAGA3A</t>
  </si>
  <si>
    <t>S12R T12R6 UN418 UN409 2050N08723W 2040N08805W 2039N08807W 2041N08821W 2040N08825W NUDIK/N0450F380 UJ24 VER UT111 LARLO LARLO1D</t>
  </si>
  <si>
    <t>LET3552</t>
  </si>
  <si>
    <t>C25B</t>
  </si>
  <si>
    <t>XALEY</t>
  </si>
  <si>
    <t>S12R T12R6 UN418 UN409 2056N08859W BEMOX PERGO UT37 SESNO UJ15E RETOS DCT</t>
  </si>
  <si>
    <t>XAVOY</t>
  </si>
  <si>
    <t>UDGUV2A UDGUV 2048N08805W 2048N08806W 2043N08811W NUBIT DCT RIBET UT101 ENAGA DCT OVAGO UT123 IKLOK/N0449F220 UT123 IGSON IGSON1B</t>
  </si>
  <si>
    <t>N151AN</t>
  </si>
  <si>
    <t>S12R 2100N08649W CN01 SL00 CN03 CN04 2144N08654W ALKIM UT45 IRDOV L214 PLNDR DCT HRV DCT MHZ/N0444F350 DCT MEM/N0432F340 DCT FTZ TRTLL6</t>
  </si>
  <si>
    <t>N591DT</t>
  </si>
  <si>
    <t>NUDAL1A NUDAL UV106 PODON UG765 MAXIM Y262 GOPEY DCT DVALL DCT HEDLY DCT STYMY/N0461F320 DCT ZERBO Q87 DUCEN/N0461F330 Q87 JROSS DCT YURCK Q109 DFENC DCT SAWED/N0451F350 Q108 SIE CAMRN5</t>
  </si>
  <si>
    <t>N8770Q</t>
  </si>
  <si>
    <t>S12R 2059N08647W UN621 NC02 CN06 NOSUG 2214N08658W 2220N08658W KEHLI A766 KELPP PUCKS4</t>
  </si>
  <si>
    <t>N8743K</t>
  </si>
  <si>
    <t>S12R SR00 SR01 SR02 SR03 NOSUG UT27 OMVIP UT45 IRDOV L214 LEV J35 MCB DCT LIT DCT KRTNY MHOMS3</t>
  </si>
  <si>
    <t>N434AN</t>
  </si>
  <si>
    <t>S12R T12R6 UN415 2058N08640W 2105N08617W NUDAL UV106 PODON UG765 MAXIM SNDBR3</t>
  </si>
  <si>
    <t>XCDGA</t>
  </si>
  <si>
    <t>S12R T12R6 ENAGA</t>
  </si>
  <si>
    <t>S12R SR00 SR01 SR02 NOSUG 2157N08656W 2204N08658W 2309N08739W 2348N08843W 2404N08923W 2420N08943W 2430N08955W KELPP A766 SBI DCT KF09E DCT JASPA DCT KF27A DCT EXELL DCT KA39W DCT KD42U DCT DVC DCT KITTN Q164 KATTS Q136 RUMPS DCT OAL DCT INYOE DYAMD5</t>
  </si>
  <si>
    <t>2429N08954W</t>
  </si>
  <si>
    <t>POE768</t>
  </si>
  <si>
    <t>CGKYC</t>
  </si>
  <si>
    <t>S12R 2100N08649W MOGOP NC011 CN03 ROTGI M219 SNAKR Y240 SHAQQ/N0462F390 M580 MARCI DCT FEMID Q118 KPASA/N0465F380 Q99 DOFFY/N0462F390 Q99 CAMJO DCT PSK DCT PSB J59 SYR DCT ART DEANS4</t>
  </si>
  <si>
    <t>N37437</t>
  </si>
  <si>
    <t>S12R SR00 SR01 SR02 SR03 SR04 2139N08653W 2231N08710W 2234N08711W 2407N08928W 2420N08947W KEHLI A766 KELPP NNCEE2</t>
  </si>
  <si>
    <t>S12R T12R6 UN415 UN440 2044N08623W OMIRO UN420 SPP UP530 KAKOL DCT RNG UQ121 ISVAT ISVA5E</t>
  </si>
  <si>
    <t>2004N08549W</t>
  </si>
  <si>
    <t>CGJKK</t>
  </si>
  <si>
    <t>S12R SR00 SR01 SR02 SR03 SR04 NOSUG 2212N08657W 2216N08658W IRDOV/M078F380 L214 PLNDR/N0455F380 L214 LEV/N0454F350 DCT KM18M DCT NULLS DCT KI45Q DCT OXMAN LINNG3</t>
  </si>
  <si>
    <t>N964AV</t>
  </si>
  <si>
    <t>TAKUX2A TAKUX UM782 OMIRO/N0448F390 UN420 SPP UP530 KAKOL/N0373F230 B689 OPMEL OPME4A</t>
  </si>
  <si>
    <t>UDGUV2A UDGUV DCT 2048N08747W 2049N08754W 2104N08808W 2123N08843W 2127N08850W 2150N08931W 2153N08936W 2330N09420W SESNO RETOS MTY</t>
  </si>
  <si>
    <t>2330N09420W</t>
  </si>
  <si>
    <t>S12R SR00 SR01 SR02 SR03 2149N08640W 2201N08640W 2203N08638W 2211N08637W CANOA Y196 TUNSL Y262 GOPEY Q87 TIRCO/N0471F340 Q87 ZERBO/N0468F350 Q87 JROSS DCT FLO DCT RIC DCT BBOBO Q22 RBV DCT LLUND DCT CAM DCT JASDU DCT PBERG CARTR5</t>
  </si>
  <si>
    <t>2230N08601W</t>
  </si>
  <si>
    <t>S12R 2101N08650W 2101N08646W NOSUG 2305N08816W 2311N08822W 2326N08856W KEHLI A766 KELPP NNCEE2</t>
  </si>
  <si>
    <t>XAVME</t>
  </si>
  <si>
    <t>S12R T12R6 UN418 UN409 UN419 2052N08724W 2041N08753W 2050N08808W 2047N08822W 2040N08846W 2041N08849W 2113N08929W NA104 2214N09138W 2327N09423W MTY UT11 SINLO SINLO1A</t>
  </si>
  <si>
    <t>N1071A</t>
  </si>
  <si>
    <t>PA31</t>
  </si>
  <si>
    <t>CUN 2111N08643W XOPGI LENUK B646 CANOA</t>
  </si>
  <si>
    <t>S12R T12R6 UN418 UN409 2054N08705W 2054N08707W 2044N08724W 2049N08812W UKOKO 2048N08815W 2047N08818W 2041N08841W 2043N09018W 2043N09042W 2043N09055W 2119N09414W 2127N09500W TMN MORAS TARBI</t>
  </si>
  <si>
    <t>2127N09459W</t>
  </si>
  <si>
    <t>VIV2280</t>
  </si>
  <si>
    <t>S12R T12R6 UN418 UN409 UN419 2055N08754W 2047N08813W 2033N08839W 2014N08955W 1931N09426W REXES DCT VITOS VITOS2A</t>
  </si>
  <si>
    <t>1936N09459W</t>
  </si>
  <si>
    <t>N8741L</t>
  </si>
  <si>
    <t>ENEBA2A ENEBA UT27 OMVIP UT45 IRDOV L214 LEV J35 MCB/N0469F370 J35 SQS/N0458F390 J35 MEM BOOSH3</t>
  </si>
  <si>
    <t>S12R 2100N08651W 2056N08651W 2044N08656W 2041N08658W CZ030 2000N08709W 1955N08712W MURBU B764 ELSON 1901N08738W 1858N08738W 1833N08745W ANEPU B764 BUKKY BUKKY1A</t>
  </si>
  <si>
    <t>XBORN</t>
  </si>
  <si>
    <t>2050N08721W 2048N08729W 2059N08745W AVA70 2051N08833W 2048N08847W</t>
  </si>
  <si>
    <t>N591JB</t>
  </si>
  <si>
    <t>S12R 2101N08650W SL00 2100N08645W 2102N08640W NUDAL UV106 PODON UG765 MAXIM Y262 LULLS DCT WIGNA DCT FIPES/N0455F340 DCT FERAL BLFRG3</t>
  </si>
  <si>
    <t>THY182</t>
  </si>
  <si>
    <t>TCLLU</t>
  </si>
  <si>
    <t>S12R T12R6 UN415 UN413 2104N08631W 2102N08630W 2103N08628W NUDAL UR506 UHA UR628 UVA/N0499F340 UR628 TANIA/N0494F350 M328 JERRE/M084F350 M328 ANTIG DCT BALOO DCT 36N060W/N0482F370 DCT 44N050W/N0481F370 DCT 48N040W/M084F370 DCT 50N030W DCT 50N020W DCT KOGAD DCT BIMGO DCT RATKA/N0486F370 DCT LARLA/N0483F370 DCT OTOFE UN491 POGZI DCT GELTA DCT LUVAL/N0481F370 DCT BEGAR DCT TRA/N0481F370 DCT GAMSA/N0482F370 DCT GEDSO/N0480F370 DCT VEKEN DCT DEGUM/N0480F370 DCT TIVNU DCT VTN DCT NISVA DCT DEDIN DCT AYTEK</t>
  </si>
  <si>
    <t>N14509</t>
  </si>
  <si>
    <t>ENEBA2A ENEBA 2144N08655W 2207N08702W 2215N08706W 2326N08832W 2339N08846W 2359N08907W KEHLI/N0461F340 A766 SBI DCT DONIE DCT KF12E DCT HERBZ DCT KF27C DCT ROLLS DCT TOTOE DCT HALEN NIIXX4</t>
  </si>
  <si>
    <t>ENEBA2A ENEBA UT27 NOSUG 2155N08656W 2226N08706W 2234N08710W 2316N08809W 2335N08901W 2337N08904W 2344N08910W KEHLI A766 KELPP/N0461F360 A766 SBI DCT CRIED WHINY4</t>
  </si>
  <si>
    <t>ENEBA2A ENEBA UT27 NOSUG 2235N08659W 2242N08701W 2313N08751W 2317N08758W 2334N08841W 2334N08844W 2351N08928W 2410N08933W KEHLI A766 SBI DCT KH90E/N0480F320 DCT CWK DCT JCT/N0473F340 DCT TXSAS/N0466F360 DCT KA12U DCT RUTER DCT KA18Q DCT BXK J4 WLVRN DCT ESTWD HLYWD1</t>
  </si>
  <si>
    <t>S12R T12R6 UN418 UN409 2052N08720W 2101N08755W 2108N08810W 2109N08811W 2112N08816W 2128N08837W 2132N08843W 2232N09200W 2233N09209W 2233N09319W 2234N09336W 2234N09353W 2234N09358W 2214N09518W MTY DCT TASTO DCT ILAMA UT41 NADIS DCT AVRIL UJ3 TANRI TANRI1B</t>
  </si>
  <si>
    <t>2219N09459W</t>
  </si>
  <si>
    <t>N306SW</t>
  </si>
  <si>
    <t>N653JB</t>
  </si>
  <si>
    <t>S12R T12R6 2100N08649W ALYRE TAKUX UM782 OMIRO UN420 BONOS/N0446F390 UN420 PELRA DCT SPP DCT SEKMA OSUPA2</t>
  </si>
  <si>
    <t>N8776L</t>
  </si>
  <si>
    <t>S12R T12R6 UN418 UN409 2052N08720W 2054N08729W 2100N08749W 2106N08803W 2106N08805W 2118N08833W 2237N09229W 2250N09254W 2341N09409W SESNO UJ15E RETOS RETOS1A</t>
  </si>
  <si>
    <t>2340N09407W</t>
  </si>
  <si>
    <t>N320DN</t>
  </si>
  <si>
    <t>ENEBA2A ENEBA UT27 NOSUG 2257N08702W 2325N08717W 2330N08720W 2353N08738W 2404N08747W 2419N08801W IRDOV DAGGR L214 LEV DCT GCV/N0456F350 DCT PAYTN DCT SHYRE GNDLF3</t>
  </si>
  <si>
    <t>S12R T12R6 UN418 UN409 2053N08719W 2058N08740W 2111N08825W 2115N08835W UBVOV UT101 UMAVO/N0457F300 UT101 ENAGA ENAGA3A</t>
  </si>
  <si>
    <t>N573UW</t>
  </si>
  <si>
    <t>NUDAL1A NUDAL UV106 PODON UG765 MAXIM Y262 GOPEY Q87 TIRCO/N0465F340 Q87 ZERBO/N0462F350 Q87 VIYAP DCT JONZE JONZE8</t>
  </si>
  <si>
    <t>S12R T12R6 UN418 UN409 UN419 2053N08723W 2105N08804W 2107N08810W 2115N08831W 2119N08840W UBVOV UT101 RIBET UM580 AVALI UT149 AVSUB DCT LIBOL LIBOL1B</t>
  </si>
  <si>
    <t>N8771D</t>
  </si>
  <si>
    <t>S12R T12R6 UN415 NUDAL UV106 PODON UG765 MAXIM Y262 LINEY DCT KUTNE MUNGI1</t>
  </si>
  <si>
    <t>S12R SR00 SR01 SR02 2139N08653W 2242N08714W 2248N08717W 2258N08720W 2324N08734W IRDOV/N0476F340 L214 LEV NNCEE2</t>
  </si>
  <si>
    <t>ROU1815</t>
  </si>
  <si>
    <t>CFSLU</t>
  </si>
  <si>
    <t>S12R SR00 SR01 NOSUG UT27 OMVIP UT45 IRDOV/M080F340 L214 PLNDR/N0471F350 DCT MEI/N0463F370 DCT IIU DCT ROD DCT QWERI NUBER6</t>
  </si>
  <si>
    <t>S12R T12R6 UN418 UN409 2101N08742W 2102N08744W 2104N08751W 2126N08802W 2135N08808W 2220N09048W 2219N09051W 2213N09120W 2216N09143W 2218N09158W 2224N09242W 2219N09306W 2223N09352W 2218N09413W 2217N09415W 2150N09535W SESNO UJ15E RETOS RETOS1A</t>
  </si>
  <si>
    <t>2202N09459W</t>
  </si>
  <si>
    <t>S12R SR00 SR01 NOSUG UT27 OMVIP UT45 IRDOV L214 PLNDR DCT HRV DCT MCB/N0443F370 DCT MEM/N0441F380 DCT FTZ TRTLL6</t>
  </si>
  <si>
    <t>S12R T12R6 UN418 UN409 2053N08714W 2101N08742W 2106N08749W 2112N08755W 2116N08830W 2121N08854W UBVOV UT101 UMAVO UT169 VITOS VITOS2A</t>
  </si>
  <si>
    <t>S12R T12R6 UN418 UN409 UN419 2050N08733W 2057N08743W 2107N08757W 2114N08811W 2119N08849W 2117N08917W 2117N08916W 2125N09047W 2137N09134W 2154N09206W LIDAM UT23 TAM UJ14 TMN UT147 SLP UJ40 LIBOL LIBOL1B</t>
  </si>
  <si>
    <t>S12R SR00 SR01 2059N08646W 2101N08644W 2103N08643W 2106N08642W 2112N08642W 2116N08642W NOSUG 2218N08658W 2221N08658W OMVIP PISAD L333 HRV</t>
  </si>
  <si>
    <t>S12R T12R6 UN418 2056N08713W 2106N08810W 2112N08825W 2116N08849W UBVOV DCT UMAVO UT101 ENAGA ENAGA3A</t>
  </si>
  <si>
    <t>N637JB</t>
  </si>
  <si>
    <t>S12R T12R6 2100N08649W NUDAL UV106 PODON UG765 MAXIM BHHIA3</t>
  </si>
  <si>
    <t>N538VL</t>
  </si>
  <si>
    <t>S12R T12R6 UN418 2058N08735W 2112N08825W LCL2 UBVOV UT20 PAZ UT104 ELVED/N0406F280 UT104 LENUL LENUL2B</t>
  </si>
  <si>
    <t>XAVUK</t>
  </si>
  <si>
    <t>S12R T12R6 UN418 2056N08658W 2057N08713W 2054N08737W 2051N08738W 2045N08801W 1912N09239W 1906N09336W LARLO LARLO4A</t>
  </si>
  <si>
    <t>1859N09508W</t>
  </si>
  <si>
    <t>S12R T12R6 UN418 2052N08731W 2049N08748W 2033N08906W 2025N08942W 2025N08945W GOTAS UJ24</t>
  </si>
  <si>
    <t>N508JL</t>
  </si>
  <si>
    <t>S12R T12R6 2059N08647W NUDAL UV106 PODON UG765 MAXIM Y262 TUNSL DCT KUTNE MUNGI1</t>
  </si>
  <si>
    <t>N8785L</t>
  </si>
  <si>
    <t>S12R SR00 SR01 NOSUG 2238N08700W 2250N08702W 2309N08741W 2314N08757W 2322N08823W 2328N08846W 2336N08905W KEHLI A766 SBI DCT FUZ J58 SPS DCT HALEN NIIXX4</t>
  </si>
  <si>
    <t>S12R T12R6 UN402 UN408 2042N08652W 2030N08653W ALSUP UT57 KELYS/N0429F320 UT57 AMIDA UG521 SAP UH225 NAGEL H225 ATUMA UH225 CAT DCT</t>
  </si>
  <si>
    <t>AMIDA</t>
  </si>
  <si>
    <t>N77431</t>
  </si>
  <si>
    <t>S12R SR00 SR01 SR02 NOSUG UT27 PISAD L333 HOOCK DCT MEMFS/N0462F360 DCT FTZ TRTLL6</t>
  </si>
  <si>
    <t>N402AN</t>
  </si>
  <si>
    <t>S12R T12R6 2100N08649W NUDAL UV106 PODON UG765 MAXIM Y262 GOPEY Q87 TIRCO/N0449F360 Q87 ZERBO/N0450F370 Q87 VIYAP DCT JONZE JONZE8</t>
  </si>
  <si>
    <t>XBLVH</t>
  </si>
  <si>
    <t>S12R 2101N08651W CN01 2105N08645W NOSUG 2153N08656W 2203N08658W 2243N08750W 2307N08826W 2308N08827W 2324N08848W KEHLI A766 KELPP DCT</t>
  </si>
  <si>
    <t>S12R SR00 SR01 2150N08655W 2201N08650W 2203N08648W 2216N08638W PISAD L333 HOOCK DCT LEV/N0462F360 DCT KH06I DCT KF21G DCT MOOON DCT KK45A DCT GCK DCT KIISS CLASH5</t>
  </si>
  <si>
    <t>N893DN</t>
  </si>
  <si>
    <t>S12R SR00 SR01 SR02 SR03 2134N08652W 2141N08654W IRDOV L214 LEV DCT GCV/N0465F350 DCT PAYTN DCT SHYRE GNDLF3</t>
  </si>
  <si>
    <t>S12R ENEBA UT27 NOSUG 2226N08659W 2231N08659W IRDOV/M078F340 L214 PLNDR/N0465F340 L214 LEV DCT DEBII DCT KLAWW/N0455F360 DCT HLC DCT HANKI DCT CZI DCT ZERZO DCT COUTS DCT EBGAL EBGAL7</t>
  </si>
  <si>
    <t>S12R 2101N08651W T12R6 2100N08649W 2103N08648W ENEBA UT27 PISAD/N0468F340 L333 HOOCK/N0463F350 DCT CATLN Q22 UMBRE DCT QUART PHLBO4</t>
  </si>
  <si>
    <t>TOM149</t>
  </si>
  <si>
    <t>S12R 2100N08650W MOGOP 2100N08647W T12L7 ROTGI UM219 MYDIA M219 CIGAR DCT PLYER DCT JROSS Q409 OKNEE DCT NUTZE DCT CBEAV DCT GEDIC DCT ACK DCT BRADD N349B JOOPY/M084F390 NATX BEXET/N0464F390 DCT INKUR DCT BOFUM Q37 MALUD MALUD1M</t>
  </si>
  <si>
    <t>CCBAA</t>
  </si>
  <si>
    <t>ALSUP1C ALSUP UB881 ALSUP UB881 BTO UZ498 MGA UZ512 LIB/N0448F350 UZ512 LIXAS UL203 ARNEL UM542 TAL UV1 ATATU ATATU4</t>
  </si>
  <si>
    <t>S12R T12R6 UN418 UN409 UN419 UN432 2050N08746W MID 2159N09149W LERIL 2405N09333W LEXUD RETOS</t>
  </si>
  <si>
    <t>2405N09333W</t>
  </si>
  <si>
    <t>TOM049</t>
  </si>
  <si>
    <t>GTUIM</t>
  </si>
  <si>
    <t>S12R 2100N08650W 2100N08649W NC10 NC03 ROTGI UM219 MYDIA M219 CIGAR DCT PLYER DCT JROSS Q409 OKNEE DCT NUTZE DCT CBEAV DCT GEDIC DCT ACK DCT KANNI N257B NICSO/M085F390 NATY GISTI/N0455F390 DCT KER DCT GOTEM DCT NORLA DCT FONZU DCT ELRIP DCT OTMET OTMET1G</t>
  </si>
  <si>
    <t>S12R T12R6 UN418 UN409 2055N08703W 2055N08707W 2055N08801W 2054N08805W 2054N08813W OMPAN UJ18 VER UT178 REXES DCT VITOS VITOS2A</t>
  </si>
  <si>
    <t>N358PW</t>
  </si>
  <si>
    <t>S12R T12R6 UN418 UN409 UN419 2051N08733W 2058N08815W 2101N08836W NUBIT DCT RIBET UT101 ENAGA DCT OVAGO UT123 IKLOK/N0447F220 UT123 IGSON IGSON1B</t>
  </si>
  <si>
    <t>S12R 2101N08651W 2101N08650W SL00 2101N08645W NOSUG 2203N08657W 2210N08700W KEHLI A766 KELPP PUCKS4</t>
  </si>
  <si>
    <t>N933DZ</t>
  </si>
  <si>
    <t>S12R 2101N08650W 2100N08649W CN02 SR04 NOSUG 2206N08657W 2213N08658W KEHLI A766 SBI DCT ACT DCT PNH/N0453F300 DCT ALS/N0449F340 DCT JNC J12 HELPR JAZZZ1</t>
  </si>
  <si>
    <t>S12R T12R6 UN418 UN409 2056N08701W 2056N08705W 2056N08707W 2054N08714W 2053N08720W 2048N08742W 2031N08801W 2017N08810W 2012N08817W 1955N08856W 1950N08902W 1946N08906W 1911N08942W NOPON UJ9 VSA DCT</t>
  </si>
  <si>
    <t>N7729A</t>
  </si>
  <si>
    <t>S12R SR00 SR01 SR02 SR03 SR04 SR05 SR06 SR07 SR08 SR09 SR10 SR11 SR12 SR13 SR14 SR15 SR16 2124N08653W 2201N08704W 2208N08705W KEHLI A766 SBI DCT LUKKN WLEEE7</t>
  </si>
  <si>
    <t>HK5319</t>
  </si>
  <si>
    <t>S12R T12R6 UN415 ALYRE TAKUX UM782 OMIRO/N0447F390 UN420 SPP UP530 KAKOL DCT RNG UQ121 ISVAT ISVA5E</t>
  </si>
  <si>
    <t>HP9801</t>
  </si>
  <si>
    <t>S12R T12R6 UN402 UN408 CZM 2018N08655W 2016N08655W 2008N08654W 1956N08641W 1955N08641W 1914N08608W ANSON DCT AROVI VUMAN2</t>
  </si>
  <si>
    <t>1936N08625W</t>
  </si>
  <si>
    <t>S12R T12R6 UN418 UN409 2054N08710W 2058N08725W 2104N08756W 2109N08810W 2106N08827W 2106N08829W 2106N08911W 2210N09147W 2210N09149W 2211N09151W 2209N09202W 2208N09209W 2207N09211W 2200N09241W 2156N09301W 2157N09316W 2158N09321W 2156N09327W 2149N09358W 2140N09438W 2114N09609W AVRAV UT37 SESNO UJ15E RETOS RETOS1A</t>
  </si>
  <si>
    <t>2134N09459W</t>
  </si>
  <si>
    <t>N8737L</t>
  </si>
  <si>
    <t>S12R SR00 SR01 SR02 SR03 SR04 ENEBA 2141N08655W ALKIM UT45 IRDOV L214 LEV J35 MCB/N0457F370 J35 MEM/N0451F380 J35 FAM/N0449F390 DCT SPI DCT PHEEB ENDEE8</t>
  </si>
  <si>
    <t>S12R SR00 SR01 SR02 SR03 SR04 ENEBA 2133N08654W 2142N08655W 2238N08714W 2255N08728W 2259N08734W KEHLI A770 LEV LINKK1</t>
  </si>
  <si>
    <t>S12R T12R6 UN418 UN409 UN419 UN432 2045N08803W R35B 2048N09000W 2044N09015W 2042N09021W MEBAS UT112 ERDEL/N0431F130 UT112 LARLO LARLO1D</t>
  </si>
  <si>
    <t>DANRA</t>
  </si>
  <si>
    <t>NUDAL1A NUDAL UR506 UHA UR628 UVA/N0483F360 UR628 TANIA/N0479F370 R628 MENDL/M082F370 R628 ZQA M329 EXTER DCT LASEE M329 GRATX DCT GALVN DCT BEXUM DCT SELIM/M082F390 DCT JEBBY M202 LOMPI DCT PORTI NATZ 47N050W/M082F400 NATZ XETBO/N0470F410 DCT EVRIN DCT INFEC DCT JETZI DCT AMFUL DCT CAWZE DCT SIRIC P2 DVR UL9 KONAN DCT KOK UL607 REMBA/N0463F390 UL607 SPI T180 NIVNU T847 TUTOV TUTOV1D</t>
  </si>
  <si>
    <t>N630WB</t>
  </si>
  <si>
    <t>S12R T12R6 UN418 UN409 2053N08718W 2055N08756W 2054N08759W 2055N08853W 2100N08858W 2107N08902W 2110N08905W 2114N08911W 2116N08915W 2118N08932W 2118N08935W TEXOB MD400 MD401 RWY10</t>
  </si>
  <si>
    <t>S12R T12R6 UN418 UN409 2053N08715W 2051N08727W 2114N08827W 2238N09234W 2239N09236W 2242N09244W 2242N09245W 2250N09253W 2326N09319W 2330N09327W 2336N09332W 2358N09353W LIBOX REX DCT</t>
  </si>
  <si>
    <t>2353N09349W</t>
  </si>
  <si>
    <t>S12R T12R6 TAKUX UM782 OMIRO/N0448F390 UN420 SPP UP530 KAKOL DCT RNG UQ121 ISVAT ISVA5E</t>
  </si>
  <si>
    <t>CCBLK</t>
  </si>
  <si>
    <t>S12R 2026N08650W 2021N08650W 2010N08650W 1927N08658W 1851N08706W BTO UZ498 MGA UZ512 LIXAS UL203 ARNEL UM542 TAL UV1 ATATU ATATU4</t>
  </si>
  <si>
    <t>1853N08706W</t>
  </si>
  <si>
    <t>HBIHC</t>
  </si>
  <si>
    <t>S12R SR00 SR01 SR02 SR03 SR04 SR05 SR06 ROTGI UM219 MYDIA/M085F410 Y240 SNAKR M219 CIGAR/N0486F410 DCT CTY DCT CRG DCT ORF DCT LYNUS N11A JOBOC/M085F410 DCT 42N060W DCT BOBTU/N0487F410 DCT RAFIN DCT 45N050W/M085F410 DCT 49N040W DCT 51N030W DCT 51N020W DCT DINIM/N0466F410 DCT ELSOX/M082F410 DCT LULOX/N0468F410 DCT LIZAD/N0467F410 DCT JSY DCT ARSUK DCT RESMI DCT TEPRI DCT POGZI DCT GELTA DCT MANAG DCT PEVIT DCT BLM</t>
  </si>
  <si>
    <t>N910KS</t>
  </si>
  <si>
    <t>UDGUV2A UDGUV UJ84 CZA 2039N08835W 2023N08912W 2018N08925W 2013N08951W 2014N08957W TAJIN UT20 PAZ UT104 LENUL DCT</t>
  </si>
  <si>
    <t>UDGUV2A UDGUV 2049N08811W 2049N08814W 2102N08838W 2124N08906W 2149N08937W 2151N08950W 2150N08952W VOKIR UT101 ENAGA DCT OVAGO UT123 IKLOK/N0450F220 UT123 IGSON IGSON1A</t>
  </si>
  <si>
    <t>2049N09459W</t>
  </si>
  <si>
    <t>S12R T12R6 UN418 UN409 UN419 UN432 2052N08744W 2124N08912W 2125N08915W 2138N08937W 2152N09010W 2243N09247W 2325N09426W ULUMA UT37 SESNO UJ15E RETOS RETOS1A</t>
  </si>
  <si>
    <t>TFL511</t>
  </si>
  <si>
    <t>PHTFM</t>
  </si>
  <si>
    <t>S12R SR00 SR01 SR02 SR03 SR04 OMSUK UM219 MYDIA M219 CIGAR DCT PLYER DCT JROSS Q409 SESUE DCT TYI DCT JAMIE DCT SWL DCT ZIZZI Q167 EMJAY DCT LFV DCT TUSKY N429A ELSIR/M084F390 NATW NETKI/N0466F390 DCT BOFUM Q37 MALUD UL975 WAL M16 DOLAS L603 LAMSO</t>
  </si>
  <si>
    <t>S12R T12R6 UN418 2053N08659W 2053N08700W 2051N08703W UBVOV UT101 UMAVO/N0461F300 UT101 ENAGA ENAGA3A</t>
  </si>
  <si>
    <t>S12R T12R6 UN418 2057N08655W L07 2054N08754W 2053N08803W 2054N08843W IZAML 2106N08905W 2110N08910W 2117N08917W 2124N08945W 2124N08949W 2056N09341W UMAVO UT101 ENAGA ENAGA3A</t>
  </si>
  <si>
    <t>2041N09459W</t>
  </si>
  <si>
    <t>GYMMF</t>
  </si>
  <si>
    <t>NUDAL1A NUDAL UV106 PODON UG765 MAXIM DCT VKZ DCT NUCAR A699 LOUIZ/M082F370 A699 SUMRS M204 FLUPS/M083F390 M204 SOORY DCT 44N050W/M083F410 4830N04000W 50N030W 5030N02000W DCT SOMAX DCT ATSUR DCT GAPLI/N0476F410 DCT SIDDI DCT DAWLY DCT ELRIP DCT OTMET OTMET1G</t>
  </si>
  <si>
    <t>S12R T12R6 UN418 UN409 UN419 UN432 2050N08733W 2049N08742W 2105N08855W NA108 2120N08949W 2120N08950W LIDAM UT23 TAM UJ14 TMN DCT MORAS UJ17 QET</t>
  </si>
  <si>
    <t>CFYJP</t>
  </si>
  <si>
    <t>S12R SR00 NOSUG 2212N08657W IRDOV/M079F360 L214 PLNDR/N0460F370 DCT MEI DCT HITMN DCT IIU Q139 RINTE DCT QWERI NUBER6</t>
  </si>
  <si>
    <t>S12R T12R6 2058N08652W 2042N08808W XVLD NAPRI NAPRI1A</t>
  </si>
  <si>
    <t>S12R T12R6 UN418 2056N08654W 2052N08945W 2053N08954W ELURA UMAVO UT101 ENAGA</t>
  </si>
  <si>
    <t>S12R T12R6 UN418 UN409 2052N08742W 2048N08802W 2048N08803W GOTAS MEBAS LARLO</t>
  </si>
  <si>
    <t>S12R T12R6 1935N08950W KETBA AGAVE UJ9 VSA</t>
  </si>
  <si>
    <t>XAVCC</t>
  </si>
  <si>
    <t>S12L T12L6 2058N08735W 2058N08741W 2056N08858W LIBAB 2106N08940W 2110N08953W 2111N09003W 2113N09030W 2102N09059W 2100N09111W 2031N09410W 2014N09437W IKLOK UT123 IGSON</t>
  </si>
  <si>
    <t>2011N09459W</t>
  </si>
  <si>
    <t>ECMTI</t>
  </si>
  <si>
    <t>S12L T12L6 UN415 UN413 2110N08605W FRANT/N0498F370 UG765 MAXIM Y262 LULLS Y642 DROWN/M085F370 Y642 GRATX/M085F390 M329 LAZEY DCT 34N060W/M085F390 40N050W/M085F410 41N040W 42N030W 43N020W DCT ARMED/N0487F410 DCT EPOPO/N0491F400 DCT ADORO L155 ZMR</t>
  </si>
  <si>
    <t>S12L 2055N08800W 2054N08831W 2043N08937W MD907 2020N09454W UMAVO UT101 ENAGA ENAGA3A</t>
  </si>
  <si>
    <t>2020N09459W</t>
  </si>
  <si>
    <t>S12L T12L6 UN418 UN409 UN419 2051N08728W UBVOV UT101 ENAGA ENAGA3A</t>
  </si>
  <si>
    <t>S12L T12L6 2050N08733W 1936N09203W 1930N09215W 1922N09223W 1925N09254W 1930N09333W 1913N09437W 1909N09508W LARLO</t>
  </si>
  <si>
    <t>1909N09505W</t>
  </si>
  <si>
    <t>S12L T12L6 UN418 2055N08737W 2051N09402W 2048N09431W 2025N09540W VOKIR UT101 UMAVO/N0473F300 UT101 ENAGA ENAGA3A</t>
  </si>
  <si>
    <t>S12L T12L6 2047N08735W 2022N08957W 1954N09036W 1938N09041W JOTAS 1821N09208W 1820N09218W 1810N09252W 1805N09306W 1757N09324W 1755N09334W 1758N09338W ALRAD VER</t>
  </si>
  <si>
    <t>1837N09515W</t>
  </si>
  <si>
    <t>S12L T12L6 UN418 UN409 UN419 UN432 2050N08738W CPE 1946N09036W 1903N09117W 1821N09218W 1803N09245W 1758N09322W 1758N09341W 1822N09518W PBC</t>
  </si>
  <si>
    <t>1822N09519W</t>
  </si>
  <si>
    <t>VIV386</t>
  </si>
  <si>
    <t>MUCM</t>
  </si>
  <si>
    <t>NUDAL1B NUDAL UR506 NUDUG UL212 VTICO/N0447F390 UL212 UCL DCT HUZAR TAGON5A</t>
  </si>
  <si>
    <t>S12L 2058N08652W 2049N08729W 2002N09141W 2007N09209W 2007N09228W 2006N09256W 2007N09300W 2009N09305W 2018N09315W 2110N09423W 2121N09437W 2139N09505W TAM UJ15 CVM UJ15E RETOS RETOS1A</t>
  </si>
  <si>
    <t>2135N09459W</t>
  </si>
  <si>
    <t>S12L T12L6 2026N08616W 2020N08610W PELRA/N0445F390 DCT SPP DCT SEKMA OSUPA2</t>
  </si>
  <si>
    <t>2001N08558W</t>
  </si>
  <si>
    <t>S12L T12L6 NUDAL UR506 KALNO VETSI2A</t>
  </si>
  <si>
    <t>UDGUV2B UDGUV UJ84 CPE 1949N09037W 1850N09139W 1859N09215W 1918N09231W 1933N09243W 1926N09251W 1925N09257W 1904N09504W MEBAS UT111 LARLO LARLO4A</t>
  </si>
  <si>
    <t>1904N09507W</t>
  </si>
  <si>
    <t>N997NN</t>
  </si>
  <si>
    <t>NOSUG2B NOSUG UT27 OMVIP KEHLI A766 SBI DCT CRIED WHINY4</t>
  </si>
  <si>
    <t>N62894</t>
  </si>
  <si>
    <t>S12L T12L6 UN417 UN406 2143N08654W 2146N08654W IRDOV L214 LEV LINKK1</t>
  </si>
  <si>
    <t>N3740C</t>
  </si>
  <si>
    <t>S12R SR00 NC011 NOSUG 2206N08657W 2208N08657W 2216N08657W IRDOV L214 PLNDR/N0463F390 DCT DELTE DCT PAYTN DCT SHYRE GNDLF3</t>
  </si>
  <si>
    <t>UDGUV2A UDGUV UJ84 CPE UJ9 VSA UJ5 MTT UT112 LARLO LARLO4A</t>
  </si>
  <si>
    <t>S12R 2102N08652W SL0 2039N08629W 2031N08621W MAMBI UL577 CDO DCT</t>
  </si>
  <si>
    <t>2017N08521W</t>
  </si>
  <si>
    <t>S12R SR00 SR01 SR02 NOSUG UT27 OMVIP 2353N08706W 2359N08707W 2437N08656W CCUDA L333 HRV/N0462F370 DCT PAYTN DCT FRDDO DCT TWOUP Q22 UMBRE DCT QUART PHLBO4</t>
  </si>
  <si>
    <t>2415N08702W</t>
  </si>
  <si>
    <t>2101N08652W 2052N08701W 2043N08658W 2051N08652W</t>
  </si>
  <si>
    <t>S12R T12R6 2100N08651W UDGUV UJ84 CPE UJ9 JOTAS 1902N09119W 1840N09128W 1820N09141W 1816N09145W XNAI VSA UJ5 MTT UT112 LARLO LARLO4A</t>
  </si>
  <si>
    <t>N95KM</t>
  </si>
  <si>
    <t>BE58</t>
  </si>
  <si>
    <t>S12R SR00 SR01 SR02 SR03 2101N08644W OMSUK M219 XOPGI B646 CANOA DCT EYW DVALL</t>
  </si>
  <si>
    <t>S12R T12R6 UN418 2051N08721W 2051N08724W 2239N09238W 2241N09245W 2244N09307W 2248N09313W 2301N09353W 2318N09451W SESNO UJ15E RETOS</t>
  </si>
  <si>
    <t>2315N09440W</t>
  </si>
  <si>
    <t>S12R T12R6 2056N08653W 2051N08657W 2048N08730W 2030N08828W 2007N09004W 2007N09101W 2003N09154W 1957N09243W 1933N09432W 1932N09501W IKLES UT178 REXES DCT ENAGA ENAGA3A</t>
  </si>
  <si>
    <t>S12R T12R6 2058N08652W L11 2051N08721W DYSON UT42 TADNA DCT UMAVO UT104 LENUL LENUL3A</t>
  </si>
  <si>
    <t>DUTRO</t>
  </si>
  <si>
    <t>ELZ4</t>
  </si>
  <si>
    <t>N54DP</t>
  </si>
  <si>
    <t>S12R SR00 SR01 SR02 SR03 ENEBA 2128N08654W 2151N08703W 2217N08707W 2228N08710W 2234N08712W KEHLI A766 KLAMS DCT DARTR DCT FIATT DCT UKW DCT OKWUS DCT EDARE DCT</t>
  </si>
  <si>
    <t>CGFVX</t>
  </si>
  <si>
    <t>S12R 2059N08647W 2103N08643W 2116N08643W 2135N08644W 2147N08643W LENUK UB646 CANOA Y196 TUNSL Q81 KARTR DCT RSW DCT KR78S DCT VIYAP DCT SAV DCT RYCKI Q69 LUNDD DCT JOOEY DCT OXMAN LINNG3</t>
  </si>
  <si>
    <t>XATVI</t>
  </si>
  <si>
    <t>S12R T12R6 UN418 UN409 UN419 2051N08729W CPE UJ9 CME 1837N09153W 1836N09157W 1824N09347W 1823N09354W RETOM UJ64 CUA DCT ELILA ELILA2B</t>
  </si>
  <si>
    <t>S12R T12R6 UN418 UN409 UN419 UN432 2050N08734W 2006N08957W 2005N09104W 2007N09121W 2010N09202W 2009N09225W 2010N09305W 2015N09405W IKLES UT178 REXES DCT VITOS VITOS2A</t>
  </si>
  <si>
    <t>2003N09459W</t>
  </si>
  <si>
    <t>S12R T12R6 UN418 UN409 UN419 UN432 2050N08735W CPE UJ9 CONTO 1832N09305W 1831N09305W 1828N09316W 1840N09329W 1844N09335W AVALI UT169 VITOS VITOS2A</t>
  </si>
  <si>
    <t>UDGUV2A UDGUV UJ84 CPE UJ9 VSA UJ5 MTT UT112 LARLO DCT OVAGO UT123 IGSON IGSON1A</t>
  </si>
  <si>
    <t>CFSJJ</t>
  </si>
  <si>
    <t>S12R 2101N08650W T12R6 SL0 2102N08647W NC29 2138N08653W 2259N08729W IRDOV/M079F360 L214 PLNDR/N0464F370 DCT MEI/N0455F390 DCT HITMN DCT IIU Q139 RINTE DCT QWERI NUBER6</t>
  </si>
  <si>
    <t>S12R T12R6 UN415 UN413 2106N08627W 2107N08625W NUDAL UV106 PODON UG765 EMOVI UG765 MAXIM SNDBR3</t>
  </si>
  <si>
    <t>S12R SR00 SR01 SR02 SR03 SR04 2131N08651W 2143N08654W 2209N08702W 2342N08850W 2417N08914W 2441N08922W KELPP PUCKS4</t>
  </si>
  <si>
    <t>2429N08918W</t>
  </si>
  <si>
    <t>S12R T12R6 UN418 2056N08655W 2055N08703W 2048N08720W 2049N08742W 1959N09004W 1842N09146W 1837N09154W 1830N09342W 1830N09345W 1830N09351W 1809N09409W 1804N09413W RETOM UT112 ERDEL/N0452F260 UT112 LARLO LARLO4A</t>
  </si>
  <si>
    <t>UDGUV2A UDGUV UJ84 CZA 2009N08942W 2009N09115W 2009N09121W 2010N09129W 2010N09138W 2009N09256W 1953N09345W 1954N09405W 1956N09417W 1958N09426W TAM UJ15 CVM UJ15E RETOS RETOS1A</t>
  </si>
  <si>
    <t>2021N09459W</t>
  </si>
  <si>
    <t>N37506</t>
  </si>
  <si>
    <t>S12R SR00 SR01 SR02 SR03 OMSUK 2137N08643W LENUK UB646 CANOA Y196 TUNSL Y262 GOPEY Q87 TIRCO/N0467F360 Q87 ZERBO/N0465F370 Q87 LCAPE DCT RDU DCT BZNGA DCT DORRN CAVLR7</t>
  </si>
  <si>
    <t>S12R T12R6 2056N08649W CTM UG765</t>
  </si>
  <si>
    <t>2101N08653W UN1PA 2044N08658W CZM 2055N08659W 2101N08653W 2101N08655W 2103N08654W</t>
  </si>
  <si>
    <t>HP9810</t>
  </si>
  <si>
    <t>S12R T12R6 UN415 TAKUX UM782 OMIRO UN420 PELRA DCT SPP DCT SEKMA OSUPA2</t>
  </si>
  <si>
    <t>CGEZX</t>
  </si>
  <si>
    <t>S12R 2101N08651W T12R6 2101N08647W SR22 ROTGI UM219 MYDIA M219 CIGAR DCT KNOST DCT CAMJO Q99 TEEEM/N0453F370 Q99 BLAAN Q69 RICCS DCT OXMAN LINNG3</t>
  </si>
  <si>
    <t>S12R T12R6 2057N08652W 2035N08711W 2047N08726W 2007N09104W 2008N09224W 1959N09300W 1943N09402W 1947N09440W 1947N09442W BJX</t>
  </si>
  <si>
    <t>1950N09459W</t>
  </si>
  <si>
    <t>S12R T12R6 2058N08652W 2044N08704W 2050N08718W 2047N08734W 2020N09002W 2020N09005W 2018N09012W 2016N09026W 2013N09105W 2008N09214W VER UT178 REXES DCT VITOS VITOS2A</t>
  </si>
  <si>
    <t>1927N09500W</t>
  </si>
  <si>
    <t>S12R 2101N08647W 2102N08646W CN08 ROTGI UM219 MYDIA M219 NAVVL/N0455F370 M219 KNOST DCT CAMJO Q99 BLAAN Q69 RICCS DCT PSB DCT SYR DCT ART IMPAC4</t>
  </si>
  <si>
    <t>XHOL</t>
  </si>
  <si>
    <t>XASRB</t>
  </si>
  <si>
    <t>S12R T12R6 2057N08653W 2047N08659W 2044N08731W 2043N08735W 1952N09048W 1950N09054W 1913N09133W 1855N09150W 1841N09205W 1839N09208W 1820N09227W 1816N09237W 1815N09245W DUPLO UA552 VER UT61 VOKIR UT101 ENAGA ENAGA3A</t>
  </si>
  <si>
    <t>S12R T12R6 2100N08650W 2053N08718W PQE V51 SAXAV V51 TGZ DCT</t>
  </si>
  <si>
    <t>S12R SR00 SR01 SR02 SR03 NOSUG 2225N08659W 2232N08659W 2321N08730W 2339N08747W 2357N08809W 2404N08818W 2415N08830W 2433N08855W 2526N08901W DAGGR L214 LEV DCT AEX DCT PNUTS WHINY4</t>
  </si>
  <si>
    <t>2429N08849W</t>
  </si>
  <si>
    <t>S12R T12R6 UN418 UN409 2052N08720W 2053N08734W LIDAM UT23 TAM UJ14 TMN DCT MORAS UJ17 QET</t>
  </si>
  <si>
    <t>N63899</t>
  </si>
  <si>
    <t>S12R SR00 SR01 SR02 SR03 OMSUK UM219 MYDIA/N0469F350 M219 CIGAR M215 KNOST Q109 BRUTS/N0466F360 Q118 JAMIZ/N0473F340 Q118 JOHNN/N0463F360 Q118 KAILL/N0459F380 Q118 HEVAN/N0471F280 Q118 BONNT/N0478F240 VEECK5</t>
  </si>
  <si>
    <t>N587UW</t>
  </si>
  <si>
    <t>S12R SR00 SR01 SR02 SR03 OMSUK UM219 MYDIA M219 KNOST/N0450F290 DCT DEANR DCT BRUTS Q109 CAMJO DCT TWINS DCT PONZE BANKR8</t>
  </si>
  <si>
    <t>S12R T12R6 UN418 UN409 UN419 2051N08728W 2022N09039W 2022N09043W 2022N09044W 2019N09109W 2015N09204W 2010N09242W 2003N09327W 2008N09432W 2012N09436W 2016N09440W AVUMO UJ53 LIBOX DCT MOV UT3 URKOM UJ54 CJS DCT</t>
  </si>
  <si>
    <t>N978UY</t>
  </si>
  <si>
    <t>S12R SR00 SR01 SR02 SR03 SR04 2108N08646W ROTGI UM219 MYDIA M219 KNOST/N0456F290 Q109 CAMJO Q99 PEETT DCT BBDOL PAATS4</t>
  </si>
  <si>
    <t>N321DH</t>
  </si>
  <si>
    <t>S12R SR00 SR01 SR02 SR03 SR04 NOSUG UT27 PISAD L333 HOOCK DCT DELTE/N0446F270 DCT UCODI DCT LIZGL DCT DIERK DCT PXV/N0445F350 DCT WWODD HANBL3</t>
  </si>
  <si>
    <t>S12R SR00 SR01 SR02 SR03 SR04 SR05 SR06 SR07 ENEBA UT27 OMVIP UT45 IRDOV L214 PLNDR DCT DELTE/N0431F270 DCT PAYTN DCT SHYRE GNDLF3</t>
  </si>
  <si>
    <t>N301FJ</t>
  </si>
  <si>
    <t>TBM8</t>
  </si>
  <si>
    <t>S12R T12R6 UN418 UN409 UN419 2051N08725W 2052N08751W 2124N09231W 2125N09302W 2133N09309W LIDAM TAM UJ15 CVM UJ15E RETOS</t>
  </si>
  <si>
    <t>S12R T12R6 UN418 2056N08654W 2045N08708W 2042N08713W 2039N08723W 2038N08726W 2038N08727W 2036N08734W 2031N08822W 2032N08917W 2026N09007W 2022N09043W 2019N09112W 2016N09150W 2008N09243W 1959N09322W 1955N09406W 1954N09413W 1956N09425W 1956N09429W OTOBA UJ15 CVM J21 SESNO UJ15E RETOS RETOS1A</t>
  </si>
  <si>
    <t>S12R SR00 SR01 SR02 NOSUG UT27 OMVIP UT45 ALKIM 2405N08800W SSORD DAGGR L214 PLNDR DCT HRV DCT MHZ/N0450F350 DCT MEM/N0449F360 DCT FTZ TRTLL6</t>
  </si>
  <si>
    <t>2429N08835W</t>
  </si>
  <si>
    <t>N8730Q</t>
  </si>
  <si>
    <t>S12R SR00 SR01 SR02 2105N08646W NOSUG UT27 OMVIP UT45 ALKIM 2344N08735W 2357N08752W 2419N08823W 2421N08825W 2434N08842W DAGGR L214 LEV J35 MCB DCT LIT DCT KRTNY MHOMS3</t>
  </si>
  <si>
    <t>2429N08836W</t>
  </si>
  <si>
    <t>S12R T12R6 UN418 UN409 UN419 UN432 2048N08746W 2048N08749W 2055N08819W 2049N09015W 2049N09020W 2030N09115W 2011N09241W 2004N09319W 2003N09342W 2003N09345W 2004N09352W NUBIT UT46 TAM UJ15 CVM UJ15E RETOS RETOS1A</t>
  </si>
  <si>
    <t>N77559</t>
  </si>
  <si>
    <t>S12R SR00 SR01 SR02 SR03 NOSUG 2241N08700W 2248N08703W 2410N08758W 2449N08806W DAGGR L214 PLNDR DCT KH03I DCT COVEX DCT KF21E/N0463F340 DCT BFV DCT KA39Y DCT ALS DCT DVC DCT KITTN Q164 KATTS Q136 RUMPS DCT OAL DCT INYOE DYAMD5</t>
  </si>
  <si>
    <t>2429N08802W</t>
  </si>
  <si>
    <t>N573DT</t>
  </si>
  <si>
    <t>S12R SR00 SR01 SR02 ROTGI UM219 MYDIA M219 KNOST Q109 RIELE/N0454F350 Q109 YURCK Q97 SAWED Q108 SIE CAMRN5</t>
  </si>
  <si>
    <t>S12R SR00 SR01 SR02 NOSUG UT27 OMVIP/N0467F360 UT27 PISAD/N0463F380 L333 HOOCK DCT LEV NNCEE2</t>
  </si>
  <si>
    <t>CGZQR</t>
  </si>
  <si>
    <t>S12R 2059N08648W OMSUK UM219 MYDIA M219 NAVVL/N0448F390 M219 KNOST Q109 CAMJO Q99 BLAAN Q69 RICCS DCT OXMAN LINNG3</t>
  </si>
  <si>
    <t>ANX2205</t>
  </si>
  <si>
    <t>ZZZZ</t>
  </si>
  <si>
    <t>MI8</t>
  </si>
  <si>
    <t>2109N08644W 2112N08641W 2127N08640W 2142N08640W 2151N08641W 2153N08650W 2108N08649W</t>
  </si>
  <si>
    <t>S12R SR00 SR01 SR02 SR03 SR04 SR05 SR06 SR07 ENEBA OMVIP UT27 PISAD L333 HOOCK DCT LEV DCT HOU</t>
  </si>
  <si>
    <t>S12R T12R6 UN418 UN409 2054N08712W 2047N08730W CME 1837N09201W 1836N09208W MTT UT112 LARLO LARLO4A</t>
  </si>
  <si>
    <t>TAKUX2A TAKUX UM782 OMIRO UN420 SPP UP530 KAKOL/N0447F390 DCT RNG UQ121 ISVAT ISVA5E</t>
  </si>
  <si>
    <t>S12R T12R6 UN418 UN409 UN419 UN432 2051N08737W 2056N08752W 2102N08808W 2052N08845W 2048N08905W 2047N08939W 2045N09137W 2052N09153W 2109N09220W 2113N09226W 2121N09236W DUSAT NABDA SESNO UJ15E RETOS RETOS1A</t>
  </si>
  <si>
    <t>HK5409</t>
  </si>
  <si>
    <t>S12R T12R6 UN415 2046N08626W DELVI UM782 MEVUB UP406 AKPEK AKPE4C</t>
  </si>
  <si>
    <t>2006N08544W</t>
  </si>
  <si>
    <t>S12R T12R6 UN418 UN409 2054N08707W 2050N08730W 2048N08734W 2043N08751W 2041N08757W 2042N08827W 2043N08844W 2044N08901W 2038N08909W 2004N09041W 2005N09145W 1936N09239W 1922N09300W 1845N09418W 1842N09424W TLC UJ12 OVALI</t>
  </si>
  <si>
    <t>1849N09511W</t>
  </si>
  <si>
    <t>CFHCM</t>
  </si>
  <si>
    <t>S12R 2100N08650W NC29 2128N08647W 2143N08647W NOSUG 2217N08658W 2224N08659W 2427N08758W IRDOV/M078F380 L214 PLNDR/N0455F380 L214 LEV/N0453F370 DCT KM21M DCT EWO DCT QWERI NUBER6</t>
  </si>
  <si>
    <t>S12R T12R6 UN418 UN409 2053N08714W 2054N08717W 2100N08742W 2102N08802W 2101N08811W 2051N08929W 2015N09201W 2004N09217W 1942N09251W 1934N09303W 1926N09317W 1925N09318W OMPAN UT94 VER UT111 LARLO LARLO1D</t>
  </si>
  <si>
    <t>S12R T12R6 UN418 UN409 UN419 UN432 2048N08743W 2045N08807W 2046N09029W 2031N09125W 2020N09203W 2019N09207W 2013N09229W 2011N09229W 1955N09259W 1934N09321W AVALI UT149 AVSUB UJ14 UDMAN DCT OTAKA DCT</t>
  </si>
  <si>
    <t>1953N09459W</t>
  </si>
  <si>
    <t>S12R 2101N08651W NC29 NOSUG UT27 PISAD L333 HOOCK DCT LEV DCT IAH</t>
  </si>
  <si>
    <t>N153AN</t>
  </si>
  <si>
    <t>ENEBA2A ENEBA 2135N08658W 2142N08658W 2253N08720W 2305N08725W 2336N08751W 2401N08807W IRDOV L214 DAGGR/N0460F360 L214 LEV DCT AEX DCT PNUTS WHINY4</t>
  </si>
  <si>
    <t>CGEKZ</t>
  </si>
  <si>
    <t>S12R SR00 SR01 SR02 SR03 SR04 SR05 SR06 SR07 SR08 SR09 SR10 SR11 SR12 2108N08650W 2113N08653W OMVIP UT45 ALKIM/N0469F360 UT45 IRDOV/M080F360 L214 PLNDR/N0465F370 DCT MEI DCT VLKNN/N0455F390 DCT HVQ DCT SLT DCT ART IMPAC4</t>
  </si>
  <si>
    <t>S12R 2101N08651W 2059N08651W LIDEK B881 CZM B764 BUKKY BUKKY1A</t>
  </si>
  <si>
    <t>N903AV</t>
  </si>
  <si>
    <t>S12R T12R6 UN402 UN408 CZM 2021N08655W 1939N08727W 1916N08748W TIKIS UG765 AUR DCT</t>
  </si>
  <si>
    <t>1829N08817W</t>
  </si>
  <si>
    <t>JRE272</t>
  </si>
  <si>
    <t>CL35</t>
  </si>
  <si>
    <t>N272BQ</t>
  </si>
  <si>
    <t>S12R SR00 SR01 SR02 2124N08650W 2136N08651W 2145N08653W ALKIM UT45 IRDOV L214 LEV J86 PEKON DCT</t>
  </si>
  <si>
    <t>2101N08653W 2100N08654W 2052N08657W 2044N08710W 2037N08710W 2045N08701W 2056N08702W SR39 CUN</t>
  </si>
  <si>
    <t>N74532</t>
  </si>
  <si>
    <t>S12R 2059N08648W 2059N08647W SL04 2103N08644W SR07 2136N08651W 2144N08652W 2341N08730W 2415N08745W IRDOV L214 PLNDR DCT KH84K DCT FISTY DCT KF21G DCT MAMEE DCT KF30E DCT PEGOE DCT KK45A DCT GCK DCT KIISS CLASH5</t>
  </si>
  <si>
    <t>HP1831</t>
  </si>
  <si>
    <t>N905AN</t>
  </si>
  <si>
    <t>N75436</t>
  </si>
  <si>
    <t>S12R 2059N08648W 2105N08644W 2108N08643W NOSUG UT27 OMVIP UT45 ALKIM 2342N08748W 2349N08757W DAGGR/N0482F300 L214 PLNDR/N0477F320 DCT BOWFN DCT KH03G/N0472F340 DCT MAJKK DCT KF15C DCT RALLS DCT KA27W DCT SHWNA DCT KA30Q/N0478F320 DCT HIPPI DCT GABBL HLYWD1</t>
  </si>
  <si>
    <t>2429N08812W</t>
  </si>
  <si>
    <t>N391DN</t>
  </si>
  <si>
    <t>S12R SR00 SR01 SR02 SR03 SR04 SR05 SR06 SR07 SR08 L37 NOSUG 2301N08701W 2321N08651W 2346N08640W 2407N08629W CCUDA L333 HRV DCT MCB/N0457F360 DCT MHZ/N0454F370 DCT IZAAC/N0453F360 DCT MEMFS/N0448F370 DCT STL/N0446F360 DCT IOW DCT MNOSO BLUEM5</t>
  </si>
  <si>
    <t>2407N08629W</t>
  </si>
  <si>
    <t>S12R 2100N08649W 2101N08646W B30L6 OMSUK ROTGI UM219 MYDIA M219 KNOST Q109 CAMJO Q99 TEEEM/N0461F370 Q99 OGRAE DCT GOOOB DCT THHMP RAVNN9</t>
  </si>
  <si>
    <t>VIV002</t>
  </si>
  <si>
    <t>S12R T12R6 UN415 NUDAL UR506 NUDUG UL212 UCL DCT HUZAR TAGON5A</t>
  </si>
  <si>
    <t>S12R 2059N08648W 2105N08642W 2108N08641W ROTGI UM219 MYDIA M219 KNOST DCT PLYER DCT WYATT/N0456F360 DCT GOONS DCT STRDR GNDLF3</t>
  </si>
  <si>
    <t>N550VL</t>
  </si>
  <si>
    <t>S12R T12R6 2058N08653W 2055N08721W 2055N08723W 2055N08753W 2055N08755W 2235N09232W 2236N09236W 2235N09241W 2231N09255W 2230N09307W SESNO/N0458F220 UJ15E RETOS RETOS1A</t>
  </si>
  <si>
    <t>S12R T12R6 UN418 UN409 UN419 2052N08724W 2052N08726W 2052N08728W 2054N08743W 2059N08808W 2007N09015W 2002N09030W 2000N09053W 1958N09117W 1945N09203W 1942N09207W 1941N09211W 1935N09224W 1907N09507W MEBAS UT112 LARLO LARLO4A</t>
  </si>
  <si>
    <t>1907N09506W</t>
  </si>
  <si>
    <t>S12R T12R6 2059N08651W 2052N08657W 2054N08706W 2043N08736W 1836N09143W 1832N09150W 1829N09156W 1825N09204W VER DCT DURIB UT61 AVALI UL655 PPE UJ3 TANRI TANRI1B</t>
  </si>
  <si>
    <t>1858N09508W</t>
  </si>
  <si>
    <t>S12R SR00 SR01 SR02 SR03 ROTGI UM219 MYDIA/M084F370 Y240 SNAKR M219 KNOST/N0487F370 Q109 DEANR DCT CAMJO DCT TEEEM Q109 RIELE/N0482F390 Q109 PANDY DCT FLO DCT ORF DCT SIE DCT EBONY DCT NEEKO DCT 5430N05000W/M084F390 DCT 56N040W DCT 59N030W DCT 61N020W/M083F390 DCT 62N010W DCT NALAN/N0479F390 DCT LAMRO/N0488F410 DCT ARTEX DCT VAXIT DCT NEDIK DCT BINKA DCT ADVAB DCT KELEL DCT ETNIK DCT BADOR DCT RONBU DCT BUVAK DCT XILTI DCT RIXEN</t>
  </si>
  <si>
    <t>N665JB</t>
  </si>
  <si>
    <t>S12R T12R6 2059N08647W SR01 NUDAL UV106 PODON UG765 MAXIM Y262 ZFP Y319 JAZZI DCT SAGGY DCT CHIEZ Q161 KALDA Q108 SIE CAMRN5</t>
  </si>
  <si>
    <t>XAVDT</t>
  </si>
  <si>
    <t>S12R T12R6 UN418 UN409 2057N08701W 2058N08704W CZA UJ84 SMID 1956N09014W 1930N09107W 1928N09109W 1907N09146W UGATA UT152 AVALI UT149 AVSUB DCT LIBOL LIBOL1B</t>
  </si>
  <si>
    <t>UGATA</t>
  </si>
  <si>
    <t>S12R 2100N08647W CN04 NOSUG UT27 OMVIP UT45 IRDOV/N0456F400 L214 LEV J35 MCB/N0454F410 J35 MEM BOOSH3</t>
  </si>
  <si>
    <t>S12R T12R6 UN418 UN409 UN419 2050N08732W 2037N08819W CT510 CPE UJ9 CONTO 1856N09208W 1856N09220W AVALI UT152 CDR UJ46 TRC J13 LENEM LENEM1A</t>
  </si>
  <si>
    <t>1942N09459W</t>
  </si>
  <si>
    <t>S12R SR00 SR01 NOSUG UT27 OMVIP 2314N08711W 2345N08742W IRDOV L214 LEV NNCEE2</t>
  </si>
  <si>
    <t>N8319F</t>
  </si>
  <si>
    <t>S12R 2101N08650W CN02 NUDAL UV106 PODON UG765 MAXIM Y262 LINEY DCT KUTNE MUNGI1</t>
  </si>
  <si>
    <t>S12R SR00 SR01 ROTGI UM219 MYDIA M219 KNOST/N0453F290 DCT DEANR DCT BRUTS Q109 CAMJO DCT TWINS DCT PONZE BANKR8</t>
  </si>
  <si>
    <t>S12R T12R6 UN418 UN409 2055N08702W 2044N08732W 2039N08757W DURPI DCT 2054N08924W 2045N09016W 2039N09053W 2101N09141W 2114N09159W 2119N09218W 2120N09222W 2125N09242W TADUL 2127N09250W 2129N09255W 2142N09349W 2138N09434W 2137N09439W 2130N09527W TMN UT147 SLP UJ40 LIBOL LIBOL1B</t>
  </si>
  <si>
    <t>S12R T12R6 UN418 UN409 2055N08702W 2044N08724W 2042N08839W 2042N08850W 2044N09026W 2045N09051W 2017N09140W 2006N09201W 1951N09228W 1950N09247W UMAVO UT101 ENAGA ENAGA3A</t>
  </si>
  <si>
    <t>1959N09459W</t>
  </si>
  <si>
    <t>ALSUP1C ALSUP 1922N08715W 1858N08724W 1853N08728W 1833N08753W 1826N08803W 1820N08809W 1814N08816W 1811N08826W 1753N08921W 1730N09027W 1730N09028W 1727N09038W 1746N09147W 1756N09206W 1756N09208W 1816N09250W 1818N09457W 1824N09523W SABOL DCT OTIGA OTIGA1R</t>
  </si>
  <si>
    <t>1823N09519W</t>
  </si>
  <si>
    <t>N314RH</t>
  </si>
  <si>
    <t>S12R SR00 2106N08647W 2118N08647W 2130N08650W 2203N08654W OMVIP UT45 IRDOV/N0459F380 L214 PLNDR DCT HRV DCT MHZ/N0458F370 DCT MEM/N0456F380 DCT FTZ TRTLL6</t>
  </si>
  <si>
    <t>N932AN</t>
  </si>
  <si>
    <t>S12R SR00 SR01 SR02 SR03 SR04 2108N08646W 2137N08646W 2252N08700W 2256N08701W IRDOV L214 LEV DCT AEX DCT PNUTS WHINY4</t>
  </si>
  <si>
    <t>N2787</t>
  </si>
  <si>
    <t>S12R T12R6 UN418 UN409 UN419 UN432 2049N08742W 2031N08812W 2034N08828W 2034N08835W 2044N09417W PAZ UT104 LENUL DCT</t>
  </si>
  <si>
    <t>S12R SR00 SR01 SR02 SR03 SR04 2104N08645W 2123N08645W 2123N08648W 2129N08648W OMVIP UT45 IRDOV/N0459F380 L214 LEV J35 MCB/N0458F390 J35 MEM/N0455F400 J35 FAM/N0450F410 DCT SPI DCT PHEEB ENDEE8</t>
  </si>
  <si>
    <t>S12R T12R6 UN418 UN409 UN419 UN432 2049N08738W 2045N08823W 2050N08910W 2049N09146W 2050N09151W 2110N09216W 2116N09243W 2118N09254W 2120N09331W 2109N09411W 2107N09426W UMAVO UT104 ELVED/N0418F300 UT104 LENUL LENUL2B</t>
  </si>
  <si>
    <t>2058N09459W</t>
  </si>
  <si>
    <t>N3138J</t>
  </si>
  <si>
    <t>XAVCG</t>
  </si>
  <si>
    <t>UDGUV2A UDGUV DCT 2049N08818W 2044N08849W 2053N08902W 2053N08903W 2124N09014W 2125N09043W 2126N09109W 2130N09115W NOTEN UT37 SESNO UJ15E RETOS RETOS1A</t>
  </si>
  <si>
    <t>S12R SR00 SR01 SR02 SR03 SR04 2135N08652W 2223N08651W OMVIP UT45 IRDOV L214 LEV DCT AEX DCT EIC DCT MLC/N0457F360 DCT GCK DCT KIISS CLASH5</t>
  </si>
  <si>
    <t>UDGUV2A UDGUV 2044N08812W 2049N08900W 2011N09030W 2008N09038W 1958N09129W 1955N09149W 1942N09154W 1935N09213W MEBAS UT112 ERDEL/N0464F260 UT112 LARLO LARLO4A</t>
  </si>
  <si>
    <t>1905N09506W</t>
  </si>
  <si>
    <t>N635JB</t>
  </si>
  <si>
    <t>S12R T12R6 UN415 UN413 2105N08620W NUDAL UV106 PODON UG765 MAXIM Y262 TUNSL DCT KUTNE MUNGI1</t>
  </si>
  <si>
    <t>N890DN</t>
  </si>
  <si>
    <t>S12R SR00 SR01 SR02 SR03 SR04 SR05 SR06 SR07 ROTGI UM219 MYDIA M219 KNOST DCT PLYER/N0459F350 DCT WYATT/N0456F360 DCT GOONS DCT STRDR GNDLF3</t>
  </si>
  <si>
    <t>XBFYT</t>
  </si>
  <si>
    <t>S12R T12R6 UN418 UN409 UN419 UN432 OMPAN DCT</t>
  </si>
  <si>
    <t>S12R SR00 SR01 SR02 SR03 SR04 SR05 2115N08648W 2132N08649W 2133N08650W 2146N08651W 2239N08657W 2330N08710W 2330N08711W 2411N08711W 2448N08714W TRESR L333 HOOCK DCT MEMFS/N0455F380 DCT FTZ TRTLL6</t>
  </si>
  <si>
    <t>2417N08712W</t>
  </si>
  <si>
    <t>S12R SR00 SR01 SR02 SR03 SR04 2103N08644W 2108N08644W 2129N08644W 2130N08644W 2136N08645W 2221N08651W 2312N08705W 2313N08705W 2318N08708W 2349N08729W 2353N08733W 2405N08743W TRESR L333 HRV DCT KH09I DCT SLOTH DCT KF30E DCT MOOON DCT KK45A DCT GCK DCT KIISS CLASH5</t>
  </si>
  <si>
    <t>2426N08747W</t>
  </si>
  <si>
    <t>S12R SR00 SR01 SR02 SR03 SR04 ROTGI UM219 MYDIA M219 CIGAR DCT DEANR Q109 CAMJO Q99 TEEEM/N0460F350 Q99 QUART PHLBO4</t>
  </si>
  <si>
    <t>N125AA</t>
  </si>
  <si>
    <t>OMSUK2A OMSUK 2133N08644W 2143N08647W 2217N08635W 2239N08640W 2250N08644W 2300N08648W 2305N08649W 2316N08647W MYDIA M219 KNOST DCT DEANR DCT BRUTS Q109 CAMJO DCT TWINS DCT PONZE BANKR8</t>
  </si>
  <si>
    <t>S12R T12R6 UN402 UN408 LIB/N0459F350 UZ512 LIXAS UL203 ARNEL UM542 TAL UV1 ATATU ATATU4</t>
  </si>
  <si>
    <t>S12R T12R6 2059N08651W 2058N08653W 2051N08716W 2052N08717W 2047N08859W 2025N08932W 2022N08940W 2014N08958W 2009N09008W 1947N09228W 1931N09254W 1937N09307W 1937N09308W 1937N09314W 1935N09345W 1934N09348W QET UT150 BJX BJX1C</t>
  </si>
  <si>
    <t>S12R SR00 SR01 SR02 SR03 SR04 2114N08649W 2155N08651W 2156N08651W 2222N08656W OMVIP 2313N08710W 2329N08719W 2343N08728W 2407N08748W 2419N08800W IRDOV PLNDR L214 LEV/N0458F400 DCT SBI DCT LUKKN WLEEE7</t>
  </si>
  <si>
    <t>UDGUV2A UDGUV UJ84 IKLEK 2056N08909W 2056N08918W 2033N09309W 2017N09347W 2011N09403W UMAVO UT104 LENUL DCT</t>
  </si>
  <si>
    <t>CGRWS</t>
  </si>
  <si>
    <t>S12R SR00 SR01 SR02 SR03 2113N08647W 2137N08646W 2149N08646W 2313N08729W 2332N08747W 2353N08812W 2404N08811W DAGGR L214 LEV J31 HRV/N0459F360 DCT LOOSE DCT CUGGA DCT CZI DCT COUTS DCT EBGAL EBGAL7</t>
  </si>
  <si>
    <t>N880NN</t>
  </si>
  <si>
    <t>S12R SR00 SR01 SR02 SR03 SR04 SR05 SR06 SR07 SR08 2136N08651W 2139N08651W 2152N08653W 2250N08719W 2323N08800W 2333N08814W 2338N08819W 2342N08823W 2347N08824W 2357N08826W 2405N08828W 2404N08832W 2410N08843W 2412N08847W 2434N08928W DAGGR L214 LEV DCT AEX DCT PNUTS WHINY4</t>
  </si>
  <si>
    <t>2429N08919W</t>
  </si>
  <si>
    <t>UDGUV2A UDGUV UJ84 IKLEK 2016N08836W 2010N08845W 1816N09109W SAXAV V51 TGZ</t>
  </si>
  <si>
    <t>UDGUV2A UDGUV 2055N08820W 2056N08833W 2043N08938W 2039N08947W 2025N09014W 2025N09015W 2022N09019W 2016N09032W 2001N09101W 1942N09227W 1933N09305W 1932N09314W 1936N09331W 1948N09421W 2004N09431W CVM UJ15E RETOS RETOS1A</t>
  </si>
  <si>
    <t>2028N09459W</t>
  </si>
  <si>
    <t>N424AN</t>
  </si>
  <si>
    <t>S12R SR00 SR01 SR02 SR03 2152N08650W 2222N08703W 2310N08800W 2315N08807W 2321N08814W 2332N08828W 2346N08848W KEHLI 2634N09040W LEV DCT IAH DCT CRGER DCT EWM DCT DRRVR PINNG1</t>
  </si>
  <si>
    <t>N866DN</t>
  </si>
  <si>
    <t>S12R SR00 OMVIP 2331N08724W 2342N08735W 2348N08743W 2421N08820W 2431N08846W DAGGR L214 LEV J31 HRV J58 PEBBY/N0456F360 J58 FUZ/N0441F300 J58 SPS DCT PNH/N0446F340 DCT TBE DCT HBU DCT JNC J12 HELPR JAZZZ1</t>
  </si>
  <si>
    <t>2429N08841W</t>
  </si>
  <si>
    <t>TOM685</t>
  </si>
  <si>
    <t>S12R SR00 SR01 SR02 SR03 ROTGI UM219 ALPUK 2327N08618W 2329N08617W 2356N08604W 2401N08603W SNAKR M219 CIGAR DCT LEGGT DCT TAY DCT TYI DCT KALDA DCT ZJAAY Q167 YAZUU DCT HTO DCT CELTK DCT ALLEX N503B ALLRY/M084F400 NATX NETKI/M084F410 DCT REVNU/N0470F410 DCT MOLAK DCT MAC N562 TRN DCT LANAK</t>
  </si>
  <si>
    <t>S12R T12R6 UN415 2057N08642W 2053N08635W 2047N08633W 2044N08630W TAKUX DCT MAMBI UL577 ITMAD/N0456F410 UL577 CDO UT15 NADAX NADAX1W</t>
  </si>
  <si>
    <t>S12R 2101N08651W 2059N08650W 2046N08756W 2052N08822W 2051N08848W 2033N09023W 2032N09029W 2017N09127W 2015N09132W VER UJ24 OTIGA OTIGA1R</t>
  </si>
  <si>
    <t>1926N09500W</t>
  </si>
  <si>
    <t>S12R T12R6 2058N08652W 2052N08722W 2052N08724W AVATA 1959N09007W 1954N09016W MEBAS UJ64 CUA DCT TLC UJ12 OVALI</t>
  </si>
  <si>
    <t>HP1717</t>
  </si>
  <si>
    <t>S12R 2101N08651W CN17 TAKUX UM782 OMIRO/N0442F370 UN420 PELRA DCT SPP DCT SEKMA OSUPA2</t>
  </si>
  <si>
    <t>TOM205</t>
  </si>
  <si>
    <t>S12R 2100N08648W 2102N08647W 2104N08645W L38 ROTGI UM219 ALPUK 2346N08613W 2351N08611W SNAKR M219 CIGAR DCT LEGGT DCT TAY DCT TYI DCT KALDA DCT ZJAAY Q167 YAZUU DCT MANTA DCT GEDIC DCT ACK DCT BRADD/N0484F410 N349B JOOPY/M072F270 DCT 49N050W DCT 51N040W DCT 53N030W DCT 54N020W DCT DOGAL/N0425F330 DCT BEXET/N0477F410 DCT RINUS DCT DAP DCT DEXEN UY124 DOLOP DOLOP1B</t>
  </si>
  <si>
    <t>2401N08606W</t>
  </si>
  <si>
    <t>S12R T12R6 2100N08650W 2058N08650W 2054N08709W 2054N08710W 2026N08946W 2022N08958W 2019N09001W 1918N09249W 1916N09255W 1912N09417W 1903N09513W SABOL UJ24 OTIGA OTIGA1R</t>
  </si>
  <si>
    <t>LET3270</t>
  </si>
  <si>
    <t>UDGUV2A UDGUV 2100N08816W AVATA 1959N09013W 1954N09023W 1902N09233W 1900N09237W 1901N09338W 1902N09345W 1918N09427W 1921N09433W 1958N09516W LIDAR LENUL TLC</t>
  </si>
  <si>
    <t>1943N09459W</t>
  </si>
  <si>
    <t>S12R 2059N08648W 2100N08643W 2118N08648W NNE20 2137N08648W 2150N08647W 2207N08653W 2312N08729W 2407N08818W IRDOV L214 LEV DCT</t>
  </si>
  <si>
    <t>HK5335</t>
  </si>
  <si>
    <t>S12R T12R6 2059N08647W UN415 TAKUX UM782 OMIRO/N0449F370 UN420 SPP UP530 KAKOL DCT RNG UQ121 ISVAT ISVA5E</t>
  </si>
  <si>
    <t>S12R 2100N08647W CN04 2104N08646W NC06 2116N08644W VIS2 2151N08639W 2225N08652W 2231N08653W 2240N08700W 2323N08753W 2337N08754W 2402N08818W 2434N08848W DAGGR L214 LEV PUCKS4</t>
  </si>
  <si>
    <t>2429N08843W</t>
  </si>
  <si>
    <t>S12R SR00 SR01 2138N08649W 2201N08648W 2213N08649W IRDOV/N0465F380 L214 LEV NNCEE2</t>
  </si>
  <si>
    <t>S12R T12R6 UN418 UN409 2054N08710W 2054N08712W 2058N08723W 2102N08735W 2109N08818W 2108N08824W 2049N08856W 2048N08856W M211N 1958N08959W EMOBI VOKIR ENAGA</t>
  </si>
  <si>
    <t>1954N09459W</t>
  </si>
  <si>
    <t>S12R T12R6 UN418 UN409 2055N08700W 2055N08702W 2055N08704W 2054N08708W 2041N08732W 2021N08822W 2004N08847W 1948N08900W 1939N08910W 1939N08912W 1833N09334W 1831N09341W 1834N09353W 1836N09400W PAZ</t>
  </si>
  <si>
    <t>N539VL</t>
  </si>
  <si>
    <t>S12R T12R6 UN418 2055N08656W 2054N08701W 2041N08722W 2022N08809W 2019N08816W 2003N08932W MTT UT112 LARLO LARLO1C</t>
  </si>
  <si>
    <t>S12R T12R6 2059N08648W 2059N08647W 2057N08645W 2056N08643W TAKUX UM782 OMIRO UN420 MORLI/N0473F380 DCT TINPA/N0476F370 DCT VAMOS/N0476F360 DCT GYV/N0476F350 UL780 TRU/N0470F390 UL780 ISREN UM542 ILMAR/M081F390 UL302 IREMI/M081F390 UL302 ASEPU/M081F410 UL302 ELASA/N0468F410 UL650 GEKAL UT691 LAR UW16 CBA UW24 SNT SNT7U</t>
  </si>
  <si>
    <t>DANRC</t>
  </si>
  <si>
    <t>S12R 2101N08651W NUDAL UR506 UHA UR628 UVA/N0483F360 UR628 TANIA/N0480F370 R628 ZOLLA DCT PERMT AR16 SEELO DCT GARIC DCT ILM DCT ORF/M082F390 DCT LINND/N0470F390 DCT KANNI N343B JOOPY/M082F390 NATZ 53N030W/M082F400 NATZ MALOT/N0463F400 NATZ GISTI/N0461F410 DCT KURUM DCT EVRIN DCT JETZI DCT AMFUL DCT CAWZE DCT SIRIC P2 DVR UL9 KONAN DCT KOK DCT SPI T180 NIVNU/N0403F310 T847 TUTOV TUTOV1A</t>
  </si>
  <si>
    <t>S12R T12R6 UN418 2055N08659W 2038N08733W 2042N08736W TL648 2040N08752W 2040N08755W 2042N08801W 1949N09317W 1947N09323W 1947N09327W 1948N09332W 1950N09340W MORAS UJ17 QET</t>
  </si>
  <si>
    <t>N381DN</t>
  </si>
  <si>
    <t>S12R SR00 SR01 SR02 SR03 SR04 SR05 SR06 SR07 SR08 SR09 SR10 SR11 2110N08648W 2124N08647W OMSUK 2131N08653W 2133N08656W 2137N08702W 2139N08704W 2147N08716W 2152N08723W 2216N08745W 2248N08742W 2255N08745W 2257N08746W 2307N08750W 2322N08759W 2405N08828W 2409N08831W 2439N08853W DAGGR L214 LEV VUH DCT ELA DCT STV DCT JCT DCT PEQ DCT EWM Q180 SATRN/N0466F380 Q180 BXK J4 WLVRN DCT ESTWD HLYWD1</t>
  </si>
  <si>
    <t>S12R T12R6 UN418 UN409 UN419 2045N08726W 2034N08754W 2035N08758W 2014N08918W 1954N09039W 1933N09318W 1932N09327W 2018N09448W 2040N09555W IREKO UL655 PPE UJ3 TANRI TANRI1B</t>
  </si>
  <si>
    <t>N401AV</t>
  </si>
  <si>
    <t>S12R T12R6 UN415 TAKUX UM782 OMIRO/N0450F370 UN420 SPP UP530 KAKOL/N0452F370 DCT RNG UQ121 ISVAT ISVA5E</t>
  </si>
  <si>
    <t>N852NN</t>
  </si>
  <si>
    <t>S12R 2101N08651W SL0 2114N08620W 2135N08601W PODON UG765 MAXIM SNDBR3</t>
  </si>
  <si>
    <t>2141N08551W</t>
  </si>
  <si>
    <t>UDGUV2A UDGUV 2043N08756W 2031N08823W 1950N09013W 1947N09021W AVALI ENAGA</t>
  </si>
  <si>
    <t>2006N09459W</t>
  </si>
  <si>
    <t>ALSUP1C UB881 ALSUP LIB UZ512 LIXAS UL203 ARNEL UM542 TAL UV1 ATATU ATATU4</t>
  </si>
  <si>
    <t>1909N08651W</t>
  </si>
  <si>
    <t>S12R T12R6 UN418 UN409 UN419 UN432 2050N08733W 2021N08841W 2001N08923W 1954N08935W 1949N08949W MEBAS UT112 LARLO DCT OVAGO UT123 IGSON IGSON1B</t>
  </si>
  <si>
    <t>1902N09507W</t>
  </si>
  <si>
    <t>S12R T12R6 UN418 UN409 UN419 2052N08724W 2008N09126W 2008N09128W 2005N09143W 2008N09231W 2008N09232W 2009N09240W 2052N09420W 2053N09421W 2054N09423W 2104N09438W 2135N09519W OTOBA UJ15 CVM UJ15E RETOS RETOS1A</t>
  </si>
  <si>
    <t>2120N09459W</t>
  </si>
  <si>
    <t>S12R T12R6 UN418 UN409 UN419 UN432 2049N08740W 2032N08831W 2015N09004W 2005N09045W 2005N09046W 2004N09054W VER VOKIR ENAGA</t>
  </si>
  <si>
    <t>1922N09501W</t>
  </si>
  <si>
    <t>S12R T12R6 UN418 UN409 UN419 2052N08724W 2039N08802W 2037N08811W 2014N09020W 2005N09041W 1956N09058W 1952N09149W 1923N09451W VER VOKIR ENAGA</t>
  </si>
  <si>
    <t>GYMMB</t>
  </si>
  <si>
    <t>NUDAL1A NUDAL UV106 PODON UG765 MAXIM DCT VKZ DCT NUCAR A699 LOUIZ/M082F370 A699 SUMRS M204 FLUPS/M082F390 DCT NOSID DCT SOORY DCT 4330N05000W 4730N04000W 5030N03000W/M083F410 52N020W DCT LIMRI DCT XETBO/N0466F410 DCT NORLA DCT FONZU/N0420F270 DCT ELRIP DCT OTMET OTMET1G</t>
  </si>
  <si>
    <t>S12R T12R6 UN418 UN409 2053N08712W 2053N08807W 2140N09253W 2143N09303W TMN DCT MORAS UJ17 QET</t>
  </si>
  <si>
    <t>2151N09459W</t>
  </si>
  <si>
    <t>S12R SR00 SR01 SR02 SR03 ROTGI UM219 MYDIA/M078F370 M219 CULLY/N0453F370 M219 KNOST DCT CAMJO Q99 BLAAN/N0447F390 Q69 RICCS DCT OXMAN LINNG3</t>
  </si>
  <si>
    <t>S12R T12R6 UN418 UN409 UN419 UN432 2050N08738W NAPRI NAPRI1A</t>
  </si>
  <si>
    <t>UDGUV2A UDGUV UJ84 CZA 2014N08930W 2011N08941W 2008N09401W UMAVO UT101 ENAGA ENAGA3A</t>
  </si>
  <si>
    <t>TAKUX2A TAKUX UM782 OMIRO UN420 SPP DCT VUNIB DCT SIROT DCT KUBEK DCT RNG DCT ISVAT ISVAT5E</t>
  </si>
  <si>
    <t>S12R T12R6 UN418 UN409 UN419 2051N08729W 1944N08942W 1938N08954W NOPON UJ9 VSA</t>
  </si>
  <si>
    <t>UDGUV2A UDGUV UJ84 CZA 2028N08855W 2021N08910W 2025N08946W 2027N09104W 2030N09123W AVIVI LENUL LENUL3A</t>
  </si>
  <si>
    <t>UDGUV2A UDGUV 2027N08945W 2026N08952W 2021N09026W 2022N09113W 2026N09154W 2019N09206W AVIVI IKLOK UT123 IGSON IGSON1A</t>
  </si>
  <si>
    <t>UDGUV2A UDGUV UJ84 SMID 2007N08948W 2006N08950W 2005N08953W 2002N09005W DUSAT SESNO UJ15E RETOS RETOS1A</t>
  </si>
  <si>
    <t>UDGUV2A UDGUV UMAVO UT101 ENAGA</t>
  </si>
  <si>
    <t>XAVXL</t>
  </si>
  <si>
    <t>UDGUV2A UDGUV 2046N08754W 2034N08838W 2031N08845W 2018N09009W 2021N09459W VOKIR UT101 ENAGA</t>
  </si>
  <si>
    <t>XAVSL</t>
  </si>
  <si>
    <t>S12R T12R6 UN418 UN409 UN419 2055N08732W UKOKO UT78 DURPI 2101N08923W 2103N08938W 2100N09047W 2100N09056W 2043N09427W 2048N09458W RIBET UT101 ENAGA ENAGA3A</t>
  </si>
  <si>
    <t>UDGUV2A UDGUV DCT 2009N08914W 1936N08953W 1911N09018W 1901N09026W 1828N09054W 1822N09106W 1758N09155W 1802N09220W 1802N09221W 1802N09230W 1805N09345W 1806N09436W MEBAS LARLO</t>
  </si>
  <si>
    <t>S12R T12R6 2057N08653W 2052N08748W 2007N08929W 1953N08954W 1924N09034W 1909N09103W 1900N09114W 1850N09130W 1848N09142W 1831N09231W 1818N09314W 1808N09349W 1802N09405W 1807N09407W 1812N09413W ELOGO</t>
  </si>
  <si>
    <t>ELOGO</t>
  </si>
  <si>
    <t>UDGUV2A UDGUV UJ84 CZA 2010N08920W KETBA 1917N09034W 1853N09133W 1842N09248W 1841N09311W 1840N09449W MEBAS UT112 LARLO LARLO4A</t>
  </si>
  <si>
    <t>1840N09514W</t>
  </si>
  <si>
    <t>UDGUV2A UDGUV 2055N08801W 2048N08841W 2021N08953W UBVOV UT20 TAJIN DCT VITOS</t>
  </si>
  <si>
    <t>S12R 2100N08651W 2048N08742W 2012N08909W 1957N08928W 1943N08944W 1926N09008W 1926N09026W 1923N09118W 1934N09126W 2016N09340W 2017N09342W 2027N09349W 2050N09356W 2105N09410W 2132N09436W TAM UJ15 CVM J21 SESNO DCT RETOS RETOS1A</t>
  </si>
  <si>
    <t>S12R T12R6 UN402 UN408 CZM 2014N08652W 2003N08649W 1949N08644W 1927N08641W 1918N08643W ELSON UT32 CTM</t>
  </si>
  <si>
    <t>S12R NUDAL UR506 KALNO VETSI2A</t>
  </si>
  <si>
    <t>HP9808</t>
  </si>
  <si>
    <t>S12R T12R6 UN402 UN408 2038N08646W EBLOD 1939N08636W 1933N08636W 1932N08636W 1923N08636W 1918N08656W 1919N08711W 1917N08713W 1915N08717W ELSON CTM</t>
  </si>
  <si>
    <t>XAAMJ</t>
  </si>
  <si>
    <t>S12R T12R6 UN418 2055N08700W CZA 2035N08835W 2008N08913W 1956N08926W 1944N08940W 1930N09002W 1929N09006W 1914N09043W 1924N09100W 1929N09133W 1923N09148W 1920N09301W 1933N09348W 1925N09409W 1923N09411W 1902N09427W MEBAS UT111 LARLO LARLO4A</t>
  </si>
  <si>
    <t>1857N09509W</t>
  </si>
  <si>
    <t>N818NN</t>
  </si>
  <si>
    <t>S12R T12R6 UN418 UN409 UN419 2053N08729W 2056N08736W NOTEN UT37 AVRAV DCT IPRUL UT48 PLAYA DCT BRO J25 CRP DCT SAT/N0446F390 DCT CRGER DCT GUTZZ SOCKK4</t>
  </si>
  <si>
    <t>N391DA</t>
  </si>
  <si>
    <t>S12R 2117N08615W MAXIM Y262 TUNSL DCT FEMID Q118 CHRRI/N0467F350 DCT KPASA DCT ENEME DCT AMG DCT LARZZ JJEDI4</t>
  </si>
  <si>
    <t>2137N08549W</t>
  </si>
  <si>
    <t>S12R T12R6 UN418 UN409 UN419 2051N08732W 2049N08736W 2048N08738W 2047N08740W 2044N08743W 1940N08949W XSJQ 1915N09019W 1858N09039W 1849N09050W VSA MTT UT112 LARLO LARLO4A</t>
  </si>
  <si>
    <t>N37518</t>
  </si>
  <si>
    <t>S12R 2101N08650W 2102N08649W 2106N08645W 2117N08633W PODON UG765 MAXIM Y262 ZFP NUCAR Y307 JAZZI GARIC Q129 AARNN FAK</t>
  </si>
  <si>
    <t>2142N08552W</t>
  </si>
  <si>
    <t>UDGUV2A UDGUV UJ84 X84 2039N08826W 1943N09002W 1918N09114W 1916N09132W 1915N09156W 1915N09157W 1916N09201W 1923N09219W 1925N09223W 1926N09226W 1932N09244W 1931N09255W VER UT111 LARLO</t>
  </si>
  <si>
    <t>2101N08651W 2113N08656W</t>
  </si>
  <si>
    <t>UDGUV2A UDGUV 2050N08747W 2050N08750W 2051N08802W 2051N08807W DUSAT UM206 SESNO UJ15E RETOS RETOS1A</t>
  </si>
  <si>
    <t>FYL24MA</t>
  </si>
  <si>
    <t>F900</t>
  </si>
  <si>
    <t>LXFMA</t>
  </si>
  <si>
    <t>FFT229</t>
  </si>
  <si>
    <t>N654FR</t>
  </si>
  <si>
    <t>S12R 2054N08719W 2054N08725W 2055N08810W 2055N08813W PERGO UT37 EBDUB NUGUS UJ59 MAM DCT BRO J25 CRP DCT SAT DCT CRGER/N0431F370 DCT GUTZZ SOCKK4</t>
  </si>
  <si>
    <t>S12R T12R6 UN418 UN409 UN419 UN432 2032N09443W ELVED UT104 LENUL LENUL3A</t>
  </si>
  <si>
    <t>S12R T12R6 UN418 UN409 UN419 2050N08727W 2049N08731W 2012N08907W NOREL UJ28 VER UT110 ELIKU UJ24 SABOL/N0478F300 UM787 LENUL/N0419F300 LENUL3A</t>
  </si>
  <si>
    <t>S12R T12R6 UN418 UN409 UN419 UN432 1945N09300W 1921N09328W 1928N09340W VER UJ24 ELIKU DCT LARLO LARLO4A</t>
  </si>
  <si>
    <t>1918N09503W</t>
  </si>
  <si>
    <t>S12R T12R6 2100N08649W NUDAL UV106 PODON UG765 EMOVI UG765 MAXIM SNDBR3</t>
  </si>
  <si>
    <t>XAAML</t>
  </si>
  <si>
    <t>S12R T12R6 UN418 UN409 UN419 2052N08723W 2050N08731W CME UJ9 VSA UJ5 MTT UM210 VER UT61 AVALI UT169 VITOS VITOS2A</t>
  </si>
  <si>
    <t>S12R T12R6 NUDAL UV106 PODON UG765 MAXIM DCT EYW DCT</t>
  </si>
  <si>
    <t>S12R T12R6 UN418 UN409 UN419 2052N08722W 2052N08728W 2013N08910W 1927N09327W 1927N09330W 1919N09438W MEBAS DCT PBC PBC2C</t>
  </si>
  <si>
    <t>1913N09504W</t>
  </si>
  <si>
    <t>FFT45</t>
  </si>
  <si>
    <t>S12R T12R6 2059N08639W 2104N08628W 2109N08616W NUDAL UV106 PODON UG765 MAXIM Y262 TUNSL DCT FEMID/N0438F380 Q118 THRSR Q79 IIU DCT BONNT VEECK5</t>
  </si>
  <si>
    <t>S12R T12R6 UN418 UN409 UN419 2051N08727W 2055N08915W NOTEN UT37 SESNO UJ15E RETOS RETOS1A</t>
  </si>
  <si>
    <t>CGMEX</t>
  </si>
  <si>
    <t>S12R T12R6 2104N08634W 2112N08614W 2113N08607W NUDAL UV106 PODON UG765 MAXIM Y262 GOPEY Q87 TIRCO/N0468F360 Q87 ZERBO/N0471F350 Q87 VIYAP Q69 RICCS DCT OXMAN LINNG3</t>
  </si>
  <si>
    <t>S12R T12R6 UN418 UN409 UN419 NUBIT DCT RIBET UT101 ENAGA DCT OVAGO UT123 IKLOK/N0450F220 UT123 IGSON IGSON1B</t>
  </si>
  <si>
    <t>FFT87</t>
  </si>
  <si>
    <t>N662FR</t>
  </si>
  <si>
    <t>S12R T12R6 UN418 UN409 2053N08716W 2053N08729W 2053N08732W IPSEV L207 VUH DCT IAH/N0433F390 J101 LFK DCT LIT DCT ARG BOOSH3</t>
  </si>
  <si>
    <t>N459AN</t>
  </si>
  <si>
    <t>S12R T12R6 UN415 2058N08641W 2058N08636W 2042N08619W 2029N08602W MAXIM Y262 GOPEY Q87 TIRCO/N0442F380 Q87 ZERBO/N0439F390 Q87 SUSYQ/N0385F290 Q87 JROSS Q135 RREGG Q117 SAWED Q97 ZJAAY JIIMS4</t>
  </si>
  <si>
    <t>2101N08531W</t>
  </si>
  <si>
    <t>S12R T12R6 UN418 UN409 UN419 UN432 2050N08734W 2049N08742W 1900N09225W 1856N09231W 1841N09245W 1814N09322W 1813N09323W 1750N09354W 1759N09404W MEBAS UT112 ERDEL/N0444F260 UT112 LARLO LARLO4A</t>
  </si>
  <si>
    <t>1813N09522W</t>
  </si>
  <si>
    <t>S12R T12R6 UN402 UN408 CZM UN431 1959N08654W 1954N08654W CTM UG765 AUR</t>
  </si>
  <si>
    <t>S12R T12R6 UN415 UN413 SEVKA 2112N08558W 2114N08553W MAXIM Y262 LULLS DCT GOPEY Q87 ONEWY/N0451F340 Q87 ZERBO/N0457F350 Q87 VIYAP Q69 RICCS DCT OXMAN LINNG3</t>
  </si>
  <si>
    <t>N946NN</t>
  </si>
  <si>
    <t>S12R T12R6 UN418 UN409 UN419 UN432 2101N08829W 2103N08836W 2204N09115W 2206N09122W 2226N09159W NOTEN UT37 AVRAV DCT KANNA DCT CRP DCT SAT/N0457F410 DCT CRGER DCT GUTZZ SOCKK4</t>
  </si>
  <si>
    <t>S12R T12R6 UN418 UN409 UN419 UN432 2052N08811W 2053N08818W NOTEN DCT LIBOX DCT MOV UT3 URKOM UJ54 CJS DCT</t>
  </si>
  <si>
    <t>N521CL</t>
  </si>
  <si>
    <t>UDGUV2A UDGUV UJ84 X84 2005N08920W 2002N08926W 1947N09133W 1946N09139W VOKIR UT61 TAM UJ15 CVM UJ15E MTY</t>
  </si>
  <si>
    <t>TAKUX2A TAKUX UM782 OMIRO/N0443F370 UN420 PELRA DCT SPP DCT SEKMA OSUPA2</t>
  </si>
  <si>
    <t>N525VL</t>
  </si>
  <si>
    <t>S12R T12R6 UN402 UN408 2031N08655W 2025N08657W 2023N08658W ALSUP UB881 URIOS DCT GABIX DCT TUMEK DCT TIBUT DCT PIRAS BARRA4P</t>
  </si>
  <si>
    <t>N706P</t>
  </si>
  <si>
    <t>S12R T12R6 UN418 UN409 UN419 2050N08733W 2050N08737W 2106N08848W 2106N08851W NOTEN UT37 SESNO DCT MTY UT11 PPE UJ7 MXL</t>
  </si>
  <si>
    <t>N913AN</t>
  </si>
  <si>
    <t>UDGUV2A UDGUV DCT 2108N08859W 2109N08902W NOTEN UT37 AVRAV DCT KANNA DCT CRP DCT HOOLR DXEEE3</t>
  </si>
  <si>
    <t>N8772M</t>
  </si>
  <si>
    <t>S12R T12R6 UN418 UN409 UN419 UN432 2049N08938W ID112 2052N09025W 2052N09031W 2139N09232W 2141N09238W NOTEN XOTUG DCT COLLT BELLR6</t>
  </si>
  <si>
    <t>S12R T12R6 UN415 UN413 2104N08622W 2109N08616W 2110N08614W PODON UG765 MAXIM Y262 GOPEY Q87 TIRCO/N0467F360 Q87 ZERBO/N0466F370 Q87 LCAPE DCT RDU DCT BZNGA DCT DORRN CAVLR7</t>
  </si>
  <si>
    <t>2131N08546W</t>
  </si>
  <si>
    <t>N100WX</t>
  </si>
  <si>
    <t>E50P</t>
  </si>
  <si>
    <t>S12R T12R6 UN418 UN409 2042N08817W 2042N08822W UBVOV UT101 UMAVO UT169 VITOS DCT SLM</t>
  </si>
  <si>
    <t>S12R T12R6 UN415 UN413 2111N08602W SEVKA FRANT UG765 MAXIM Y262 GOPEY Q87 ONEWY/N0457F340 Q87 ZERBO/N0456F350 Q87 VIYAP Q69 RYCKI/N0452F370 Q69 RICCS DCT PSB DCT SYR DCT ART IMPAC4</t>
  </si>
  <si>
    <t>S12R T12R6 UN418 UN409 UN419 UN432 2106N08849W 2107N08857W 2120N08910W 2122N08911W 2124N08916W 2144N08953W 2158N09016W 2203N09028W 2214N09047W 2241N09114W 2309N09142W IPSEV L207 SEAGL NNCEE2</t>
  </si>
  <si>
    <t>HP1848</t>
  </si>
  <si>
    <t>S12R T12R6 TAKUX UM782 OMIRO/N0444F370 UN420 PELRA DCT SPP DCT SEKMA OSUPA2</t>
  </si>
  <si>
    <t>N7827A</t>
  </si>
  <si>
    <t>S12R T12R6 UN418 UN409 UN419 2052N08954W MD807 NOTEN IPRUL/N0454F410 J177 PSX/N0457F400 DCT WAILN WLEEE7</t>
  </si>
  <si>
    <t>S12R T12R6 UN418 UN409 2043N08754W 2041N08758W 2007N08940W 2004N08947W 1946N09206W 1945N09211W 1953N09300W 1959N09352W 2000N09407W 1957N09424W 1943N09526W VER UT111 LARLO LARLO4A</t>
  </si>
  <si>
    <t>S12R T12R6 UN418 UN409 2053N08714W 2058N08730W 2058N08736W NOTEN UT37 SESNO UJ15E MTY UT11 GABLA UJ40 NOVUL NOVUL2C</t>
  </si>
  <si>
    <t>JBU2096</t>
  </si>
  <si>
    <t>N625JB</t>
  </si>
  <si>
    <t>XAJTM</t>
  </si>
  <si>
    <t>UDGUV2A UDGUV DCT 2053N08817W 2053N08820W 2113N08932W 2114N08942W 2114N08949W 2136N09036W 2301N09254W 2343N09402W MAM/N0440F370 DCT PSX DCT</t>
  </si>
  <si>
    <t>2343N09402W</t>
  </si>
  <si>
    <t>N127AA</t>
  </si>
  <si>
    <t>NUDAL1A NUDAL UV106 PODON UG765 MAXIM Y262 GOPEY/N0463F350 Q87 TIRCO/N0460F360 Q87 ZERBO/N0459F370 Q87 VIYAP DCT JONZE JONZE8</t>
  </si>
  <si>
    <t>N36472</t>
  </si>
  <si>
    <t>S12R T12R6 UN418 UN409 2052N08721W 2052N08726W 2055N08742W 2057N08751W 2104N08759W 2103N08759W 2118N08817W 2122N08822W 2133N08839W 2143N08902W 2156N08929W IPSEV L207 CATFS/N0467F360 L207 VUH/N0463F370 DCT KH09G DCT CISAR J101 LIT J180 FTZ TRTLL6</t>
  </si>
  <si>
    <t>CFMXA</t>
  </si>
  <si>
    <t>NUDAL1A NUDAL UV106 PODON UG765 MAXIM TUNSL Q81 KARTR/N0455F380 DCT RSW DCT KR72S DCT EDISN/N0453F370 DCT KJ12S DCT ACERB DCT OXMAN LINNG3</t>
  </si>
  <si>
    <t>UDGUV2A UDGUV 2054N08840W 2054N08842W 2050N08904W 2053N08907W 2053N08924W 2057N08940W NA363 NOTEN UT37 AVRAV DCT KANNA DCT CRP DCT SAT/N0453F390 DCT CRGER DCT GUTZZ SOCKK4</t>
  </si>
  <si>
    <t>S12R T12R6 1950N09013W 1947N09018W 1931N09255W 1944N09409W 1946N09430W 1953N09514W MEBAS UT112 LARLO DCT OVAGO UT123 IGSON IGSON1A</t>
  </si>
  <si>
    <t>1951N09459W</t>
  </si>
  <si>
    <t>S12R T12R6 2059N08648W UN415 TAKUX MAMBI UL577 CDO UT15 NADAX NADAX1W</t>
  </si>
  <si>
    <t>S12R T12R6 UN415 UN413 NUDAL UV106 PODON UG765 MAXIM Y262 TUNSL DCT FEMID Q118 CHRRI/N0465F340 Q118 THRSR DCT HYK/N0453F350 DCT DQN DCT TORRR HANBL3</t>
  </si>
  <si>
    <t>CGFJO</t>
  </si>
  <si>
    <t>S12R T12R6 UN415 NUDAL UV106 PODON UG765 MAXIM Y196 TUNSL Q81 KARTR/N0456F360 DCT RSW/N0456F370 DCT CRG DCT RRSIN DCT HAYED DCT PBERG CARTR5</t>
  </si>
  <si>
    <t>N562AV</t>
  </si>
  <si>
    <t>S12R T12R6 UN415 2056N08641W B30L4 TAKUX UM782 OMIRO/N0449F370 UN420 SPP UP530 KAKOL/N0395F230 B689 OPMEL OPME4A</t>
  </si>
  <si>
    <t>S12R T12R6 UN418 UN409 UN419 UN432 1913N09128W 1906N09133W 1858N09139W 1819N09208W 1807N09242W 1804N09246W 1739N09326W 1747N09336W 1747N09338W OMATO UJ16 OAX</t>
  </si>
  <si>
    <t>UDGUV2A UDGUV 2047N08751W 2047N08754W 2033N08842W MD610 1946N09250W 1953N09345W 1957N09400W MEBAS LARLO LARLO4A</t>
  </si>
  <si>
    <t>N889NN</t>
  </si>
  <si>
    <t>S12R T12R6 UN415 NUDAL UV106 PODON UG765 MAXIM Y262 GOPEY Q87 TIRCO/N0438F380 Q87 ZERBO/N0437F390 Q87 JROSS Q135 RREGG Q117 KTEEE/N0366F290 Q117 SAWED Q97 ZJAAY JIIMS4</t>
  </si>
  <si>
    <t>XAVLO</t>
  </si>
  <si>
    <t>N588DT</t>
  </si>
  <si>
    <t>S12R T12R6 NUDAL UV106 PODON UG765 MAXIM Y262 TUNSL DCT OCTAL DCT PRMUS Q97 CAKET DCT DEDDY DCT YURCK Q109 DFENC DCT SAWED Q108 SIE CAMRN5</t>
  </si>
  <si>
    <t>S12R T12R6 UN418 UN409 2040N08826W 2036N08849W 2041N08916W 2045N08930W 1944N09357W 1950N09417W VER UT165 ERDEL UT110 LARLO LARLO1D</t>
  </si>
  <si>
    <t>1935N09459W</t>
  </si>
  <si>
    <t>N567UW</t>
  </si>
  <si>
    <t>S12R T12R6 UN415 NUDAL UV106 PODON UG765 MAXIM DCT EADEN DCT PHK DCT SHEDS/N0416F280 DCT OMN DCT BAXLY DCT LAYUH DCT DOLLI DCT ENGRA DCT HEVAN Q118 BONNT VEECK5</t>
  </si>
  <si>
    <t>N924WN</t>
  </si>
  <si>
    <t>S12R T12R6 UN415 UN413 2106N08614W 2108N08607W FRANT UG765 MAXIM Y262 GOPEY Q87 TIRCO/N0455F400 Q87 ZERBO/N0447F410 Q87 RAYVO Q113 AARNN DCT THHMP RAVNN9</t>
  </si>
  <si>
    <t>N623JB</t>
  </si>
  <si>
    <t>S12R T12R6 UN415 NUDAL UV106 PODON UG765 MAXIM Y262 LULLS DCT WIGNA DCT FIPES DCT FERAL BLFRG3</t>
  </si>
  <si>
    <t>N943AV</t>
  </si>
  <si>
    <t>S12R T12R6 UN415 2055N08639W 2053N08635W TAKUX UM782 OMIRO/N0449F390 UN420 SPP UP530 KAKOL DCT RNG UQ121 ISVAT ISVA5E</t>
  </si>
  <si>
    <t>N337DN</t>
  </si>
  <si>
    <t>S12R T12R6 2058N08644W 2059N08641W NUDAL UV106 PODON UG765 MAXIM Y262 TUNSL DCT PHK DCT TIRCO/N0468F340 DCT MATLK Q77 STYMY/N0467F330 Q77 SHRKS DCT LAIRI/N0469F320 DCT LARZZ SITTH3</t>
  </si>
  <si>
    <t>N606MC</t>
  </si>
  <si>
    <t>KCHA</t>
  </si>
  <si>
    <t>C25C</t>
  </si>
  <si>
    <t>S12R SR00 SR01 SR02 SR03 2101N08644W ROTGI 2152N08640W LENUK UB646 CANOA DC PIKKR/N0420F430 DCT MICES DCT JOHNN DCT GSU DCT</t>
  </si>
  <si>
    <t>N36469</t>
  </si>
  <si>
    <t>S12R T12R6 UN418 UN409 UN419 UN432 2055N08907W 2101N08921W 2146N09003W 2150N09006W 2155N09011W IPSEV L207 SEAGL NNCEE2</t>
  </si>
  <si>
    <t>NUDAL1A NUDAL UV106 PODON UG765 MAXIM Y262 GOPEY Q87 TIRCO/N0460F360 Q87 ZERBO/N0458F370 Q87 VIYAP DCT JROSS Q87 NOWAE DCT BBOBO Q22 RBV DCT LLUND DCT CAM DCT JASDU DCT PBERG CARTR5</t>
  </si>
  <si>
    <t>S12R T12R6 UN418 UN409 UN419 2051N08732W 2051N08748W 2100N08807W 2103N08810W 2106N08813W 2108N08813W 2133N08821W 2135N08833W 2135N08908W NOTEN UT37 SESNO DCT MTY/N0468F340 UT11 PPE J93 AXASA DCT ASUTA J93 PDZ DCT COREZ DCT MAKRS DCT SERFR SERFR4</t>
  </si>
  <si>
    <t>S12R T12R6 UN418 UN409 UN419 UN432 2050N08736W 2049N09144W 2050N09150W 2114N09243W 2116N09246W AMORI J177 PSX DCT TNV/N0450F400 DCT CVE/N0450F410 J87 TUL DCT STASN WUTNG3</t>
  </si>
  <si>
    <t>2304N09454W</t>
  </si>
  <si>
    <t>CFNWD</t>
  </si>
  <si>
    <t>S12R SR00 SR01 SR02 SR03 SR04 SR05 ROTGI 2154N08640W LENUK UB646 CANOA Y196 TUNSL Q81 KARTR DCT AABER DCT CRG DCT CAE DCT PSK DCT OXMAN LINNG3</t>
  </si>
  <si>
    <t>VIV2238</t>
  </si>
  <si>
    <t>S12R T12R6 UN418 UN409 UN419 2052N08726W 2053N08843W 2048N08905W MD506 2056N08924W 2100N08929W MD602 2208N09247W 2210N09257W 2225N09407W SESNO UJ15E RETOS RETOS1A</t>
  </si>
  <si>
    <t>2252N09459W</t>
  </si>
  <si>
    <t>N66897</t>
  </si>
  <si>
    <t>S12R T12R6 UN418 UN409 2054N08707W 2057N08725W 2114N08743W 2143N08824W 2144N08835W 2141N08914W 2142N08918W 2144N08923W 2148N08928W IPSEV L207 SEAGL NNCEE2</t>
  </si>
  <si>
    <t>N8781Q</t>
  </si>
  <si>
    <t>S12R T12R6 UN415 UN413 PODON UG765 MAXIM Y262 LINEY DCT KUTNE MUNGI1</t>
  </si>
  <si>
    <t>N649FR</t>
  </si>
  <si>
    <t>NUDAL1A NUDAL UV106 PODON UG765 MAXIM Y262 TUNSL DCT PHK/N0444F360 DCT TIRCO DCT MATLK Q77 MJAMS/N0443F370 Q77 SHRKS/N0442F360 DCT LAIRI DCT LARZZ SITTH3</t>
  </si>
  <si>
    <t>2102N08652W 2058N08650W CZM B764 BUKKY BUKKY1B</t>
  </si>
  <si>
    <t>S12R T12R6 UN418 UN409 UN419 2050N08914W 2045N08943W 2045N08945W MD912 UBVOV UT20 TAJIN DCT VITOS VITOS2A</t>
  </si>
  <si>
    <t>2057N08651W 2051N08651W 2051N08657W 2052N08648W L25 2054N08657W</t>
  </si>
  <si>
    <t>TCLLG</t>
  </si>
  <si>
    <t>NUDAL1A NUDAL UV106 PODON UG765 MAXIM Y262 ZFP BR65V STIFF A699 SUMRS/M084F350 M204 SOORY/N0483F370 DCT 43N050W/N0486F370 DCT 46N040W/M083F390 DCT 48N030W DCT 49N020W DCT KOGAD DCT BIMGO DCT RATKA/N0474F390 DCT LARLA/N0477F390 DCT OTOFE UN491 POGZI DCT GELTA DCT LUVAL/N0480F390 DCT BEGAR DCT TRA/N0481F390 DCT GAMSA/N0480F370 DCT GEDSO/N0478F370 DCT VEKEN DCT IRDIV/N0469F370 DCT KRV DCT NISVA DCT DEDIN DCT AYTEK</t>
  </si>
  <si>
    <t>S12R T12R6 UN415 2056N08641W TAKUX UM782 OMIRO UN420 PELRA DCT SPP DCT SEKMA OSUPA2</t>
  </si>
  <si>
    <t>N355PU</t>
  </si>
  <si>
    <t>JBU1796</t>
  </si>
  <si>
    <t>CGDDR</t>
  </si>
  <si>
    <t>S12R T12R6 UN418 2055N08659W 2054N08705W 2052N08714W 2051N08719W 2051N08722W 2052N08731W 2052N08734W 2107N08859W 2109N08904W NOTEN UT37 EBDUB DCT NUGUS/N0457F370 UJ59 MAM/N0460F360 DCT CRP DCT KH84C DCT ROOMY J17 TURKI DCT KD51W DCT RIDJE DCT IKFOM DCT ZERZO DCT MIREK Q995 OILRS OILRS2</t>
  </si>
  <si>
    <t>N730QS</t>
  </si>
  <si>
    <t>KFPR</t>
  </si>
  <si>
    <t>NUDAL1A NUDAL UV106 PODON UG765 MAXIM DCT EDEN DCT SHEDS DCT</t>
  </si>
  <si>
    <t>S12R T12R6 UN418 UN409 2055N08704W 2046N08724W 2045N08729W 2048N08815W 2048N08820W 2221N09207W 2224N09215W NOTEN UT37 ULUMA DCT MTY DCT TASTO DCT ILAMA UT41 NADIS DCT AVRIL/N0374F200 UJ3 TANRI TANRI1B</t>
  </si>
  <si>
    <t>N14512</t>
  </si>
  <si>
    <t>S12R T12R6 UN418 UN409 2054N08712W 2052N08716W 2053N08737W 2055N08744W PERGO UT23 ISARO 2126N09046W 2126N09051W 2231N09418W 2241N09426W NABDA DCT MAM DCT KH81C DCT LLO DCT ABI DCT PNH DCT ZIGEE NIIXX4</t>
  </si>
  <si>
    <t>S12R 2101N08650W 2100N08649W 2101N08647W 2105N08647W B30L5 2149N08641W 2155N08639W LENUK UB646 CANOA DCT EYW DCT KARTR/N0443F400 DCT BULKS DCT CTY DCT THRSR Q79 IIU DCT DROSE FISSK7</t>
  </si>
  <si>
    <t>2056N08657W 2051N08700W 2051N08702W 2052N08658W 2052N08702W 2051N08659W 2052N08701W</t>
  </si>
  <si>
    <t>NUDAL1A NUDAL UV106 PODON UG765 MAXIM Y262 TUNSL DCT FEMID/N0458F340 Q118 KPASA Q99 DOFFY/N0455F350 Q99 CAMJO Q109 DFENC DCT SAWED Q108 SIE CAMRN5</t>
  </si>
  <si>
    <t>NUDAL1A NUDAL UV106 PODON UG765 MAXIM Y262 TUNSL DCT LINEY DCT MATLK Q77 WAKKO/N0462F350 Q77 SHRKS DCT LAIRI DCT LARZZ SITTH3</t>
  </si>
  <si>
    <t>S12R T12R6 2058N08652W 2055N08705W 2051N08714W 2046N08727W MID DCT 2119N09130W 2120N09139W 2132N09317W 2133N09322W 2136N09357W 2137N09402W 2153N09447W TMN DCT MORAS UJ17 QET DCT</t>
  </si>
  <si>
    <t>N624JB</t>
  </si>
  <si>
    <t>NUDAL1A NUDAL UV106 PODON UG765 MAXIM Y262 ZFP Y319 JAZZI DCT WAALT Q131 EARZZ/N0459F370 DCT JAMIE Q133 JFK ROBUC3</t>
  </si>
  <si>
    <t>S12R T12R6 UN418 2056N08657W 2052N08712W 2048N08735W UDGUV 2045N08752W 2044N08755W 2046N08801W 2049N08801W 2050N08803W 2101N08807W 2126N08818W 2142N08841W 2142N08844W 2141N08850W SUVOL IPSEV SEAGL</t>
  </si>
  <si>
    <t>S12R T12R6 UN418 2055N08658W 2054N08705W 2053N08711W 2052N08718W 2050N08808W 2050N08812W 2049N08818W 2045N08842W 2042N08856W 2040N08906W 2038N08915W 2034N08933W NOTEN SESNO UJ15E RETOS RETOS1A</t>
  </si>
  <si>
    <t>UDGUV2A UDGUV 2041N08807W XVLD 1937N09320W 1936N09324W MEBAS LARLO LARLO4A</t>
  </si>
  <si>
    <t>UDGUV2A UDGUV UT78 UKOKO 2053N08835W 2054N08842W 2101N08855W ULISO LIDAM UT23 TAM UJ14 TMN UT147 SLP UJ40 LIBOL LIBOL1B</t>
  </si>
  <si>
    <t>S12R SR00 2100N08644W 2102N08643W 2137N08639W 2142N08639W LENUK UB646 CANOA DCT EYW DCT FEMID/N0471F320 Q118 THRSR SWFFT3</t>
  </si>
  <si>
    <t>UDGUV2A UDGUV 2049N08747W 2050N08752W 2110N08911W 2112N08917W LIDAM/N0483F300 UT23 TAM UJ46 CDR UL655 PPE J93 ASUTA DCT AMMOR OLAAA2</t>
  </si>
  <si>
    <t>S12R T12R6 UN418 UN409 UN419 2052N08723W 2052N08730W CZA UJ84 SMID 2007N08947W 2007N08948W 2017N09009W 2021N09012W IPSEV L207 VUH DCT DAS/N0459F370 DCT EIC DCT RZC/N0453F380 DCT MCI/N0451F380 DCT ROKKK NITZR4</t>
  </si>
  <si>
    <t>N17591</t>
  </si>
  <si>
    <t>S12R T12R6 UN418 UN409 2054N08706W 2049N08710W 2050N08718W 2052N08722W 2055N08726W 2051N08745W 2053N08752W 2112N08853W 2116N08901W 2152N09109W 2207N09142W DUSAT UM206 NABDA DCT MAM DCT CRP HTOWN3</t>
  </si>
  <si>
    <t>S12R 2101N08650W MOGOP 2101N08647W ROTGI 2154N08639W 2200N08638W LENUK UB646 CANOA DCT EYW DCT KARTR/N0483F320 DCT SRQ DCT SZW DCT VUZ J151 VISQA BOOSH3</t>
  </si>
  <si>
    <t>S12R T12R6 UN418 UN409 2054N08719W 2054N08723W 2023N09001W DUSOV VER UT111 LARLO</t>
  </si>
  <si>
    <t>1930N09459W</t>
  </si>
  <si>
    <t>N838NN</t>
  </si>
  <si>
    <t>NUDAL1A NUDAL UV106 PODON UG765 MAXIM DCT EADEN DCT PHK DCT SHEDS/N0446F380 DCT OMN DCT BAXLY DCT LAYUH DCT DOLLI DCT ENGRA DCT HEVAN Q118 BONNT VEECK5</t>
  </si>
  <si>
    <t>XAVUR</t>
  </si>
  <si>
    <t>S12R T12R6 UN418 UN409 2054N08709W 2054N08717W 2057N08751W UKOKO UT78 DURPI 2049N09312W 2039N09428W 2039N09434W VOKIR UT101 UMAVO UT169 VITOS VITOS2A</t>
  </si>
  <si>
    <t>UDGUV2A UDGUV 2049N08809W 2053N08823W 2057N08833W 2058N08851W 2059N08917W 2100N08922W 2101N08936W 2059N09029W 2100N09259W 2106N09322W 2106N09329W PAZ UT104 LENUL LENUL2B</t>
  </si>
  <si>
    <t>N630JB</t>
  </si>
  <si>
    <t>N953AN</t>
  </si>
  <si>
    <t>UDGUV2A UDGUV 2051N08820W 2051N08829W 2053N08835W 2100N08905W 2215N09203W 2218N09211W KANNA DCT CRP DCT SAT/N0445F370 DCT CRGER DCT GUTZZ SOCKK4</t>
  </si>
  <si>
    <t>2345N09400W</t>
  </si>
  <si>
    <t>S12R 2055N08708W 2055N08711W UDGUV 2050N08801W 2058N08854W 2058N08921W 2059N09215W 2058N09250W 2058N09251W 2059N09354W VOKIR UT101 UMAVO/N0450F300 UT101 ENAGA ENAGA3A</t>
  </si>
  <si>
    <t>N847DN</t>
  </si>
  <si>
    <t>NUDAL1A NUDAL UV106 PODON UG765 MAXIM Y262 TUNSL DCT LINEY DCT MATLK Q77 SHRKS DCT LAIRI DCT LARZZ SITTH3</t>
  </si>
  <si>
    <t>LXJ546</t>
  </si>
  <si>
    <t>N546FX</t>
  </si>
  <si>
    <t>UDGUV2A UDGUV DCT 2050N08804W 2050N08814W NOTEN UT37 SESNO J21 LRD</t>
  </si>
  <si>
    <t>N17594</t>
  </si>
  <si>
    <t>UDGUV2A UDGUV DCT 2048N08748W 2058N08828W 2106N08838W 2113N08842W 2128N08853W 2129N08854W IPSEV L207 VUH/N0465F370 DCT KH06G DCT ELD DCT LIT J180 FTZ TRTLL6</t>
  </si>
  <si>
    <t>2054N08657W 2045N08655W 2044N08659W 2048N08659W SR39</t>
  </si>
  <si>
    <t>S12R T12R6 UN418 UN409 UN419 2051N08728W 2045N08807W 2034N08850W 2026N08912W 2023N08940W 2024N08947W 2034N09202W 2047N09252W 2052N09332W UBVOV UT101 UMAVO/N0460F300 UT101 ENAGA ENAGA3A</t>
  </si>
  <si>
    <t>UDGUV2A UDGUV DCT 2049N08753W 2058N08830W 2110N08927W 2111N08934W 2132N09220W 2137N09305W TMN UT147 AGU UT44 MEZCA MEZCA1A</t>
  </si>
  <si>
    <t>N161AA</t>
  </si>
  <si>
    <t>S12R 2101N08650W SL0 NUDAL UV106 PODON UG765 MAXIM Y262 GOPEY Q87 TIRCO/N0465F340 Q87 ZERBO/N0463F350 Q87 VIYAP DCT JONZE JONZE8</t>
  </si>
  <si>
    <t>UDGUV2A UDGUV DCT 2100N08838W 2102N08843W 2103N08849W DUSAT UM206 NABDA DCT MAM DCT KH75C DCT AYALA DCT KF15A DCT PNH DCT ZIGEE NIIXX4</t>
  </si>
  <si>
    <t>LXJ608</t>
  </si>
  <si>
    <t>E550</t>
  </si>
  <si>
    <t>N608FX</t>
  </si>
  <si>
    <t>S12R 2101N08648W 2110N08646W 2112N08646W 2117N08645W 2219N08611W LENUK TELCO UB646 CANOA DCT EYW DCT FROGZ DCT</t>
  </si>
  <si>
    <t>N121AN</t>
  </si>
  <si>
    <t>S12R 2101N08650W NUDAL UV106 PODON UG765 MAXIM Y262 GOPEY Q87 TIRCO/N0465F340 Q87 ZERBO/N0463F350 Q87 VIYAP DCT JONZE JONZE8</t>
  </si>
  <si>
    <t>S12R T12R6 UN418 UN409 2056N08738W 2057N08744W 2058N08745W 2104N08812W 2109N08831W 2112N08835W 2322N09108W 2323N09109W 2327N09114W 2332N09121W DUTNA WAHOO TBD</t>
  </si>
  <si>
    <t>S12R 2101N08651W NUDAL UV106 PODON UG765 MAXIM Y262 ZFP Y319 JAZZI DCT SAGGY DCT CHIEZ Q161 KALDA Q108 SIE CAMRN5</t>
  </si>
  <si>
    <t>N990AU</t>
  </si>
  <si>
    <t>UDGUV2A UDGUV 2053N08749W 2055N08756W 2118N08937W NOTEN UT37 AVRAV DCT KANNA DCT CRP DCT SAT/N0441F390 DCT CRGER DCT GUTZZ SOCKK4</t>
  </si>
  <si>
    <t>S12R T12R6 2058N08644W NUDAL UV106 PODON UG765 MAXIM DCT EADEN DCT PHK DCT CRANS DCT LENDS DCT COACH Y494 WHOOS/M084F390 Y494 VIRST M201 CARAC/N0483F410 DCT NICSO DCT 48N050W/M084F410 DCT 51N040W DCT 52N030W DCT 52N020W DCT LIMRI/N0486F410 DCT XETBO DCT LODLA DCT ELTIG DCT NORLA DCT FONZU DCT ELRIP DCT OTMET OTMET1G</t>
  </si>
  <si>
    <t>S12R T12R6 UN418 UN409 UN419 2051N08731W 2050N08736W 2108N08826W 2109N08828W IPSEV L207 VUH DCT IAH DCT ACT DCT KA39Y DCT ZIGEE NIIXX4</t>
  </si>
  <si>
    <t>UDGUV2A UDGUV 2047N08752W 2046N08754W 2052N08832W 2052N08833W 2101N08842W 2104N08847W NOTEN ULUMA EBDUB SESNO UJ15E RETOS RETOS1A</t>
  </si>
  <si>
    <t>N8701Q</t>
  </si>
  <si>
    <t>S12R T12R6 2100N08649W NC01 NUDAL UV106 PODON UG765 MAXIM Y262 GOPEY Q87 TIRCO/N0465F380 Q87 ZERBO/N0457F390 Q87 RAYVO Q113 AARNN DCT THHMP RAVNN9</t>
  </si>
  <si>
    <t>N934AG</t>
  </si>
  <si>
    <t>S12R 2102N08652W 2009N08653W 2001N08654W 1859N08731W 1852N08734W URNOS DCT CAT DCT</t>
  </si>
  <si>
    <t>1813N08746W</t>
  </si>
  <si>
    <t>S12R 2101N08651W SL0 NUDAL UV106 PODON UG765 MAXIM Y262 GOPEY Q87 TIRCO/N0467F340 Q87 ZERBO/N0463F350 Q87 LCAPE DCT RDU DCT BZNGA DCT DORRN CAVLR7</t>
  </si>
  <si>
    <t>S12R T12R6 UN418 UN409 UN419 UN432 2034N08831W 2034N08835W 2017N08906W 2015N08911W 2013N08924W 1943N09240W 1941N09246W 1959N09459W AVALI UT169 VITOS VITOS2A</t>
  </si>
  <si>
    <t>N309UL</t>
  </si>
  <si>
    <t>UDGUV2A UDGUV DCT 2049N08752W 2049N08755W 2055N08807W 2104N08826W PERGO UT37 SESNO DCT MTY UJ15 MOV UT3 AGNID DCT CUS DCT DRRVR PINNG1</t>
  </si>
  <si>
    <t>UDGUV2A UDGUV 2047N08751W 2044N08801W 2041N08813W 2037N08826W 2030N08850W 2031N08853W 2038N09130W 2040N09137W 2102N09322W 2129N09447W UKROR UT46 TAM UJ15 CVM UJ38 RUDLO UT11 SINLO SINLO2B</t>
  </si>
  <si>
    <t>2130N09459W</t>
  </si>
  <si>
    <t>UDGUV2A UDGUV UJ84 X84 2038N08823W 2029N08844W 2025N08845W 2022N08854W 2021N08858W 2032N09255W 2017N09340W 2025N09437W 2026N09445W PAZ UT104 LENUL DCT</t>
  </si>
  <si>
    <t>S12R T12R6 2059N08644W 2106N08618W 2112N08610W 2113N08603W 2144N08505W MAXIM DCT EYW DCT TRV DCT SNNTA DCT ISO DCT COUPN DCT LAFLN DCT RBV Q22 FOXWD DCT EBONY N567B TUDEP/M084F390 NATW DOGAL/M081F390 NATW BEXET/N0460F390 DCT BOFUM Q37 MALUD MALUD1M</t>
  </si>
  <si>
    <t>2124N08543W</t>
  </si>
  <si>
    <t>S12R T12R6 UN418 UN409 UN419 2051N08731W 2050N08737W 2043N08850W 2045N08852W 2402N09154W 2426N09205W SEAGL L207 MUSYL/N0461F360 L207 VUH DCT FUZ DCT DRAWL DCT MBW DCT GTF DCT COUTS DCT EBGAL EBGAL7</t>
  </si>
  <si>
    <t>2429N09207W</t>
  </si>
  <si>
    <t>S12R T12R6 UN418 UN409 2054N08706W 2050N08740W UDGUV 2045N08756W 2036N08820W CME UJ9 VSA DCT</t>
  </si>
  <si>
    <t>CCBAC</t>
  </si>
  <si>
    <t>S12R T12R6 UN415 2052N08635W OMIRO/N0451F330 UN420 TBG UL780 UGUPI/N0459F350 UL780 TRU UV1 ATATU ATATU4</t>
  </si>
  <si>
    <t>2003N08552W</t>
  </si>
  <si>
    <t>N948AN</t>
  </si>
  <si>
    <t>S12R T12R6 UN415 UN413 2106N08617W 2108N08614W MAXIM SNDBR3</t>
  </si>
  <si>
    <t>UDGUV2A UDGUV 2056N08759W MR240 2103N08829W 2104N08835W NOTEN SESNO UJ15E RETOS RETOS1B</t>
  </si>
  <si>
    <t>N892DN</t>
  </si>
  <si>
    <t>S12R T12R6 UN418 UN409 2053N08714W 2044N08746W 2050N08803W 2051N08806W 2104N08828W 2102N08830W 2103N08834W 2105N08840W NOTEN UT37 EBDUB DCT ETMES UJ53 REX DCT LRD DCT DLF DCT INK J15 CME DCT CNX DCT RSK DCT RIFMN DCT HELPR JAZZZ1</t>
  </si>
  <si>
    <t>XAVSP</t>
  </si>
  <si>
    <t>S12R T12R6 UN418 UN409 2055N08702W 2058N08718W 2038N08823W 2035N08835W 2033N08853W 2032N08858W 1900N09322W 1858N09348W MEBAS UT112 LARLO DCT OVAGO UT123 IGSON IGSON1A</t>
  </si>
  <si>
    <t>1851N09511W</t>
  </si>
  <si>
    <t>S12R T12R6 UN418 UN409 2054N08710W 2042N08722W 2045N08728W 2040N08736W 1905N08952W 1853N09016W 1828N09102W SAXAV V51 TGZ</t>
  </si>
  <si>
    <t>N978CC</t>
  </si>
  <si>
    <t>S12R T12R6 UN418 UN409 2053N08716W 2041N08737W 2048N08757W 2049N08800W 2052N08808W 2054N08813W 2058N08824W 2100N08830W PERGO UT37 BESOG MAM DCT CRP DCT</t>
  </si>
  <si>
    <t>2336N09412W</t>
  </si>
  <si>
    <t>S12R T12R6 UN418 UN409 2053N08711W 2044N08736W 2043N08744W 2044N08747W 2046N08750W 2054N08802W 2103N08818W 2122N09022W NOTEN SESNO UJ15E RETOS RETOS1A</t>
  </si>
  <si>
    <t>S12R T12R6 UN418 UN409 2055N08703W 2055N08728W 2055N08733W 2058N08751W 2100N08803W LOKMA 2227N09208W BRO J25 CRP DCT SAT/N0442F390 DCT CRGER DCT GUTZZ SOCKK4</t>
  </si>
  <si>
    <t>2344N09401W</t>
  </si>
  <si>
    <t>N4304</t>
  </si>
  <si>
    <t>S12R T12R6 2100N08648W ALYRE TAKUX UM782 OMIRO/N0451F370 UN420 SPP UP530 KAKOL/N0453F370 DCT RNG UQ121 ISVAT ISVA5E</t>
  </si>
  <si>
    <t>N37538</t>
  </si>
  <si>
    <t>S12R T12R6 UN418 UN409 UN419 2052N08725W 2056N08731W 2100N08736W 2126N08805W IPSEV DCT SEAGL NNCEE2</t>
  </si>
  <si>
    <t>TAKUX2A TAKUX UM782 OMIRO/N0450F370 UN420 PELRA DCT SPP DCT SEKMA OSUPA2</t>
  </si>
  <si>
    <t>N7749B</t>
  </si>
  <si>
    <t>S12R T12R6 2100N08651W 2051N08733W 2051N08740W IPSEV L207 SEAGL BAYYY5</t>
  </si>
  <si>
    <t>N8720L</t>
  </si>
  <si>
    <t>S12R 2058N08650W 2057N08651W UDGUV 2048N08748W 2047N08754W 2046N08757W 2043N08815W 2046N08827W 2048N08829W IPSEV L207 MUSYL DCT SBI DCT ACT DCT ABI DCT TXO J72 GUP DCT HAHAA RKSTR4</t>
  </si>
  <si>
    <t>UDGUV2A UDGUV DCT 2047N08755W 2044N08817W 2047N08826W NOTEN UT37 EBDUB DCT NUGUS/N0457F370 UJ59 MAM/N0459F360 DCT KH72C DCT DOBBY DCT KF15A/N0456F380 DCT TURKI DCT EKR DCT PIH DCT SUMOQ DCT PAE GRIZZ1</t>
  </si>
  <si>
    <t>S12R T12R6 UN418 UN409 UN419 2051N08728W 2052N08732W 2108N08803W IPSEV/M079F360 L207 MUSYL/N0464F360 L207 VUH DCT IAH DCT LOA DCT FUZ J58 SPS DCT BGD DCT TBE DCT KD45W DCT KD54U DCT KU69Q DCT PIH J20 DNJ DCT PDT J20 YKM DCT PAE GRIZZ1</t>
  </si>
  <si>
    <t>UDGUV2A UDGUV 2048N08752W 2048N08756W 2045N08815W 2045N08819W 2045N08824W LIDAM UT23 TAM UJ14 TMN UT147 SLP</t>
  </si>
  <si>
    <t>N930AV</t>
  </si>
  <si>
    <t>S12R 2101N08651W TAKUX UM782 OMIRO/N0451F390 UN420 SPP UP530 KAKOL DCT RNG UQ121 ISVAT ISVA5E</t>
  </si>
  <si>
    <t>LIDEK2A LIDEK B881 CZM</t>
  </si>
  <si>
    <t>S12R T12R6 UN418 2107N08657W 2109N08657W 2110N08659W 2113N08703W 2115N08704W 2117N08704W 2120N08703W 2122N08703W 2132N08704W 2133N08705W 2209N08717W 2207N08722W 2208N08728W OMPAN OMPAN1A</t>
  </si>
  <si>
    <t>S12R T12R6 UN418 2056N08655W 2044N08708W 2039N08711W 2020N08724W 2033N08806W CT500 2137N09302W 2138N09305W TMN UT147 AGU UT44 MEZCA MEZCA1A</t>
  </si>
  <si>
    <t>S12R T12R6 UN418 2056N08656W 2041N08718W 2027N08741W 2132N09114W 2306N09440W SESNO UJ15E RETOS RETOS1A</t>
  </si>
  <si>
    <t>2309N09447W</t>
  </si>
  <si>
    <t>S12R T12R6 UN415 UN413 2104N08620W 2106N08615W MAXIM DCT EYW DCT VKZ DCT NUCAR A699 LOUIZ/M081F370 A699 SUMRS/M081F390 M204 SOORY DCT 43N050W 4530N04000W 48N030W 4930N02000W DCT SOMAX DCT ATSUR DCT LULOX/N0457F390 DCT SIDDI/N0382F270 DCT DAWLY DCT ELRIP DCT OTMET OTMET1G</t>
  </si>
  <si>
    <t>XAJGQ</t>
  </si>
  <si>
    <t>S12R T12R6 UN418 UN409 2054N08703W 2041N08710W 2012N08729W 2016N08744W 2015N08746W 2016N08749W 2027N08828W UBVOV UT101 UMAVO/N0462F300 UT101 ENAGA ENAGA3A</t>
  </si>
  <si>
    <t>VIV2244</t>
  </si>
  <si>
    <t>S12R T12R6 2057N08653W 2041N08711W 2022N08738W MID DCT NOTEN UT37 SESNO UJ15E RETOS RETOS1A</t>
  </si>
  <si>
    <t>S12R T12R6 UN418 UN409 2054N08710W 2032N08732W 2031N08733W 2031N08736W 2119N09128W 2121N09135W TMN DCT MORAS UJ17 QET</t>
  </si>
  <si>
    <t>ECMLT</t>
  </si>
  <si>
    <t>S12R 2101N08650W NC011 NUDAL UV106 PODON UG765 MAXIM Y262 CANVI/M085F390 Y262 ZFP DCT CNNOR M328 ANTIG DCT BALOO DCT 35N060W/M084F410 39N050W 4230N04000W 44N030W 4330N02000W DCT ARMED/N0481F410 DCT EPOPO/N0482F400 DCT ADORO L155 ZMR</t>
  </si>
  <si>
    <t>S12R T12R6 2039N08713W 2032N08718W 2030N08722W TL604 2031N08749W NAPRI NAPRI1A</t>
  </si>
  <si>
    <t>S12R 2100N08648W 2131N08641W 2137N08635W 2151N08623W 2154N08622W 2202N08616W 2201N08611W 2207N08602W CANOA Y196 TUNSL Y262 GOPEY Q87 TIRCO/N0458F360 Q87 ZERBO/N0456F370 Q87 VIYAP Q69 GURGE DCT CAE DCT LUNDD/N0450F390 Q69 RICCS DCT OXMAN LINNG3</t>
  </si>
  <si>
    <t>2208N08601W</t>
  </si>
  <si>
    <t>S12R 2101N08651W 2058N08655W 2100N08715W 2100N08731W 2053N08845W 2057N09011W ELURA UMAVO UT101 ENAGA ENAGA3A</t>
  </si>
  <si>
    <t>S12R T12R6 UN418 UN409 2038N08733W 1916N09031W 1853N09120W CME NOPON UJ9 VSA</t>
  </si>
  <si>
    <t>S12R T12R6 UN418 UN409 2056N08703W 2101N08725W 2058N09021W ELURA UMAVO UT101 ENAGA ENAGA3A</t>
  </si>
  <si>
    <t>S12R T12R6 UN418 UN409 2055N08706W 2100N08714W 2057N09011W ELURA VITOS VITOS2A</t>
  </si>
  <si>
    <t>XAVIU</t>
  </si>
  <si>
    <t>S12R 2101N08650W 2100N08634W TAKUX UM782 OMIRO UN420 SPP DCT VUNIB DCT SIROT DCT KUBEK DCT RNG DCT ISVAT ISVAT5E</t>
  </si>
  <si>
    <t>S12R T12R6 UN418 2056N08655W 2043N08708W 2037N08850W 2035N08955W 2035N08956W 2020N09500W UMAVO UT101 ENAGA ENAGA3A</t>
  </si>
  <si>
    <t>S12R T12R6 UN418 UN409 2058N08708W 2058N08728W DURPI DCT 2050N09003W 2016N09501W ELVED UT104 LENUL LENUL3A</t>
  </si>
  <si>
    <t>DANRI</t>
  </si>
  <si>
    <t>S12R T12R6 UN415 2059N08638W NUDAL UV106 PODON UG765 MAXIM DCT EYW DCT LAL/N0473F380 DCT JINOS/N0469F390 DCT ETORE DCT CRG DCT SAV DCT VAN DCT FLO DCT CVI DCT ORF/M081F390 DCT LINND/N0466F390 DCT VITOL N293B MUSAK/M081F390 DCT 4830N05000W 51N040W 52N030W 5230N02000W DCT TOBOR/N0471F390 DCT RILED DCT BANBA DCT DIQSE DCT ICOSA DCT RUHUN DCT UNZIB DCT NUCHU L607 KONAN DCT KOK DCT SPI T180 NIVNU/N0396F310 T847 TUTOV TUTOV1A</t>
  </si>
  <si>
    <t>EIXIN</t>
  </si>
  <si>
    <t>S12R T12R6 UN412 2141N08625W 2149N08623W 2201N08602W CANOA Y196 LULLS DCT EYW DCT VKZ DCT WOLFO/N0486F370 DCT SNAGY/M083F370 M203 WILYY/M082F370 DCT KINER M202 MUNEY/M085F370 DCT 40N060W DCT 43N050W DCT 46N040W/M085F390 DCT 47N030W DCT 47N025W DCT 47N020W DCT 47N010W DCT BUNAV/M083F390 DCT TIVLU/N0466F390 DCT GALOF DCT CNA DCT LERGA DCT TOZOT DCT OTROT DCT RETNO DCT KOLON DCT RAPUR DCT RATAP/N0402F280 DCT BTA DCT MOULE DCT XOPTA DCT ELB DCT ELKAP ELKAP3A</t>
  </si>
  <si>
    <t>2202N08601W</t>
  </si>
  <si>
    <t>S12R T12R6 UN418 UN409 2056N08706W 2057N08740W LOKMA 2116N09026W 2116N09028W 2147N09502W SLP UT147 AGU UT44 MEZCA MEZCA1A</t>
  </si>
  <si>
    <t>S12R T12R6 UN418 2055N08735W 2052N09015W ELURA UMAVO UT101 ENAGA ENAGA3A</t>
  </si>
  <si>
    <t>S12R T12R6 UN418 2100N08656W UDGUV UT78 DURPI DCT UBVOV UT101 ENAGA ENAGA3A</t>
  </si>
  <si>
    <t>UDGUV2A UDGUV UT78 VIKMO 2035N09231W 2032N09255W 2021N09458W ENAGA ENAGA3A</t>
  </si>
  <si>
    <t>UDGUV2A UDGUV UT78 VIKMO 2047N09316W VITOS VITOS2A</t>
  </si>
  <si>
    <t>UDGUV2A UDGUV UT78 VIKMO 2045N09302W 2034N09436W 2037N09508W UMAVO/N0459F300 UT101 ENAGA ENAGA3A</t>
  </si>
  <si>
    <t>S12R T12R6 2100N08648W NC01 2058N08632W 2055N08625W 2046N08610W NUDAL UR506 KALNO VETSI2A</t>
  </si>
  <si>
    <t>S12R T12R6 2059N08651W UDGUV 2017N09051W 2009N09101W 2000N09118W 1956N09134W 1950N09151W 1950N09152W 1944N09317W 1947N09345W 1952N09401W 1952N09403W 1951N09418W 1949N09434W OMPAN OMPAN1A</t>
  </si>
  <si>
    <t>HP9819</t>
  </si>
  <si>
    <t>S12R T12R6 2054N08644W 2034N08640W 2025N08636W 2016N08633W PELRA DCT SPP DCT SEKMA OSUPA2</t>
  </si>
  <si>
    <t>1948N08613W</t>
  </si>
  <si>
    <t>UDGUV2A UDGUV UBVOV UT101 VOKIR/N0459F340 UT101 UMAVO/N0454F300 UT101 ENAGA ENAGA3A</t>
  </si>
  <si>
    <t>S12R T12R6 UN418 UN409 NOTEN UT37 SESNO UJ15E RETOS RETOS1A</t>
  </si>
  <si>
    <t>S12R 2101N08651W NC14 2059N08724W 2059N08731W DUTNA L208 SBI/N0363F280 DCT CRIED WHINY4</t>
  </si>
  <si>
    <t>XAUTR</t>
  </si>
  <si>
    <t>SR22</t>
  </si>
  <si>
    <t>S12R 2102N08651W T12R6 PAULE G765 CTM</t>
  </si>
  <si>
    <t>XAKUA</t>
  </si>
  <si>
    <t>TNCA</t>
  </si>
  <si>
    <t>S12R T12R6 UN415 2047N08631W 2032N08623W 2027N08618W 2027N08615W MAMBI UR640 MLY UL332 ABA</t>
  </si>
  <si>
    <t>2015N08521W</t>
  </si>
  <si>
    <t>N67845</t>
  </si>
  <si>
    <t>UDGUV2A UDGUV DCT 2053N08852W 2054N08858W PERGO UT22 ILOLI UL207 IPSEV L207 SEAGL NNCEE2</t>
  </si>
  <si>
    <t>UDGUV2A UDGUV UT78 VIKMO 2048N09140W UBVOV UT101 UMAVO/N0459F300 UT101 ENAGA ENAGA3A</t>
  </si>
  <si>
    <t>N379DA</t>
  </si>
  <si>
    <t>NUDAL1A NUDAL UV106 PODON UG765 MAXIM Y262 TUNSL DCT PHK DCT MATLK Q77 SHRKS DCT LAIRI/N0473F340 DCT LARZZ SITTH3</t>
  </si>
  <si>
    <t>S12R T12R6 UN415 2058N08641W 2109N08621W 2110N08621W 2113N08610W 2113N08608W 2116N08558W FRANT UG765 MAXIM Y262 GOPEY Q87 TIRCO/N0460F360 Q87 ZERBO/N0458F370 Q87 ALWZZ DCT OGRAE Q99 QUART PHLBO4</t>
  </si>
  <si>
    <t>S12R T12R6 UN415 UN413 SEVKA 2112N08559W 2112N08555W 2112N08552W 2111N08550W 2111N08543W UNG XOTIK UL212 ONPAD DCT PETRI W28 BEREL DCT</t>
  </si>
  <si>
    <t>2112N08537W</t>
  </si>
  <si>
    <t>UDGUV2A UDGUV UT78 MEDOS UT20 UBVOV UT101 UMAVO/N0460F300 UT101 ENAGA ENAGA3A</t>
  </si>
  <si>
    <t>N631FR</t>
  </si>
  <si>
    <t>S12R 2101N08651W 2100N08650W 2101N08649W 2102N08648W 2103N08646W SR08 2132N08652W 2136N08653W 2220N08706W KEHLI A766 SBI DCT CRIED WHINY4</t>
  </si>
  <si>
    <t>UDGUV2A UDGUV 2049N08756W 2049N08806W 2103N08855W 2105N08902W NOTEN UT37 SESNO/N0459F220 UJ15E RETOS RETOS1A</t>
  </si>
  <si>
    <t>MMCT</t>
  </si>
  <si>
    <t>N171UT</t>
  </si>
  <si>
    <t>C510</t>
  </si>
  <si>
    <t>S12R T12R6 UN418 UN409 UN419 2052N08721W 2052N08723W 2054N08828W 2054N08831W PERGO UT37 EBDUB DCT NUGUS UJ59 MAM DCT BRO</t>
  </si>
  <si>
    <t>S12R T12R6 2058N08652W 2058N08657W 2058N08659W UKOKO UT78 DURPI DCT UBVOV UT101 UMAVO UT104 LENUL LENUL3A</t>
  </si>
  <si>
    <t>UDGUV2A UDGUV UT78 XOLRO/N0451F380 UT78 MEDOS DCT UBVOV UT20 TAJIN DCT VITOS VITOS2A</t>
  </si>
  <si>
    <t>S12R T12R6 UN418 UN409 2051N08727W 2050N08734W MID DCT NOTEN UT37 SESNO UJ15E RETOS RETOS1A</t>
  </si>
  <si>
    <t>N655FR</t>
  </si>
  <si>
    <t>S12R 2101N08650W 2105N08649W NC07 2123N08651W 2129N08652W 2141N08659W IRDOV L214 LEV DCT MCB J35 SQS/N0434F390 J35 MEM/N0432F380 J187 FTZ TRTLL6</t>
  </si>
  <si>
    <t>N785V</t>
  </si>
  <si>
    <t>S12R T12R6 CZA UT20 PAZ UT104 LENUL DCT</t>
  </si>
  <si>
    <t>S12R T12R6 UN418 UN409 2052N08720W 2052N08724W UBVOV UT20 PAZ UT104 ELVED/N0423F300 UT104 LENUL/N0392F240 LENUL2B</t>
  </si>
  <si>
    <t>S12R T12R6 UN418 UN409 UN419 UBVOV UT101 UMAVO UT169 VITOS VITOS2A</t>
  </si>
  <si>
    <t>UDGUV2A UDGUV DCT 2055N08917W 2056N08921W NOTEN UT37 SESNO UJ15E RETOS RETOS1A</t>
  </si>
  <si>
    <t>S12R T12R6 UN415 2059N08638W 2057N08621W 2107N08558W 2109N08553W 2112N08543W NUDAL UV106 PODON UG765 EMOVI UG765 MAXIM SNDBR3</t>
  </si>
  <si>
    <t>CGEJL</t>
  </si>
  <si>
    <t>OMSUK2A OMSUK UM219 ROTGI 2157N08639W XOPGI LENUK UB646 CANOA Y196 TUNSL Y262 GOPEY Q87 TIRCO/N0469F360 Q87 ZERBO/N0466F370 Q87 VIYAP Q69 GURGE DCT CAE DCT LUNDD/N0457F390 Q69 RICCS DCT OXMAN LINNG3</t>
  </si>
  <si>
    <t>S12R UDGUV UT78 DURPI DCT UBVOV UT101 UMAVO/N0438F300 UT101 ENAGA ENAGA3A</t>
  </si>
  <si>
    <t>S12R 2050N08736W DURPI DCT LIDAM UT23 TAM UJ14 TMN UT147 AGU UT44 MEZCA MEZCA1A</t>
  </si>
  <si>
    <t>UDGUV2A UDGUV 2048N08754W 2331N09114W 2334N09118W 2351N09131W 2358N09136W 2405N09141W 2417N09151W SEAGL PUCKS4</t>
  </si>
  <si>
    <t>2429N09201W</t>
  </si>
  <si>
    <t>N132AN</t>
  </si>
  <si>
    <t>S12R T12R6 UN415 UN413 2110N08605W 2110N08552W NUDAL UV106 PODON UG765 MAXIM DCT EADEN DCT PHK DCT CRANS DCT LENDS DCT OZENA AR18 FLRDA DCT ECG DCT ORF/N0418F290 DCT SAWED DCT KALDA Q167 ZJAAY JIIMS4</t>
  </si>
  <si>
    <t>S12R SR00 SR01 SR02 SR03 SR04 SR05 SR06 SR07 NOSUG 2221N08658W 2228N08659W KEHLI A766 SBI DCT EIC/N0452F390 DCT LIT DCT ARG BOOSH3</t>
  </si>
  <si>
    <t>S12R 2051N08730W UBVOV DCT UMAVO UT101 ENAGA ENAGA3A</t>
  </si>
  <si>
    <t>N77571</t>
  </si>
  <si>
    <t>S12R SR00 SR01 SR02 SR03 SR04 ROTGI 2205N08637W 2206N08637W 2211N08634W LENUK UB646 CANOA Y196 TUNSL Y262 GOPEY Q87 TIRCO/N0461F360 Q87 ZERBO/N0461F370 Q87 LCAPE DCT RDU DCT BZNGA/N0430F280 DCT DORRN CAVLR7</t>
  </si>
  <si>
    <t>XAVDI</t>
  </si>
  <si>
    <t>S12R T12R6 UN418 UN409 UN419 UN432 2051N08736W UBVOV UT20 TAJIN DCT VITOS VITOS2A</t>
  </si>
  <si>
    <t>S12R T12R6 2101N08636W 2110N08621W 2111N08618W 2122N08559W 2133N08536W PODON UG765 MAXIM Y262 LULLS DCT GOPEY Q87 ONEWY/N0454F340 Q87 ZERBO/N0455F350 Q87 VIYAP Q69 EWESS/N0450F370 Q69 RICCS DCT OXMAN LINNG3</t>
  </si>
  <si>
    <t>2129N08545W</t>
  </si>
  <si>
    <t>S12R T12R6 UN418 UN409 UN419 UN432 2050N08734W 2050N08737W 2050N08856W 2050N08859W LIDAM UT23 TAM/N0450F360 UJ14 TMN UT147 SLP UJ40 LIBOL LIBOL1B</t>
  </si>
  <si>
    <t>HP1845</t>
  </si>
  <si>
    <t>S12R 2101N08651W CN01 2055N08644W 2052N08641W 2028N08634W 2010N08627W 2000N08627W 1940N08623W CISNE UN420 PELRA DCT SPP DCT SEKMA OSUPA2</t>
  </si>
  <si>
    <t>1939N08622W</t>
  </si>
  <si>
    <t>UDGUV2A UDGUV DCT 2051N08824W 2051N08826W 2354N09542W 2413N09616W LIBOX DCT MOV/N0454F380 UT3 URKOM UJ54 CJS DCT</t>
  </si>
  <si>
    <t>2317N09437W</t>
  </si>
  <si>
    <t>S12R T12R6 UN402 UN408 2033N08654W 2026N08706W 2018N08713W CTM UG765 AUR DCT</t>
  </si>
  <si>
    <t>N907AN</t>
  </si>
  <si>
    <t>S12R 2101N08651W NOSUG 2204N08657W 2209N08657W KEHLI A766 KELPP DCT VUH DCT DBOYS WLEEE7</t>
  </si>
  <si>
    <t>UDGUV2A UDGUV UT78 XOLRO 2049N09022W 2049N09031W 2132N09459W TMN UJ14 QET UJ17 MLM</t>
  </si>
  <si>
    <t>2132N09459W</t>
  </si>
  <si>
    <t>S12R T12R6 2058N08644W W30L4 ALYRE TAKUX UM782 OMIRO UN420 PELRA DCT SPP DCT SEKMA OSUPA2</t>
  </si>
  <si>
    <t>UDGUV2A UDGUV DCT MID DCT LIDAM UT23 TAM UJ14 TMN UT147 AGU UT44 MEZCA MEZCA1A</t>
  </si>
  <si>
    <t>UDGUV2A UDGUV 2047N08752W 2047N08754W PQE/N0382A180 V51 TGZ DCT</t>
  </si>
  <si>
    <t>UDGUV2A UDGUV UJ84 CZA UT20 TAJIN VITOS VITOS2A</t>
  </si>
  <si>
    <t>S12R 2059N08647W 2102N08646W 2148N08655W 2155N08658W KEHLI A766 SBI DCT LUKKN WLEEE7</t>
  </si>
  <si>
    <t>S12R T12R6 2054N08642W 2041N08639W 2008N08638W OMIRO UN420 PELRA DCT SPP DCT SEKMA OSUPA2</t>
  </si>
  <si>
    <t>1949N08612W</t>
  </si>
  <si>
    <t>S12R T12R6 UN415 2101N08642W 2118N08616W 2120N08613W 2124N08610W 2137N08556W FRANT UG765 MAXIM Y262 LULLS DCT GOPEY Q87 ONEWY/N0456F340 Q87 ZERBO/N0456F350 Q87 OVENP/N0455F370 Q87 VIYAP Q69 RICCS DCT PSB DCT SYR DCT ART IMPAC4</t>
  </si>
  <si>
    <t>2140N08551W</t>
  </si>
  <si>
    <t>N989AU</t>
  </si>
  <si>
    <t>UDGUV2A UDGUV 2051N08819W 2051N08821W 2114N08906W 2116N08909W DUTNA L208 SBI DCT CRIED WHINY4</t>
  </si>
  <si>
    <t>S12R T12R6 2059N08646W 2110N08626W FRANT UG765 MAXIM BHHIA3</t>
  </si>
  <si>
    <t>XAVLC</t>
  </si>
  <si>
    <t>S12R T12R6 2059N08654W 2050N08809W 2049N08811W 2053N08900W 2053N08902W LIDAM UT23 TAM UJ14 TMN DCT MORAS UJ17 QET</t>
  </si>
  <si>
    <t>UDGUV2A UDGUV 2049N08752W 2049N08756W 2055N08810W 2102N08819W 2149N08850W 2248N08925W 2252N08928W 2256N08929W DUTNA L208 PEGLG/N0448F400 L208 SBI DCT CRIED WHINY4</t>
  </si>
  <si>
    <t>S12R T12R6 UN418 UN409 UN419 UN432 DUTNA L208 SBI/N0467F330 DCT ELD/N0465F350 DCT LIT J180 FTZ TRTLL6</t>
  </si>
  <si>
    <t>N584UW</t>
  </si>
  <si>
    <t>NUDAL1A NUDAL UV106 PODON UG765 MAXIM DCT EADEN DCT PHK DCT CRANS DCT LENDS DCT OZENA/N0462F350 AR18 FLRDA DCT ECG/N0454F370 DCT ORF/N0422F290 DCT SAWED DCT KALDA Q167 ZJAAY JIIMS4</t>
  </si>
  <si>
    <t>S12R T12R6 2058N08652W 2056N08658W 2056N08752W 2056N08820W 2056N08822W 2103N08846W NOTEN UT37 SESNO UJ15E RETOS RETOS1A</t>
  </si>
  <si>
    <t>S12R T12R6 2100N08651W 2053N08739W 2053N08741W UBVOV UT101 UMAVO/N0461F300 UT101 ENAGA ENAGA3A</t>
  </si>
  <si>
    <t>S12R TAKUX UM782 OMIRO/N0452F390 UN420 SPP UP530 KAKOL DCT RNG UQ121 ISVAT ISVA5E</t>
  </si>
  <si>
    <t>N295WN</t>
  </si>
  <si>
    <t>S12R T12R6 2058N08646W 2057N08643W NC22 NUDAL UV106 PODON UG765 MAXIM Y262 GOPEY Q87 TIRCO/N0460F360 Q87 ZERBO/N0452F390 Q87 RAYVO Q113 AARNN DCT THHMP RAVNN9</t>
  </si>
  <si>
    <t>NDL10</t>
  </si>
  <si>
    <t>CFJIC</t>
  </si>
  <si>
    <t>S12R SR00 SR01 SR02 SR03 SR04 2144N08641W LENUK UB646 CANOA DCT EYW DCT ZEGEE DCT RAJAY DCT</t>
  </si>
  <si>
    <t>N592DT</t>
  </si>
  <si>
    <t>S12R T12R6 UN415 UN413 2111N08602W PODON UG765 MAXIM Y262 GOPEY DCT DVALL DCT HEDLY DCT STYMY DCT ZERBO Q87 JROSS DCT YURCK Q109 DFENC DCT SAWED Q108 SIE CAMRN5</t>
  </si>
  <si>
    <t>2126N08544W</t>
  </si>
  <si>
    <t>S12R T12R6 UN418 UN409 UN419 2050N08731W 1808N09359W 1800N09412W OMATO UJ16 OAX</t>
  </si>
  <si>
    <t>NUDAL1A NUDAL UV106 PODON UG765 MAXIM Y262 LULLS DCT WIGNA DCT FIPES/N0473F340 DCT FERAL BLFRG3</t>
  </si>
  <si>
    <t>S12R SR00 SR01 SR02 SR03 SR04 SR05 2129N08650W IRDOV L214 LEV J35 MCB/N0451F410 J35 MEM/N0451F400 J35 FAM/N0448F410 DCT SPI DCT PHEEB ENDEE8</t>
  </si>
  <si>
    <t>S12R SR00 SR01 SR02 SR03 2140N08653W 2221N08706W 2222N08707W 2229N08709W KEHLI A766 KELPP/N0467F320 A766 SBI DCT ACT DCT KF12C DCT ROTAN DCT KA24W DCT HAPEE/N0462F340 DCT KA30Q DCT KL33O DCT PGS DCT BLD DCT BTY DCT RUSME DYAMD5</t>
  </si>
  <si>
    <t>N301DV</t>
  </si>
  <si>
    <t>S12R SR00 SR01 SR02 SR03 SR04 2141N08653W 2218N08658W 2232N08703W 2251N08719W KEHLI A770 LEV DCT MERDN/N0465F350 DCT ORRKK GNDLF3</t>
  </si>
  <si>
    <t>N68843</t>
  </si>
  <si>
    <t>S12R SR00 SR04 2135N08652W 2138N08653W 2206N08709W 2207N08710W 2209N08711W KEHLI A766 KELPP NNCEE2</t>
  </si>
  <si>
    <t>S12R T12R6 NUDAL UV106 PODON UG765 MAXIM Y262 LULLS DCT EYW DCT KARTR/N0451F340 DCT RSW DCT LAL/N0451F350 DCT CYNTA DCT PONZE BANKR8</t>
  </si>
  <si>
    <t>S12R SR00 SR01 SR02 NOSUG 2157N08656W 2159N08656W 2204N08657W 2205N08657W 2220N08705W 2312N08737W 2349N08755W 2346N08812W 2350N08820W KEHLI A770 LEV J31 HRV/N0468F330 DCT MCB J35 MCGEE DCT IZAAC/N0466F270 DCT XESSS DCT MEMFS DCT VISQA J29 PXV DCT WWODD HANBL3</t>
  </si>
  <si>
    <t>S12R SR00 SR01 SR02 NOSUG 2244N08700W 2251N08703W KEHLI A766 KELPP DCT KCEEE DCT AEX/N0445F350 DCT JODOX DCT LIT/N0436F340 DCT SGF/N0439F350 DCT WELTS TRTLL6</t>
  </si>
  <si>
    <t>CGKXH</t>
  </si>
  <si>
    <t>S12R SR00 SR01 SR02 NOSUG UT27 OMVIP UT45 ALKIM DCT IRDOV L214 DAGGR/N0444F380 DCT PLNDR/N0441F390 DCT HRV DCT IGB DCT BWG DCT FLM DCT APE DCT ACO DCT OXMAN LINNG3</t>
  </si>
  <si>
    <t>S12R T12R6 UN418 UN409 2052N08719W 2051N08724W MID DCT LIDAM UT23 TAM UJ14 TMN DCT MORAS UJ17 QET DCT</t>
  </si>
  <si>
    <t>UDGUV2A UDGUV DCT 2056N08923W 2056N08925W LIDAM UT23 TAM UJ14 TMN DCT MORAS UJ17 QET</t>
  </si>
  <si>
    <t>S12R SR00 SR01 SR02 SR03 SR04 2106N08648W 2112N08647W NOSUG UT27 OMVIP 2305N08703W IRDOV/M078F380 L214 PLNDR/N0456F380 L214 LEV/N0454F370 DCT IRUBE DCT KM21M DCT BNA DCT QWERI NUBER6</t>
  </si>
  <si>
    <t>CGHPD</t>
  </si>
  <si>
    <t>S12R SR00 SR01 SR02 SR03 OMSUK 2158N08639W 2205N08638W LENUK UB646 CANOA Y196 TUNSL Y262 GOPEY Q87 TIRCO/N0467F340 Q87 ZERBO/N0466F350 Q87 VIYAP/N0461F370 Q87 NOWAE DCT BBOBO Q22 RBV DCT LLUND DCT CAM DCT JASDU DCT PBERG CARTR5</t>
  </si>
  <si>
    <t>S12R T12R6 UN418 UN409 UN419 2051N08728W UBVOV UT20 TAJIN DCT VITOS VITOS2A</t>
  </si>
  <si>
    <t>S12R SR00 SR01 SR02 SR03 SR04 NOSUG 2208N08701W IRDOV L214 LEV J35 MCB DCT LIT DCT KRTNY MHOMS3</t>
  </si>
  <si>
    <t>S12R T12R6 UN418 UN409 UN419 UN432 2050N08734W 2050N08737W 2052N08820W 2052N08821W NOTEN UT37 ULUMA DCT MTY UT11 SINLO SINLO1A</t>
  </si>
  <si>
    <t>S12R T12R6 2100N08650W SL00 TAKUX UM782 OMIRO UN420 SPP UP530 KAKOL UP530 REMUK DCT OPMEL OPME4A</t>
  </si>
  <si>
    <t>UDGUV2A UDGUV UT78 DURPI DCT NUBIT DCT RIBET UT101 ENAGA DCT OVAGO UT123 IKLOK/N0422F240 UT123 IGSON IGSON1A</t>
  </si>
  <si>
    <t>N545UW</t>
  </si>
  <si>
    <t>UDGUV2A UDGUV DCT 2051N08820W 2051N08824W NOTEN UT37 SESNO UJ15E RETOS RETOS1A</t>
  </si>
  <si>
    <t>S12R 2101N08652W CZM B764 BUKKY BUKKY1B</t>
  </si>
  <si>
    <t>N828JB</t>
  </si>
  <si>
    <t>S12R T12R6 UN415 UN413 MAXIM BHHIA3</t>
  </si>
  <si>
    <t>S12R 2101N08650W SR29 2053N08646W 2050N08646W 2024N08649W CTM UG765 IMATA/N0398F340 UG765 TIKIS TIKIS2C</t>
  </si>
  <si>
    <t>S12R T12R6 2100N08651W UDGUV DCT NOTEN UT37 SESNO UJ15E RETOS RETOS1A</t>
  </si>
  <si>
    <t>N8309C</t>
  </si>
  <si>
    <t>S12R T12R6 UN415 UN413 MAXIM Y262 LINEY DCT KUTNE MUNGI1</t>
  </si>
  <si>
    <t>UDGUV2A UDGUV UT78 DURPI DCT NOTEN UT37 ULUMA DCT MTY DCT TASTO DCT ILAMA UT41 NADIS DCT AVRIL UJ3 TANRI TANRI1B</t>
  </si>
  <si>
    <t>S12R SR00 SR01 SR02 SR03 SR04 SR05 ENEBA UT27 NOSUG 2203N08657W 2211N08702W 2222N08720W DUTNA L208 PEGLG/N0463F340 L208 SBI DCT KF15E DCT SLANT DCT KF27C DCT KK36A DCT TOTOE DCT HALEN NIIXX4</t>
  </si>
  <si>
    <t>N31412</t>
  </si>
  <si>
    <t>S12R 2101N08651W 2100N08649W 2059N08647W CN03 N12N ENEBA UT27 NOSUG 2213N08658W 2222N08658W KEHLI A766 KELPP NNCEE2</t>
  </si>
  <si>
    <t>S12R SR00 SR01 SR02 SR03 SR04 SR05 ENEBA UT27 NOSUG 2211N08657W 2219N08659W KEHLI A766 KELPP PUCKS4</t>
  </si>
  <si>
    <t>UDGUV2A UDGUV UT78 UKOKO 2049N08821W 2049N08823W NOTEN UT37 SESNO UJ15E RETOS RETOS1A</t>
  </si>
  <si>
    <t>N326DN</t>
  </si>
  <si>
    <t>S12R 2101N08651W 2100N08649W 2102N08647W 2104N08647W ENEBA UT27 NOSUG 2220N08658W 2231N08659W KEHLI A766 SBI DCT ELD/N0451F350 DCT LIT DCT IRK/N0448F360 DCT MNOSO BLUEM5</t>
  </si>
  <si>
    <t>N319DN</t>
  </si>
  <si>
    <t>S12R T12R6 UN415 UN413 SEVKA 2112N08559W 2119N08540W 2123N08530W PODON UG765 MAXIM DCT CYY DCT RSW DCT KPASA/N0453F340 DCT ENEME DCT AMG DCT LARZZ SITTH3</t>
  </si>
  <si>
    <t>UDGUV2A UDGUV UT78 MEDOS UT20 UBVOV UT101 UMAVO/N0462F300 UT101 ENAGA ENAGA3A</t>
  </si>
  <si>
    <t>N531JL</t>
  </si>
  <si>
    <t>S12R T12R6 UN415 MAXIM Y262 TUNSL DCT FEMID/N0468F340 Q118 KPASA Q99 DOFFY/N0463F350 Q99 POLYY DCT DADDS Q87 GEARS DCT BBOBO Q22 RBV Q419 JFK ROBUC3</t>
  </si>
  <si>
    <t>TCLLM</t>
  </si>
  <si>
    <t>S12R T12R6 UN415 UN413 MAXIM Y262 ZFP BR65V STIFF A699 SUMRS/M084F350 M327 KANUX DCT ANTIG M328 PIERC/M084F370 M328 BDA M330 BALOO DCT 36N060W/N0488F370 DCT 39N050W DCT 45N040W/M084F390 DCT 48N030W DCT 49N020W DCT KOGAD DCT BIMGO DCT GAPLI/N0484F390 DCT LIZAD/N0485F390 DCT JSY DCT TURDU DCT TADUP DCT TEPRI UN491 POGZI DCT GELTA DCT LUVAL/N0488F390 DCT BEGAR DCT TRA/N0485F390 DCT GAMSA/N0468F370 DCT GEDSO/N0470F370 DCT PODET/N0468F370 DCT NASSY DCT OKLOP DCT ETIDA T390 RILEX</t>
  </si>
  <si>
    <t>N188US</t>
  </si>
  <si>
    <t>S12R T12R6 UN415 UN413 MAXIM Y262 LULLS DCT EYW DCT KARTR/N0453F340 DCT RSW/N0447F320 DCT LAL/N0450F330 DCT CYNTA DCT PONZE BANKR8</t>
  </si>
  <si>
    <t>UDGUV2A UDGUV DCT 2052N08835W 2135N09234W 2136N09242W 2148N09500W TMN UT147 SLP UJ40 LIBOL LIBOL1B</t>
  </si>
  <si>
    <t>UDGUV2A UDGUV UJ84 IKLEK 2042N08813W NAPRI DURPI MID XUB08 S3613 MID</t>
  </si>
  <si>
    <t>S12R SR00 SR01 SR02 SR03 SR04 SR05 ENEBA UT27 NOSUG 2229N08659W 2235N08700W KEHLI A766 KELPP NNCEE2</t>
  </si>
  <si>
    <t>N975AN</t>
  </si>
  <si>
    <t>S12R 2100N08650W 2101N08648W 2102N08647W 2104N08646W ENEBA UT27 OMVIP UT45 ALKIM/N0453F360 DCT KEHLI A766 KELPP DCT KCEEE DCT AEX/N0445F370 DCT JODOX DCT LIT/N0442F360 DCT SGF/N0440F370 DCT WELTS TRTLL6</t>
  </si>
  <si>
    <t>S12R T12R6 UN418 UN409 2053N08718W 2053N08725W UBVOV UT101 UMAVO UT169 VITOS VITOS2A</t>
  </si>
  <si>
    <t>N64809</t>
  </si>
  <si>
    <t>S12R T12R6 UN418 UN409 MID NOTEN UT37 SESNO DCT MTY UT11 PPE J93 ASUTA DCT AMMOR OLAAA2</t>
  </si>
  <si>
    <t>N343PN</t>
  </si>
  <si>
    <t>UDGUV2A UDGUV MID UL208 DUTNA L208 SBI DCT CRIED WHINY4</t>
  </si>
  <si>
    <t>XAVUW</t>
  </si>
  <si>
    <t>S12R T12R6 UN418 UN409 UN419 2052N08724W 2047N08755W 2046N08800W 2048N09139W 2048N09142W ELVED/N0423F300 UT104 LENUL/N0385F250 LENUL2B</t>
  </si>
  <si>
    <t>N7833A</t>
  </si>
  <si>
    <t>S12R 2102N08652W 2101N08650W 2102N08649W 2104N08650W ENEBA 2138N08655W 2143N08656W 2303N08721W 2306N08723W 2314N08726W IRDOV L214 LEV J35 MCB/N0456F410 J35 MEM BOOSH3</t>
  </si>
  <si>
    <t>S12R T12R6 SEVKA NUDAL UV106 PODON UG765 MAXIM Y262 GOPEY Q87 TIRCO/N0466F360 Q87 ZERBO/N0457F390 Q87 RAYVO Q113 AARNN DCT THHMP RAVNN9</t>
  </si>
  <si>
    <t>S12R 2101N08651W 2100N08651W 2052N08839W 2052N08845W 2113N09029W 2114N09054W TMN UT147 SLP UJ40 LIBOL LIBOL1B</t>
  </si>
  <si>
    <t>S12R 2100N08649W 2102N08647W XHTN ENEBA UT27 NOSUG IRDOV DCT DAGGR DCT LEV/N0460F390 J31 MEI DCT IGB/N0459F380 DCT KISTS CHSNE3</t>
  </si>
  <si>
    <t>N579JB</t>
  </si>
  <si>
    <t>S12R 2100N08649W NC011 NUDAL UV106 PODON UG765 MAXIM Y262 TUNSL DCT KUTNE MUNGI1</t>
  </si>
  <si>
    <t>UDGUV2A UDGUV UT78 DURPI DCT UBVOV UT101 ENAGA ENAGA3A</t>
  </si>
  <si>
    <t>N660FR</t>
  </si>
  <si>
    <t>NUDAL1A NUDAL UV106 PODON UG765 MAXIM Y262 TUNSL DCT PHK/N0444F380 DCT TIRCO DCT MATLK Q77 MJAMS/N0444F370 Q77 SHRKS/N0443F360 DCT LAIRI DCT LARZZ SITTH3</t>
  </si>
  <si>
    <t>UDGUV2A UDGUV UT78 MEDOS/N0452F380 UT20 UBVOV UT101 UMAVO/N0452F300 UT101 ENAGA ENAGA3A</t>
  </si>
  <si>
    <t>N897DN</t>
  </si>
  <si>
    <t>NUDAL1A NUDAL UV106 PODON UG765 MAXIM DCT CYY DCT RSW DCT KPASA/N0474F340 DCT ENEME DCT AMG DCT LARZZ SITTH3</t>
  </si>
  <si>
    <t>XAVSO</t>
  </si>
  <si>
    <t>S12R T12R6 UN418 UN409 UN419 2051N08729W 2051N08758W 2115N09020W 2117N09027W TMN UT147 BOPAX BOPAX1B</t>
  </si>
  <si>
    <t>2145N09459W</t>
  </si>
  <si>
    <t>N37551</t>
  </si>
  <si>
    <t>S12R SR00 SR01 SR02 SR03 SR04 SR05 SR06 NOSUG 2211N08657W 2217N08658W KEHLI A766 KELPP/N0466F340 A766 SBI DCT KF15E DCT LEMYN DCT KF27C DCT ROLLS DCT TOTOE DCT HALEN NIIXX4</t>
  </si>
  <si>
    <t>N17593</t>
  </si>
  <si>
    <t>S12R 2101N08650W 2101N08647W CN04 2146N08654W NOSUG IRDOV L214 LEV/N0479F290 DCT MHZ/N0485F250 DCT BNA DCT PSK DCT UMBRE DCT QUART PHLBO4</t>
  </si>
  <si>
    <t>CCBLL</t>
  </si>
  <si>
    <t>S12R 2101N08651W ALSUP UB881 LANDA/N0449F350 UB881 BTO UZ498 MGA UZ512 LIXAS/N0442F370 UL203 ARNEL UM542 TAL UV1 ATATU ATATU4</t>
  </si>
  <si>
    <t>N869NN</t>
  </si>
  <si>
    <t>S12R SR00 SR01 SR02 SR03 SR04 NOSUG 2154N08656W 2220N08658W 2407N09013W 2412N09018W PEGLG L208 SBI DCT CRIED WHINY4</t>
  </si>
  <si>
    <t>2429N09034W</t>
  </si>
  <si>
    <t>ENEBA2A ENEBA UT27 OMVIP UT45 IRDOV/M079F360 L214 PLNDR/N0460F360 L214 LEV DCT ELD DCT FSM DCT LIDIC DCT LNCER DCT COUTS DCT EBGAL EBGAL7</t>
  </si>
  <si>
    <t>S12R T12R6 UN418 UN409 2054N08707W 2055N08710W 2055N08732W 2054N08748W 2054N08751W 2056N08907W 2142N09318W 2142N09324W TMN UT147 AGU UT44 MEZCA MEZCA1A</t>
  </si>
  <si>
    <t>N959JB</t>
  </si>
  <si>
    <t>S12R T12R6 NUDAL UV106 PODON UG765 MAXIM Y262 ZFP Y319 JAZZI/N0464F350 DCT SAGGY DCT CHIEZ Q161 KALDA Q108 SIE CAMRN5</t>
  </si>
  <si>
    <t>XAVXF</t>
  </si>
  <si>
    <t>S12R T12R6 2058N08652W N9S 2055N08703W 2055N08706W UBVOV DCT UMAVO UT101 ENAGA ENAGA3A</t>
  </si>
  <si>
    <t>S12R T12R6 UN418 UBVOV UT20 TAJIN DCT VITOS VITOS2A</t>
  </si>
  <si>
    <t>N442AN</t>
  </si>
  <si>
    <t>S12R SR00 SR01 SR02 SR03 2101N08644W 2149N08655W 2158N08657W KEHLI/N0464F340 A766 KELPP DCT MUSYL/N0462F360 DCT EATIT DCT STV DCT JCT DCT ELP DCT DRRVR PINNG1</t>
  </si>
  <si>
    <t>S12R T12R6 UN418 2056N08654W 2056N08657W 2057N08721W 2057N08726W 2055N08729W 2044N08750W 2025N08829W 1809N09116W 1808N09117W 1803N09123W 1737N09248W 1736N09250W OMVAB UJ9 TGZ</t>
  </si>
  <si>
    <t>S12R SR00 SR01 SR02 SR03 SR04 2141N08653W 2148N08656W IRDOV L214 LEV DCT AEX/N0467F340 DCT EIC DCT MLC DCT GCK DCT KIISS CLASH5</t>
  </si>
  <si>
    <t>S12R SR00 SR01 SR02 SR03 SR04 SR05 SR06 SR07 SR08 SR09 SR10 NOSUG UT27 OMVIP UT45 ALKIM/N0480F320 UT45 IRDOV L214 DAGGR/N0475F340 L214 PLNDR DCT MEMFS/N0462F360 DCT FTZ SHAIN2</t>
  </si>
  <si>
    <t>N895NN</t>
  </si>
  <si>
    <t>S12R T12R6 NUDAL UV106 PODON UG765 MAXIM SNDBR3</t>
  </si>
  <si>
    <t>NUDAL1A NUDAL UV106 PODON UG765 MAXIM Y262 GOPEY Q87 TIRCO/N0472F340 Q87 ZERBO/N0469F350 Q87 JROSS DCT FLO DCT FAY DCT RDU DCT BZNGA DCT DORRN CAVLR7</t>
  </si>
  <si>
    <t>N915DU</t>
  </si>
  <si>
    <t>S12R SR00 SR01 SR02 SR03 2101N08644W NOSUG 2159N08656W 2200N08656W 2208N08658W KEHLI A766 SBI DCT ACT DCT PNH DCT ALS/N0460F340 DCT JNC J12 HELPR PITTT2</t>
  </si>
  <si>
    <t>TOM065</t>
  </si>
  <si>
    <t>S12R T12R6 UN415 NUDAL UV106 PODON UG765 MAXIM DCT EYW DCT TRV DCT SNNTA DCT ILM DCT SAWED DCT ZJAAY Q167 ZIZZI DCT DRIFT Q439 MANTA DCT GEDIC DCT ACK DCT KANNI N171E PORTI/M084F390 NATW XETBO/N0447F390 DCT DOLIP DCT NORLA DCT FONZU DCT ELRIP DCT OTMET OTMET1G</t>
  </si>
  <si>
    <t>S12R T12R6 UN418 UN409 2055N08700W 2056N08701W 2054N08701W 2048N08707W 2044N08710W 2042N08714W 2037N08718W 2034N08725W NUBIT DCT RIBET UT101 ENAGA DCT OVAGO UT123 IKLOK/N0392F260 UT123 IGSON IGSON1A</t>
  </si>
  <si>
    <t>S12R T12R6 UN418 UN409 2055N08848W 2055N08851W 2055N08907W 2208N09152W 2209N09155W NOTEN RETOS RETOS1A</t>
  </si>
  <si>
    <t>S12R T12R6 UN418 UN409 UN419 2052N08722W 2051N08727W 2044N08809W 2043N08839W NOTEN UT37 SESNO UJ15E RETOS RETOS1A</t>
  </si>
  <si>
    <t>S12R SR00 SR01 SR02 SR03 ENEBA UT27 NOSUG 2153N08656W 2159N08656W 2205N08657W KEHLI/N0476F340 A766 KELPP/N0471F360 DCT SBI DCT ACT DCT ABI DCT TXO J72 GUP DCT HAHAA RKSTR4</t>
  </si>
  <si>
    <t>S12R T12R6 UN418 UN409 2052N08720W 2050N08729W 2049N08751W 2050N08808W CME UJ9 VSA DCT</t>
  </si>
  <si>
    <t>S12R 2100N08649W 2101N08647W 2116N08646W 2134N08651W 2140N08652W 2210N08702W 2219N08704W KEHLI A766 SBI DCT CRIED BEREE3</t>
  </si>
  <si>
    <t>S12R T12R6 2100N08649W ALYRE TAKUX UM782 OMIRO/N0454F370 UM782 MEVUB UP406 AKPEK DCT RNG DCT ISVAT ISVA5E</t>
  </si>
  <si>
    <t>N932AM</t>
  </si>
  <si>
    <t>S12R T12R6 UN415 UN413 2105N08619W 2113N08606W NUDAL UV106 PODON UG765 MAXIM Y262 LULLS DCT EYW DCT KARTR/N0459F360 DCT RSW DCT LAL/N0457F370 DCT CYNTA DCT PONZE BANKR8</t>
  </si>
  <si>
    <t>CGFVN</t>
  </si>
  <si>
    <t>S12R SR00 2059N08647W 2102N08645W 2119N08646W 2159N08710W 2205N08717W 2229N08737W 2232N08738W XOTEL 2255N08754W 2302N08800W 2303N08800W 2309N08804W IRDOV/M078F380 L214 PLNDR/N0456F380 L214 LEV/N0455F370 DCT IRUBE DCT KM21M DCT BNA DCT QWERI NUBER6</t>
  </si>
  <si>
    <t>S12R SR00 SR01 SR02 SR03 2151N08656W 2157N08657W KEHLI A766 KELPP NNCEE2</t>
  </si>
  <si>
    <t>UDGUV2A UDGUV UT78 UKOKO 2049N08839W 2050N08844W NOTEN UT37 ULUMA DCT MTY DCT TASTO DCT ILAMA UT41 NADIS DCT AVRIL UJ3 TANRI TANRI1B</t>
  </si>
  <si>
    <t>CGKWJ</t>
  </si>
  <si>
    <t>S12R 2059N08646W NOSUG 2228N08659W 2233N08659W 2237N08708W 2251N08733W KEHLI/M079F360 A766 KLAMS/N0460F360 A766 SBI DCT GIFFA DCT KF27C DCT LAA DCT KD66U DCT GANNE DCT WEDAK DCT METOW GRIZZ1</t>
  </si>
  <si>
    <t>UDGUV2A UDGUV UT78 MEDOS UT20 UBVOV UT101 VOKIR/N0459F340 UT101 UMAVO/N0459F300 UT101 ENAGA ENAGA3A</t>
  </si>
  <si>
    <t>UDGUV2A UDGUV 2048N08755W 2049N08805W LIDAM UT23 TAM UJ14 TMN UT147 SLP</t>
  </si>
  <si>
    <t>S12R SR00 SR01 SR02 2100N08644W 2105N08643W 2149N08655W 2209N08707W 2218N08713W KEHLI A766 KELPP BAYYY5</t>
  </si>
  <si>
    <t>GTUIF</t>
  </si>
  <si>
    <t>S12R T12R6 UN415 UN413 2107N08612W 2112N08606W 2118N08559W MAXIM DCT EYW DCT TRV DCT SNNTA DCT ISO DCT SAWED DCT SWL DCT MANTA DCT DUNEE DCT BRUWN DCT TUSKY N355C JOOPY/M084F390 NATU BEXET/N0454F390 DCT REVNU DCT MOLAK DCT TLA Y96 NATEB</t>
  </si>
  <si>
    <t>S12R T12R6 UN418 UN409 UN419 UN432 2158N09457W LIDAM UT23 TAM UJ14 TMN DCT MORAS UJ17 QET</t>
  </si>
  <si>
    <t>N378DA</t>
  </si>
  <si>
    <t>S12R 2101N08651W T12L6 B30L6 2113N08649W XHMJ NOSUG 2205N08701W 2206N08702W 2218N08711W 2223N08716W KEHLI A766 KLAMS DCT VUH/N0468F360 DCT ELA DCT STV DCT JCT DCT PEQ DCT EWM Q180 BXK J4 WLVRN DCT ESTWD HLYWD1</t>
  </si>
  <si>
    <t>UDGUV2A UDGUV UT78 MEDOS UT20 UBVOV UT101 UMAVO/N0469F300 UT101 ENAGA ENAGA3A</t>
  </si>
  <si>
    <t>N997JL</t>
  </si>
  <si>
    <t>S12R 2101N08651W 2112N08554W CONAR NUDAL UV106 PODON UG765 MAXIM Y262 ZFP Y319 JAZZI DCT SAGGY DCT CHIEZ Q161 KALDA Q108 SIE CAMRN5</t>
  </si>
  <si>
    <t>CCBFX</t>
  </si>
  <si>
    <t>S12R T12R6 ALSUP UB881 URIOS/N0449F350 UB881 BTO UZ498 MGA UZ512 LIXAS/N0442F370 UL203 ARNEL UM542 TAL UV1 ATATU ATATU4</t>
  </si>
  <si>
    <t>N411AE</t>
  </si>
  <si>
    <t>S12R T12R6 2057N08646W 2022N08613W DELVI UM782 MEVUB UP406 AKPEK DCT RNG DCT ISVAT ISVAT5E</t>
  </si>
  <si>
    <t>2003N08553W</t>
  </si>
  <si>
    <t>UDGUV2A UDGUV UT78 DURPI DCT NUBIT DCT RIBET UT101 ENAGA DCT OVAGO UT123 IKLOK/N0407F220 UT123 IGSON/N0327F140 IGSON1A</t>
  </si>
  <si>
    <t>VIV2028</t>
  </si>
  <si>
    <t>S12R T12R6 UN418 UN409 2053N08727W CELST 2050N09303W 2048N09318W 2048N09328W ENAGA DCT OTAGO DCT ATUKA ATUKA1B</t>
  </si>
  <si>
    <t>DANRE</t>
  </si>
  <si>
    <t>S12R T12R6 2100N08648W CN02 NUDAL UV106 PODON UG765 MAXIM DCT EYW/N0473F390 DCT PBI/M082F390 DCT SNAGY DCT VIRST M201 DRYED/M082F410 DCT JEBBY M202 LOMPI DCT PORTI/M082F400 NATW XETBO/N0468F410 DCT CRK DCT EVRIN DCT INFEC DCT JETZI DCT AMFUL DCT CAWZE DCT SIRIC P2 DVR UL9 KONAN DCT KOK DCT SPI T180 NIVNU/N0403F330 T847 TUTOV TUTOV1A</t>
  </si>
  <si>
    <t>UDGUV2A UDGUV UT78 UKOKO 2050N08859W 2050N08906W 2100N08924W 2210N09159W 2313N09428W NOTEN UT37 SESNO UJ15E RETOS RETOS1A</t>
  </si>
  <si>
    <t>GYMMA</t>
  </si>
  <si>
    <t>S12R 2101N08650W MOGOP NUDAL UR506 UHA UR628 UVA/N0487F360 UR628 TANIA/N0485F370 R628 MENDL/M084F370 R628 ZQA M329 BALTN DCT RNGRS/M084F390 DCT 3730N06000W 41N050W 44N040W/M084F410 46N030W 48N020W 48N015W DCT OMOKO DCT GUNSO/M084F390 DCT GAPLI/N0470F390 DCT SIDDI DCT DAWLY DCT ELRIP DCT OTMET OTMET1G</t>
  </si>
  <si>
    <t>ECNTB</t>
  </si>
  <si>
    <t>S12R NUDAL UV106 PODON UG765 EMOVI/N0499F370 UG765 MAXIM Y262 LULLS DCT DROWN/N0492F390 Y642 GRATX/M085F390 M329 LAZEY DCT 34N060W/M085F390 38N050W/M085F410 41N040W 43N030W 43N020W/M085F410 DCT BANAL/N0479F410 DCT ADORO/N0482F400 L155 ZMR</t>
  </si>
  <si>
    <t>UDGUV2A UDGUV 2046N08753W 2037N08830W UBVOV UT101 RIBET/N0459F340 UT101 UMAVO/N0460F300 UT101 ENAGA ENAGA3A</t>
  </si>
  <si>
    <t>S12R GABIX DCT TUMEK DCT TIBUT DCT PIRAS/N0464F230 BARRA4P</t>
  </si>
  <si>
    <t>XAVGB</t>
  </si>
  <si>
    <t>S12R 2101N08651W 2051N08728W NAPRI NAPRI1C</t>
  </si>
  <si>
    <t>UDGUV2A UDGUV DCT 2053N08805W 2058N08852W 2104N08910W NOTEN UT37 SESNO UJ15E RETOS RETOS1A</t>
  </si>
  <si>
    <t>ECMIH</t>
  </si>
  <si>
    <t>S12R T12R6 UN415 UN413 2105N08625W 2106N08624W NUDAL UV106 PODON UG765 MAXIM/M085F390 DCT ZFP DCT CNNOR M328 ANTIG/M084F410 DCT LAZEY DCT 34N060W 37N050W 3930N04000W 41N030W 42N020W DCT BANAL/N0481F410 DCT ADORO/N0469F360 L155 ZMR</t>
  </si>
  <si>
    <t>CGKXW</t>
  </si>
  <si>
    <t>S12R SR00 SR01 SR02 SR03 SR04 2106N08646W L36 2132N08643W 2139N08642W LENUK UB646 CANOA Y196 TUNSL DCT FEMID Q118 KPASA/N0466F380 Q99 DOFFY/N0464F390 Q99 CAMJO DCT PSK DCT PSB J59 SYR DCT ART DEANS4</t>
  </si>
  <si>
    <t>S12R T12R6 UN418 UN409 UN419 UN432 2050N08738W 2032N08832W 2044N09340W 2043N09358W ENAGA ENAGA3A</t>
  </si>
  <si>
    <t>S12R T12R6 NUDAL UV106 PODON UG765 MAXIM DCT DHP DCT UKOKA/M085F410 M202 ONGOT DCT ANVER DCT 36N060W DCT 36N050W DCT 4030N04000W DCT 44N030W DCT 45N020W DCT KOPAS/N0481F410 DCT STG/N0481F400 DCT DESAT N733 ZMR</t>
  </si>
  <si>
    <t>CFYXF</t>
  </si>
  <si>
    <t>S12R SR00 SR01 2127N08646W OMSUK UM219 ROTGI 2152N08640W 2202N08637W LENUK UB646 CANOA Y196 TUNSL Y262 GOPEY Q87 TIRCO/N0478F320 Q87 ZERBO/N0476F330 Q87 VIYAP Q69 GURGE DCT CAE DCT LUNDD Q69 RICCS DCT OXMAN LINNG3</t>
  </si>
  <si>
    <t>XAVGE</t>
  </si>
  <si>
    <t>S12R T12R6 UN418 UN409 UN419 UN432 2045N08857W 2046N09033W 2046N09038W 2023N09459W UMAVO UT104 LENUL DCT</t>
  </si>
  <si>
    <t>TAKUX2A TAKUX UM782 OMIRO UN420 SPP UL667 AGUJA UM782 MEVUB UP406 AKPEK UQ121 RNG DCT ISVAT ISVAT5E</t>
  </si>
  <si>
    <t>S12R T12R6 UN418 UN409 2053N08716W 2050N08737W 2050N08738W 2049N08744W 2027N08830W UMAVO/N0452F300 UT101 ENAGA ENAGA3A</t>
  </si>
  <si>
    <t>2017N09459W</t>
  </si>
  <si>
    <t>UDGUV2A UDGUV 2048N08751W 2034N08820W 2028N08917W 2027N08925W TAJIN DCT VITOS VITOS2A</t>
  </si>
  <si>
    <t>UDGUV2A UDGUV UT78 UKOKO 2042N08817W 2027N08846W 2026N09002W 2017N09459W UMAVO UT101 ENAGA ENAGA3A</t>
  </si>
  <si>
    <t>UDGUV2A UDGUV UT78 UKOKO 2048N08818W 2032N08852W 2038N08907W 2037N08913W AVIVI ELVED UT104 LENUL LENUL3A</t>
  </si>
  <si>
    <t>BHS947</t>
  </si>
  <si>
    <t>MYSM</t>
  </si>
  <si>
    <t>AT76</t>
  </si>
  <si>
    <t>C6BFW</t>
  </si>
  <si>
    <t>S12R T12R6 UN415 2104N08628W 2104N08621W 2106N08621W 2105N08617W SEVKA NUDAL UR506 UHA R628 TANIA DCT MADIZ DCT GEROT DCT WEDER DCT</t>
  </si>
  <si>
    <t>HP1851</t>
  </si>
  <si>
    <t>S12R T12R6 UN418 UN409 UN419 UN432 2046N08744W 2024N08847W 2029N08934W 2026N09052W 2016N09316W 2005N09425W UMAVO UT101 ENAGA ENAGA3A</t>
  </si>
  <si>
    <t>S12R T12R6 UN418 UN409 UN419 UN432 2048N08737W 2035N08824W 2027N08930W 2024N09017W 1959N09458W IKLOK UT123 IGSON</t>
  </si>
  <si>
    <t>UDGUV2A UDGUV DCT DYSON DCT 2037N09104W 2021N09500W AVALI/N0453F300 DCT ENAGA ENAGA3A</t>
  </si>
  <si>
    <t>S12R T12R6 2058N08652W 2051N08803W UBVOV DCT UMAVO UT101 ENAGA ENAGA3A</t>
  </si>
  <si>
    <t>UDGUV2A UDGUV UT78 MEDOS VITOS VITOS2A</t>
  </si>
  <si>
    <t>UDGUV2A UDGUV UT78 MEDOS UT20 UBVOV UT101 RIBET/N0459F340 UT101 UMAVO/N0459F300 UT101 ENAGA ENAGA3A</t>
  </si>
  <si>
    <t>N845AM</t>
  </si>
  <si>
    <t>N836NN</t>
  </si>
  <si>
    <t>S12R 2101N08649W 2101N08648W T12L7 NOSUG KEHLI A766 KELPP/N0450F380 A766 SBI DCT CRIED BEREE3</t>
  </si>
  <si>
    <t>N947QS</t>
  </si>
  <si>
    <t>2102N08652W T12R6 2102N08649W 2120N08644W 2129N08644W LENUK UB646 CANOA DCT EYW DCT</t>
  </si>
  <si>
    <t>S12R SR00 SR01 SR02 SR03 SR04 SR05 SR06 SR07 2123N08643W 2131N08641W 2214N08614W 2217N08612W CANOA DCT EYW DCT</t>
  </si>
  <si>
    <t>2223N08601W</t>
  </si>
  <si>
    <t>S12R SR00 SR01 SR02 SR03 SR04 SR05 SR06 SR07 SR08 NOSUG 2237N08700W 2239N08700W 2244N08702W IRDOV L214 LEV DCT GCV/N0469F350 DCT PAYTN DCT SHYRE GNDLF3</t>
  </si>
  <si>
    <t>UDGUV2A UDGUV DCT MID DCT NOTEN UT37 SESNO DCT MTY UJ32 TRC DCT</t>
  </si>
  <si>
    <t>N66803</t>
  </si>
  <si>
    <t>S12R SR00 SR01 SR02 SR03 SR04 SR05 SR06 SR07 2151N08656W 2155N08656W 2226N08707W 2232N08712W KEHLI A766 KELPP NNCEE2</t>
  </si>
  <si>
    <t>UDGUV2A UDGUV UT78 MEDOS UT20 UBVOV UT101 RIBET/N0455F340 UT101 UMAVO/N0455F300 UT101 ENAGA ENAGA3A</t>
  </si>
  <si>
    <t>HP1722</t>
  </si>
  <si>
    <t>S12R T12R6 UN415 UN440 OMIRO UN420 BONOS/N0456F390 UN420 PELRA DCT SPP DCT SEKMA OSUPA2</t>
  </si>
  <si>
    <t>N37548</t>
  </si>
  <si>
    <t>NUDAL1A NUDAL UV106 PODON/N0466F350 UG765 MAXIM Y262 GOPEY Q87 TIRCO/N0465F340 Q87 ZERBO/N0464F350 Q87 ALWZZ DCT OGRAE Q99 QUART PHLBO4</t>
  </si>
  <si>
    <t>XBRCM</t>
  </si>
  <si>
    <t>S12R SR00 SR01 2123N08643W 2131N08642W LENUK UB646 CANOA DCT EYW DCT</t>
  </si>
  <si>
    <t>UDGUV2A UDGUV UT78 MEDOS UT20 UBVOV/N0457F340 UT101 UMAVO/N0454F300 UT101 ENAGA ENAGA3A</t>
  </si>
  <si>
    <t>2059N08651W UN608 2043N08657W 2034N08646W 2035N08657W 2045N08700W</t>
  </si>
  <si>
    <t>S12R 2101N08651W UN580 UDGUV UT78 UKOKO 2050N08849W 2050N08853W DURPI DCT NOTEN UT37 SESNO UJ15E RETOS RETOS1A</t>
  </si>
  <si>
    <t>VIV2014</t>
  </si>
  <si>
    <t>XAVMD</t>
  </si>
  <si>
    <t>S12R T12R6 UN418 UN409 2055N08736W AVIVI ELVED UT104 LENUL LENUL3A</t>
  </si>
  <si>
    <t>S12R T12R6 UN418 UN409 2054N08812W 2048N09324W VOKIR UMAVO UT101 ENAGA ENAGA3A</t>
  </si>
  <si>
    <t>XAAMB</t>
  </si>
  <si>
    <t>S12R T12R6 UN418 UN409 UN419 2051N08729W 2051N08734W UBVOV UT101 UMAVO UT169 VITOS VITOS2A</t>
  </si>
  <si>
    <t>S12R T12R6 UN418 UN409 2053N08718W AVIVI IKLOK/N0449F220 UT123 IGSON IGSON1B</t>
  </si>
  <si>
    <t>S12R T12R6 UN418 UN409 UN419 2053N08728W BEMOX 2057N08914W NOTEN UT37 SESNO UJ15E RETOS RETOS1A</t>
  </si>
  <si>
    <t>N63PC</t>
  </si>
  <si>
    <t>S12R T12R6 UN418 UN409 2055N08705W 2054N08708W 2055N08738W 2055N08757W 2056N08808W 2058N08819W NOTEN UT37 EBDUB DCT NUGUS UJ59 MAM DCT</t>
  </si>
  <si>
    <t>S12R SR00 SR01 SR02 SR03 SR04 SR05 SR06 SR07 ROTGI UM219 XOPGI UB646 CANOA Y196 LULLS DCT EYW DCT KARTR DCT FERAL DCT</t>
  </si>
  <si>
    <t>UDGUV2A UDGUV UT78 VIKMO 2048N09121W TAJIN DCT VITOS VITOS2A</t>
  </si>
  <si>
    <t>N653FR</t>
  </si>
  <si>
    <t>S12R SR00 SR01 SR02 SR03 SR04 SR05 SR06 SR07 SR08 SR09 UN406 2134N08652W 2142N08654W 2240N08713W KEHLI A766 SBI DCT CRIED BEREE3</t>
  </si>
  <si>
    <t>S12R T12R6 UN418 UN409 UN419 UN432 UBVOV UT101 UMAVO/N0444F300 UT101 ENAGA/N0423F260 ENAGA3A</t>
  </si>
  <si>
    <t>S12R T12R6 CZM UN431 ALSUP 1935N08655W TALAG UA754 TNT</t>
  </si>
  <si>
    <t>1903N08656W</t>
  </si>
  <si>
    <t>N722FR</t>
  </si>
  <si>
    <t>ENEBA2A ENEBA UT27 NOSUG 2239N08719W 2248N08724W 2331N08747W IRDOV L214 LEV DCT MCB J35 SQS/N0398F290 J35 MEM/N0401F300 J187 FTZ TRTLL6</t>
  </si>
  <si>
    <t>S12R SR00 SR01 SR02 SR03 SR04 SR05 SR06 SR07 SR08 UN406 2142N08654W 2148N08655W 2157N08658W 2158N08658W 2220N08706W 2226N08708W KEHLI/M079F360 A770 ALGAE/M080F360 A770 DOLPH/N0468F360 A770 LEV J35 MCB/N0468F370 DCT MEM DCT PXV DCT VHP DCT WASPP DCT QWERI NUBER6</t>
  </si>
  <si>
    <t>N877NN</t>
  </si>
  <si>
    <t>S12R SR00 SR01 SR02 SR03 SR04 SR05 SR06 SR07 SR08 SR09 SR10 SR11 2121N08649W NOSUG 2159N08656W 2205N08657W 2222N08658W 2229N08658W KEHLI A766 KELPP/N0453F380 A766 SBI DCT CRIED BEREE3</t>
  </si>
  <si>
    <t>N641FR</t>
  </si>
  <si>
    <t>S12R SR00 SR01 SR02 SR03 SR04 SR05 SR06 SR07 SR08 UN406 NOSUG 2215N08658W 2220N08659W 2236N08708W 2243N08713W 2313N08733W 2335N08747W 2346N08753W 2413N08805W IRDOV L214 LEV DCT OYSTY J35 SQS/N0436F390 J35 MEM BOOSH3</t>
  </si>
  <si>
    <t>N929DZ</t>
  </si>
  <si>
    <t>S12R SR00 SR01 SR02 SR03 SR04 SR05 SR06 SR07 SR08 NOSUG 2302N08702W 2310N08706W 2332N08716W 2333N08717W 2348N08723W 2351N08725W 2432N08745W DAGGR L214 LEV DCT GCV/N0454F350 DCT PAYTN DCT SHYRE GNDLF3</t>
  </si>
  <si>
    <t>2425N08741W</t>
  </si>
  <si>
    <t>S12R T12R6 UN402 UN408 CZM 2029N08655W 2027N08655W CZ010 1953N08719W TIKIS UG765 AUR DCT</t>
  </si>
  <si>
    <t>1828N08814W</t>
  </si>
  <si>
    <t>N1808U</t>
  </si>
  <si>
    <t>S12R SR00 2100N08646W 2102N08646W NOSUG UT27 OMVIP 2341N08722W 2352N08727W DAGGR L214 LEV J35 MCB/N0460F390 J35 MEM BOOSH3</t>
  </si>
  <si>
    <t>2425N08745W</t>
  </si>
  <si>
    <t>S12R T12R6 UN418 UN409 UN419 2052N08724W 2052N08747W 2052N08749W S28 NOTEN DCT LIBOX DCT MOV UT3 URKOM UJ54 CJS DCT</t>
  </si>
  <si>
    <t>S12R 2059N08648W NC27 NOSUG UT27 PISAD L333 HOOCK/N0476F330 DCT CATLN DCT MGMRY DCT TWOUP/N0467F350 Q22 BURGG Q60 JAXSN DCT DORRN CAVLR7</t>
  </si>
  <si>
    <t>LCLUN CUN 2046N08657W 2047N08654W 2052N08706W 2046N08705W 2044N08658W 2049N08700W 2055N08700W 2049N08651W 2044N08652W 2042N08656W 2043N08702W</t>
  </si>
  <si>
    <t>S12R T12R6 2100N08651W 2053N08824W 2054N08833W LIDAM UT23 TAM UJ14 TMN UT147 SLP UJ40 LIBOL LIBOL1B</t>
  </si>
  <si>
    <t>UDGUV2A UDGUV DCT MID DCT 2256N09405W 2256N09407W 2304N09500W RETOS RETOS1A</t>
  </si>
  <si>
    <t>2303N09455W</t>
  </si>
  <si>
    <t>S12R SR00 SR01 SR02 SR03 SR04 NOSUG KEHLI A766 KELPP DCT VUH DCT DBOYS WLEEE7</t>
  </si>
  <si>
    <t>XASRA</t>
  </si>
  <si>
    <t>UDGUV2A UDGUV UT78 XOLRO 2050N09006W 2050N09010W 2048N09231W UBVOV UT101 UMAVO/N0457F300 UT101 ENAGA</t>
  </si>
  <si>
    <t>N872CB</t>
  </si>
  <si>
    <t>S12R SR00 2059N08646W 2101N08645W SR21 2144N08654W ALKIM DAGGR L214 LEV J35 MCB/N0470F350 J35 MEM/N0468F360 J35 FAM/N0460F370 DCT SPI DCT PHEEB ENDEE8</t>
  </si>
  <si>
    <t>2428N08756W</t>
  </si>
  <si>
    <t>S12R T12R6 UN415 NUDAL UV106 PODON UG765 MAXIM Y262 LULLS DCT GOPEY Q87 ONEWY/N0452F340 Q87 ZERBO/N0445F350 Q87 VIYAP Q69 RICCS DCT PSB DCT SYR DCT ART IMPAC4</t>
  </si>
  <si>
    <t>S12R T12R6 UN418 UN409 UN419 UN432 2050N08734W 2048N08741W PQE/N0329A180 V51 SAXAV V51 TGZ DCT</t>
  </si>
  <si>
    <t>S12R 2059N08647W 2100N08643W 2128N08649W 2133N08651W OMVIP DCT KEHLI A766 KELPP BAYYY5</t>
  </si>
  <si>
    <t>RHH069</t>
  </si>
  <si>
    <t>KISP</t>
  </si>
  <si>
    <t>TCRSD</t>
  </si>
  <si>
    <t>S12R 2100N08649W 2101N08647W 2126N08643W MYDIA M219 CIGAR DCT GULFR DCT TYFTR DCT UNJAM DCT PEKNN DCT NEAVL DCT SIE DCT BRIGS DCT DUNNE Q339 SARDI DCT CCC DCT</t>
  </si>
  <si>
    <t>N901AA</t>
  </si>
  <si>
    <t>S12R 2100N08650W 2100N08647W CN04 ENEBA 2147N08655W 2153N08656W 2236N08710W 2250N08716W 2259N08719W KEHLI A766 KELPP/N0459F360 A766 SBI DCT CRIED BEREE3</t>
  </si>
  <si>
    <t>XAVRN</t>
  </si>
  <si>
    <t>S12R T12R6 UN418 2056N08656W 2048N08704W 2046N08705W 2047N08732W 2048N08740W LIDAM UT23 TAM UJ14 TMN DCT MORAS UJ17 QET</t>
  </si>
  <si>
    <t>N908AA</t>
  </si>
  <si>
    <t>S12R 2059N08647W 2059N08645W SR02 2108N08641W 2109N08641W 2126N08654W 2156N08659W PISAD CCUDA/N0452F340 L333 HOOCK/N0451F350 DCT SJI DCT CATLN DCT BESTT JONZE8</t>
  </si>
  <si>
    <t>N8325D</t>
  </si>
  <si>
    <t>S12R 2059N08648W 2103N08644W 2109N08643W 2111N08643W NOSUG UT27 OMVIP UT45 IRDOV L214 LEV/N0467F360 DCT AEX DCT EIC DCT MLC DCT GCK DCT KIISS CLASH5</t>
  </si>
  <si>
    <t>S12R T12R6 UN415 2057N08642W 2102N08626W 2104N08621W 2107N08620W MAXIM BHHIA3</t>
  </si>
  <si>
    <t>2133N08547W</t>
  </si>
  <si>
    <t>S12R 2059N08647W 2104N08646W NOSUG UT27 OMVIP/N0464F320 UT27 PISAD L333 HOOCK/N0460F340 DCT MEMFS DCT FTZ TRTLL6</t>
  </si>
  <si>
    <t>S12R T12R6 UN415 2058N08642W 2058N08641W 2105N08625W 2106N08625W MAXIM Y262 GOPEY Q87 TIRCO/N0460F360 Q87 ZERBO/N0457F370 Q87 JROSS Q135 RREGG Q117 KTEEE/N0467F290 Q117 SAWED Q97 ZJAAY JIIMS4</t>
  </si>
  <si>
    <t>N905AU</t>
  </si>
  <si>
    <t>S12R T12R6 UN415 2058N08641W 2059N08639W MAXIM Y262 GOPEY Q87 TIRCO/N0460F360 Q87 ZERBO/N0462F350 Q87 SUSYQ/N0457F370 Q87 JROSS Q135 RREGG Q117 KTEEE/N0431F290 Q117 SAWED Q97 ZJAAY JIIMS4</t>
  </si>
  <si>
    <t>HK5378</t>
  </si>
  <si>
    <t>TAKUX2A TAKUX/N0452F390 UM782 OMIRO UN420 SPP UP530 KAKOL DCT RNG UQ121 ISVAT ISVA5E</t>
  </si>
  <si>
    <t>S12R T12R6 UN415 2058N08643W 2058N08639W MAXIM Y262 LULLS DCT GOPEY Q87 ONEWY/N0456F360 Q87 ZERBO/N0455F370 Q87 VIYAP Q69 RICCS DCT OXMAN LINNG3</t>
  </si>
  <si>
    <t>N304DN</t>
  </si>
  <si>
    <t>S12R 2101N08650W 2100N08649W 2101N08648W 2102N08648W ENEBA UT27 NOSUG 2230N08659W 2238N08700W KEHLI A770 LEV J31 HRV DCT MCB J35 MCGEE DCT IZAAC/N0455F270 DCT XESSS DCT MEMFS DCT VISQA J29 PXV DCT WWODD HANBL3</t>
  </si>
  <si>
    <t>S12R 2101N08650W CZM UN431 ALSUP UB881 BTO UA754 TNT</t>
  </si>
  <si>
    <t>UDGUV2A UDGUV 2050N08756W 2148N09342W 2145N09351W 2141N09401W 2135N09418W 2131N09427W 2136N09442W RAULS UT23 TAM DCT</t>
  </si>
  <si>
    <t>2141N09459W</t>
  </si>
  <si>
    <t>HI1104</t>
  </si>
  <si>
    <t>S12R T12R6 UN415 UN440 UN400 2034N08615W 2029N08612W MAMBI/N0457F370 UL577 NOELL/N0451F390 UL577 CDO UT15 NADAX NADAX1W</t>
  </si>
  <si>
    <t>UDGUV2A UDGUV UT78 XOLRO/N0459F340 UT78 MEDOS UT20 UBVOV UT101 UMAVO/N0456F300 UT101 ENAGA ENAGA3A</t>
  </si>
  <si>
    <t>N178US</t>
  </si>
  <si>
    <t>S12R T12R6 UN415 MAXIM SNDBR3</t>
  </si>
  <si>
    <t>2138N08550W</t>
  </si>
  <si>
    <t>S12R T12R6 UN418 UN409 UN419 UN432 2050N08734W 2046N08802W NUBIT DCT RIBET UT101 ENAGA DCT OVAGO UT123 IKLOK/N0450F220 UT123 IGSON IGSON1B</t>
  </si>
  <si>
    <t>S12R 2101N08650W SL0 2101N08647W ENEBA 2139N08655W 2146N08656W IRDOV L214 LEV J35 MCB/N0457F410 J35 MEM BOOSH3</t>
  </si>
  <si>
    <t>S12R T12R6 UN418 UN409 UN419 2052N08723W 1914N09139W 1912N09142W 1901N09201W 1849N09207W 1827N09242W 1757N09420W 1744N09436W OMATO UJ16 OAX</t>
  </si>
  <si>
    <t>S12R 2100N08650W 2100N08649W 2101N08647W ENEBA UT27 NOSUG 2155N08656W 2202N08657W 2249N08715W 2256N08717W IRDOV L214 PLNDR DCT KH87I DCT ROMER DCT KF12C DCT TYEES DCT KF18Y DCT REYOK DCT KA27S DCT FLG DCT PGS DCT BLD DCT BTY DCT RUSME DYAMD5</t>
  </si>
  <si>
    <t>S12R T12R6 UN418 UN409 UN419 2051N08727W 2054N08837W 2055N08905W 2255N09345W 2303N09406W 2310N09436W ULUMA UT37 SESNO UJ15E RETOS RETOS1A</t>
  </si>
  <si>
    <t>2313N09442W</t>
  </si>
  <si>
    <t>S12R SR00 SR01 SR02 SR03 SR04 SR05 NOSUG UT27 OMVIP/N0463F340 UT27 PISAD L333 HOOCK/N0457F350 DCT SJI DCT VLKNN Q139 HITMN DCT IIU DCT DRUGA ROKNN4</t>
  </si>
  <si>
    <t>SCX574</t>
  </si>
  <si>
    <t>N851SY</t>
  </si>
  <si>
    <t>S12R 2101N08650W 2100N08649W 2101N08647W 2133N08652W 2224N08708W 2231N08711W IRDOV L214 LEV DCT ARG DCT KK63I DCT MNOSO BLUEM5</t>
  </si>
  <si>
    <t>S12R SR00 SR01 ENEBA 2144N08655W NOSUG IRDOV L214 LEV DCT WAVEZ/N0451F350 DCT OYSTY DCT MHZ/N0413F290 DCT MEM/N0412F280 J187 FTZ TRTLL6</t>
  </si>
  <si>
    <t>S12R T12R6 UN415 MAXIM Y262 LULLS DCT WIGNA DCT FIPES/N0476F340 DCT FERAL BLFRG3</t>
  </si>
  <si>
    <t>N61886</t>
  </si>
  <si>
    <t>S12R 2100N08649W CN03 NOSUG 2154N08656W 2200N08657W KEHLI A766 KELPP NNCEE2</t>
  </si>
  <si>
    <t>S12R T12R6 2120N08615W MAXIM Y262 GOPEY DCT DVALL DCT HEDLY DCT STYMY/N0456F340 DCT ZERBO Q87 DUCEN/N0456F350 Q87 JROSS DCT YURCK Q109 DFENC DCT SAWED Q108 SIE CAMRN5</t>
  </si>
  <si>
    <t>CGZQF</t>
  </si>
  <si>
    <t>S12R SR00 SR01 SR02 ROTGI M219 SNAKR Y240 SHAQQ/N0446F370 M580 MARCI DCT GUFFS DCT AABER DCT GRIDS Q87 ONEWY/N0443F380 Q87 ZERBO/N0445F370 Q87 VIYAP Q69 ISUZO/N0441F390 Q69 RICCS Q103 AIRRA DCT OXMAN LINNG3</t>
  </si>
  <si>
    <t>N888DS</t>
  </si>
  <si>
    <t>N7879A</t>
  </si>
  <si>
    <t>S12R T12R6 UN415 2122N08609W 2128N08603W 2133N08559W MAXIM Y262 GOPEY Q87 TIRCO/N0453F380 Q87 ZERBO/N0451F390 Q87 RAYVO Q113 AARNN DCT THHMP RAVNN9</t>
  </si>
  <si>
    <t>S12R T12R6 UN418 UN409 2054N08726W 2054N08759W 2054N08805W IPSEV L207 MUSYL/N0460F380 L207 VUH DCT JCT J86 GREBE/N0468F300 J86 INW DCT HAHAA RKSTR4</t>
  </si>
  <si>
    <t>CFZXI</t>
  </si>
  <si>
    <t>S12R SR00 SR01 SR02 SR03 2135N08652W 2140N08654W 2315N08725W IRDOV/M077F340 L214 PLNDR/N0459F340 L214 LEV/N0459F350 DCT HERKO DCT SMTTH DCT BULVE DCT ART IMPAC4</t>
  </si>
  <si>
    <t>S12R T12R6 2059N08646W DELVI UM782 MEVUB UP406 AKPEK AKPE4C</t>
  </si>
  <si>
    <t>2004N08550W</t>
  </si>
  <si>
    <t>N31ZZ</t>
  </si>
  <si>
    <t>S12R T12R6 2059N08650W 2024N08655W EMBIN UH227 AUR</t>
  </si>
  <si>
    <t>S12R SR00 SR01 SR02 SR03 2104N08643W 2106N08643W 2136N08652W 2230N08709W 2253N08717W KEHLI A770 LEV DCT GCV/N0457F350 DCT PAYTN DCT SHYRE GNDLF3</t>
  </si>
  <si>
    <t>S12R T12R6 UN418 UN409 UN419 2051N08727W 2052N08749W TL513 2237N09239W 2237N09240W GRALA UT11 SINLO SINLO1A</t>
  </si>
  <si>
    <t>2326N09425W</t>
  </si>
  <si>
    <t>S12R 2100N08649W 2101N08646W 2131N08652W 2306N08722W IRDOV L214 DAGGR/N0461F380 L214 LEV J35 MCB/N0456F390 J35 MEM/N0460F400 J35 FAM/N0457F410 DCT SPI DCT PHEEB ENDEE8</t>
  </si>
  <si>
    <t>S12R 2100N08649W 2059N08646W SR05 2148N08655W 2246N08713W 2307N08721W 2319N08730W KEHLI/M079F320 A770 DOLPH/N0475F320 A770 LEV/N0471F340 J35 MCB/N0470F350 DCT MEM J29 PXV DCT ROD DCT CXR DCT DORET DCT DKK DCT WOZEE DCT MIGLO HABBS7</t>
  </si>
  <si>
    <t>DAL626</t>
  </si>
  <si>
    <t>N399DA</t>
  </si>
  <si>
    <t>S12R SR00 SR01 SR02 SR03 SR04 SR05 SR06 SR07 SR08 SR09 SR10 SR11 SR12 2108N08649W NOSUG UT27 PISAD L333 TRESR/N0473F340 L333 HRV Q56 SJI/N0469F350 Q56 CATLN Q22 NYBLK/N0461F370 Q22 RBV Q419 JFK ROBUC3</t>
  </si>
  <si>
    <t>S12R T12R6 UN418 UN409 UN419 2052N08722W 2051N09020W CELST RIBET UT101 ENAGA DCT OTAGO DCT ATUKA</t>
  </si>
  <si>
    <t>CFEWJ</t>
  </si>
  <si>
    <t>S12R 2100N08649W 2101N08645W ROTGI UM219 MYDIA/M078F370 M219 CIGAR/N0455F370 DCT KJ09Q DCT WALET/N0452F380 DCT KT18Q/N0453F370 DCT CEGMA DCT QWERI NUBER6</t>
  </si>
  <si>
    <t>UDGUV2A UDGUV DCT 2049N08759W LIDAM UT23 TAM UJ14 TMN DCT MORAS UJ17 QET DCT</t>
  </si>
  <si>
    <t>S12R 2100N08649W 2101N08647W 2132N08652W 2225N08709W KEHLI/N0471F360 A766 KELPP BAYYY5</t>
  </si>
  <si>
    <t>N695QS</t>
  </si>
  <si>
    <t>KDJT</t>
  </si>
  <si>
    <t>S12R 2100N08649W 2101N08648W 2133N08642W LENUK UB646 CANOA DCT EYW DCT KARTR DCT AABER DCT SWAGS DCT</t>
  </si>
  <si>
    <t>S12R 2058N08649W 2056N08648W 2050N08650W MURBU B764 BUKKY BUKKY1A</t>
  </si>
  <si>
    <t>S12R T12R6 2053N08721W 2052N09009W 2050N09218W 2046N09429W UBVOV UT20 TAJIN DCT VITOS VITOS2A</t>
  </si>
  <si>
    <t>N62892</t>
  </si>
  <si>
    <t>S12R SR00 SR01 SR02 SR03 NOSUG UT27 OMVIP UT45 ALKIM DCT KEHLI A766 KELPP NNCEE2</t>
  </si>
  <si>
    <t>N805JB</t>
  </si>
  <si>
    <t>S12R T12R6 2058N08646W NC21 MAXIM BHHIA3</t>
  </si>
  <si>
    <t>S12R 2100N08650W 2058N08651W 2053N08717W UN419 UBVOV UT20 PAZ UT104 LENUL DCT</t>
  </si>
  <si>
    <t>N315UA</t>
  </si>
  <si>
    <t>S12R 2101N08651W 2101N08650W MOGOP CN03 MAXIM SNDBR3</t>
  </si>
  <si>
    <t>S12R T12R6 2057N08653W UKOKO UT78 DURPI DCT NOTEN DCT REX/N0467F360 DCT DLF DCT FST DCT EWM DCT DRRVR PINNG1</t>
  </si>
  <si>
    <t>S12R 2101N08651W MOGOP 2101N08647W NOSUG UT27 OMVIP DCT KEHLI A766 KELPP/N0456F400 A766 SBI DCT LUKKN WLEEE7</t>
  </si>
  <si>
    <t>TCLLZ</t>
  </si>
  <si>
    <t>S12R T12R6 UN415 UN413 SEVKA 2120N08550W MAXIM Y262 LULLS Y642 JITGO/M084F370 Y642 GRATX M329 BALTN DCT LAZEY/M084F370 DCT 3830N05000W/N0482F370 DCT 43N040W/M084F390 DCT 45N030W DCT 46N020W DCT 46N015W DCT SIVIR DCT RIVAK/N0480F400 DCT GALOF/N0479F390 DCT PECNO DCT VALKU DCT TIS DCT MEBAK DCT GIPNO DCT BALSI DCT OBIGO DCT ROBEX/N0480F390 DCT LAPRI DCT MOGBO DCT SIRMI/N0483F390 DCT TORTO DCT NISVA L614 DEDIN DCT AYTEK</t>
  </si>
  <si>
    <t>N879DN</t>
  </si>
  <si>
    <t>S12R 2101N08650W MOGOP NC02 NOSUG UT27 PISAD L333 HRV DCT MERDN/N0440F290 DCT KM21M DCT DEVAC DCT PXV DCT WWODD HANBL3</t>
  </si>
  <si>
    <t>UDGUV2A UDGUV UT78 DURPI 2107N08948W NOTEN UT37 SESNO UJ15E RETOS RETOS1A</t>
  </si>
  <si>
    <t>N14545</t>
  </si>
  <si>
    <t>S12R 2102N08652W MOGOP 2101N08646W 2102N08646W NOSUG 2204N08657W 2207N08658W IRDOV/N0457F320 L214 DAGGR/N0461F340 L214 PLNDR DCT SWEUP DCT TXK DCT MLC DCT KK39C DCT GCK DCT KIISS CLASH5</t>
  </si>
  <si>
    <t>XATVR</t>
  </si>
  <si>
    <t>S12R T12R6 UN418 UN409 2055N08700W 2050N08706W 2048N08707W UKOKO UT78 DURPI DCT NOTEN UT37 ULUMA DCT MTY DCT TASTO DCT ILAMA UT41 NADIS DCT AVRIL UJ3 TANRI TANRI1B</t>
  </si>
  <si>
    <t>N376DN</t>
  </si>
  <si>
    <t>S12R 2101N08651W UN580 2101N08648W 2107N08646W NOSUG 2227N08659W 2234N08700W KEHLI A766 SBI DCT ELD/N0460F350 DCT LIT DCT IRK/N0452F360 DCT MNOSO BLUEM5</t>
  </si>
  <si>
    <t>AAL1210</t>
  </si>
  <si>
    <t>S12R 2101N08651W MOGOP 2059N08648W UN621 CN021 ROTGI UM219 MYDIA M219 CIGAR/N0462F350 M219 KNOST DCT PLYER DCT OTK/N0460F360 DCT MCN DCT BESTT JONZE8</t>
  </si>
  <si>
    <t>N523JB</t>
  </si>
  <si>
    <t>NUDAL1A NUDAL UV106 PODON UG765 MAXIM Y262 ZFP Y319 BRATZ/N0462F350 Y319 JAZZI DCT SAGGY DCT CHIEZ Q161 KALDA Q108 SIE CAMRN5</t>
  </si>
  <si>
    <t>N68821</t>
  </si>
  <si>
    <t>UDGUV2A UDGUV DCT 2052N08836W 2053N08845W 2056N08853W 2057N08856W 2101N08910W USBUS NOTEN UT37 SESNO DCT MTY UT11 RUDLO/N0464F340 UT11 PPE J93 ASUTA DCT AMMOR OLAAA2</t>
  </si>
  <si>
    <t>UDGUV2A UDGUV 2053N08817W UBVOV UT101 UMAVO/N0460F300 UT101 ENAGA ENAGA3A</t>
  </si>
  <si>
    <t>CGMXB</t>
  </si>
  <si>
    <t>S12R 2101N08651W 2100N08649W 2101N08647W NOSUG 2204N08657W IRDOV/M079F360 L214 PLNDR/N0457F360 L214 LEV/N0456F370 DCT HRV/N0458F360 DCT ARG DCT JAVAS DCT JORDY DCT WENNR DCT LITNA PEPNO5</t>
  </si>
  <si>
    <t>S12R 2100N08649W NC011 2113N08646W 2142N08653W 2145N08654W IRDOV L214 PLNDR/N0466F360 L214 LEV DCT AEX DCT EIC DCT MLC DCT GCK DCT KIISS CLASH5</t>
  </si>
  <si>
    <t>N991AU</t>
  </si>
  <si>
    <t>S12R SR00 SR01 SR02 SR03 SR04 SR05 SR06 SR07 NOSUG 2340N08708W HOOCK/N0450F350 DCT SJI DCT CATLN DCT BESTT JONZE8</t>
  </si>
  <si>
    <t>2420N08721W</t>
  </si>
  <si>
    <t>S12R T12R6 UN418 UN409 UN419 2059N08755W UKOKO 2057N08838W 2056N08846W 2055N08924W UBVOV DCT UMAVO UT101 ENAGA ENAGA3A</t>
  </si>
  <si>
    <t>N8756S</t>
  </si>
  <si>
    <t>S12R SR00 NC02 2144N08654W NOSUG IRDOV L214 PLNDR/N0472F360 L214 LEV J35 MCB DCT LIT DCT KRTNY MHOMS3</t>
  </si>
  <si>
    <t>S12R SR00 SR01 SR02 SR03 SR04 SR05 SR06 SR07 SR08 SR09 SR10 SR11 SR12 2108N08649W L33 2149N08658W 2204N08706W 2209N08709W KEHLI A766 KELPP NNCEE2</t>
  </si>
  <si>
    <t>S12R T12R6 2058N08652W 2053N08713W 2042N08737W 2037N08749W 2034N08806W 2031N08834W 2032N08909W 2032N08936W 2048N09039W 2122N09242W 2133N09312W 2133N09417W 2134N09426W TMN UT147 SLP UJ40 LIBOL LIBOL1B</t>
  </si>
  <si>
    <t>N892NN</t>
  </si>
  <si>
    <t>S12R 2100N08649W NC01 CN03 ENEBA 2147N08655W 2149N08656W IRDOV L214 LEV DCT WAVEZ DCT OYSTY/N0441F350 DCT MHZ/N0403F290 DCT MEM/N0389F280 J187 FTZ TRTLL6</t>
  </si>
  <si>
    <t>N309DN</t>
  </si>
  <si>
    <t>S12R SR00 SR01 SR02 2059N08645W 2101N08643W ENEBA UT27 NOSUG 2155N08656W 2159N08657W IRDOV L214 LEV DCT GCV/N0460F350 DCT PAYTN DCT SHYRE GNDLF3</t>
  </si>
  <si>
    <t>S12R T12R6 UN418 UN409 2052N08721W 2052N08726W UBVOV UT101 UMAVO UT169 VITOS VITOS2A</t>
  </si>
  <si>
    <t>S12R T12R6 2058N08645W ALYRE TAKUX UM782 OMIRO/N0454F370 UN420 PELRA DCT SPP DCT SEKMA OSUPA2</t>
  </si>
  <si>
    <t>S12R 2100N08648W 2108N08644W 2151N08656W 2221N08711W 2227N08718W KEHLI A766 KENGS/N0460F360 A766 SBI DCT CRIED BEREE3</t>
  </si>
  <si>
    <t>N719FR</t>
  </si>
  <si>
    <t>S12R 2059N08647W 2100N08644W UN412 NOSUG UT27 OMVIP 2320N08724W IRDOV L214 LEV/N0457F350 DCT GCV DCT PAYTN DCT SHYRE GNDLF3</t>
  </si>
  <si>
    <t>S12R T12R6 2059N08647W NC21 FRANT UG765 MAXIM Y262 LULLS DCT EYW DCT VKZ DCT WOLFO DCT SNAGY/M084F410 M203 JNFOX DCT SOORY DCT 42N050W DCT 45N040W DCT 49N030W DCT 51N025W DCT DOGAL/N0481F410 DCT BEXET DCT REVNU DCT MOLAK DCT MAC N562 TRN DCT LANAK</t>
  </si>
  <si>
    <t>S12R SR00 SR01 SR02 SR03 2105N08644W NOSUG UT27 PISAD L333 HRV</t>
  </si>
  <si>
    <t>S12R T12R6 UN418 UN409 UN419 2051N08732W 2050N08737W UBVOV UT20 PAZ UT104 ELVED/N0341F200 UT104 LENUL LENUL2B</t>
  </si>
  <si>
    <t>XAVSM</t>
  </si>
  <si>
    <t>S12R T12R6 UN418 UN409 2053N08718W 2052N08727W UBVOV UT101 ENAGA ENAGA3A</t>
  </si>
  <si>
    <t>2041N08702W 2040N08703W 2040N08709W 2048N08713W CUN</t>
  </si>
  <si>
    <t>N537JT</t>
  </si>
  <si>
    <t>S12R T12R6 2058N08646W SR01 PODON UG765 MAXIM Y262 TUNSL DCT KUTNE MUNGI1</t>
  </si>
  <si>
    <t>XAVAP</t>
  </si>
  <si>
    <t>S12R T12R6 UN418 UN409 2053N08715W 2104N08751W AVA70 2053N08839W 2050N08849W 2050N08853W 2047N08917W 2048N08920W 2133N09248W 2230N09357W TMN UT147 AGU UT44 MEZCA MEZCA1A</t>
  </si>
  <si>
    <t>2225N09459W</t>
  </si>
  <si>
    <t>DAL1888</t>
  </si>
  <si>
    <t>S12R SR00 SR01 2155N08654W 2159N08655W KEHLI A770 LEV J31 HRV/N0457F350 DCT MHZ/N0460F360 DCT IZAAC DCT MEMFS/N0460F350 DCT FAM/N0457F360 DCT STL/N0454F360 DCT IOW DCT MNOSO BLUEM5</t>
  </si>
  <si>
    <t>S12R 2101N08651W 2003N08658W 2001N08658W SAP UH225 TIRNA DCT URNOS URNOS2</t>
  </si>
  <si>
    <t>1844N08714W</t>
  </si>
  <si>
    <t>N956XV</t>
  </si>
  <si>
    <t>S12R 2101N08651W MOGOP 2101N08647W 2149N08655W 2156N08656W KEHLI A766 KELPP/N0454F380 A766 SBI DCT CRIED BEREE3</t>
  </si>
  <si>
    <t>S12R 2101N08651W 2100N08649W NOSUG KEHLI A770 LEV/N0454F370 DCT VEERA DCT TERGE SARGO5</t>
  </si>
  <si>
    <t>N77582</t>
  </si>
  <si>
    <t>S12R 2100N08649W 2101N08648W 2134N08652W 2143N08654W KEHLI A770 LEV DCT FISTY/N0465F360 DCT KF21G DCT MLC DCT GCK DCT KIISS CLASH5</t>
  </si>
  <si>
    <t>S12R SR00 SR01 SR02 SR03 SR04 SR05 SR06 OMSUK 2143N08642W LENUK UB646 CANOA Y196 LULLS DCT EYW DCT KARTR/N0464F340 DCT RSW DCT DOFFY/N0462F350 DCT SHRKS DCT VIYAP DCT BASSO DCT CHS/N0459F360 DCT STOCR STOCR7</t>
  </si>
  <si>
    <t>N8779Q</t>
  </si>
  <si>
    <t>NUDAL1A NUDAL UV106 PODON UG765 MAXIM Y262 GOPEY Q87 TIRCO/N0471F360 Q87 ZERBO/N0468F370 Q87 RAYVO/N0462F390 Q113 AARNN DCT THHMP RAVNN9</t>
  </si>
  <si>
    <t>CCBLH</t>
  </si>
  <si>
    <t>S12R T12R6 2055N08649W 2004N08653W MGA UZ512 LIXAS/N0443F370 UL203 ARNEL UM542 TAL UV1 ATATU ATATU4</t>
  </si>
  <si>
    <t>1912N08648W</t>
  </si>
  <si>
    <t>N900UW</t>
  </si>
  <si>
    <t>S12R SR00 SR01 SR02 SR03 SR04 ENEBA UT27 OMVIP 2312N08713W KEHLI A766 SBI DCT CRIED BEREE3</t>
  </si>
  <si>
    <t>N8784Q</t>
  </si>
  <si>
    <t>S12R SR00 SR01 ENEBA UT27 NOSUG 2214N08658W 2216N08658W 2221N08658W KEHLI A766 KELPP BAYYY5</t>
  </si>
  <si>
    <t>S12R T12R6 2100N08649W 2101N08645W 2103N08637W NUDAL UV106 PODON UG765 MAXIM Y262 ZFP Y319 BRATZ/N0468F350 Y319 JAZZI DCT SAGGY DCT CHIEZ/N0455F370 Q161 KALDA Q108 SIE CAMRN5</t>
  </si>
  <si>
    <t>CGWSI</t>
  </si>
  <si>
    <t>ENEBA2A ENEBA UT27 NOSUG 2227N08701W KEHLI A770 LEV DCT KF15I DCT FSM DCT KK57C DCT NUXRO DCT ANJLA DCT BEVEL DCT VESDO DCT EBGAL EBGAL7</t>
  </si>
  <si>
    <t>N465AN</t>
  </si>
  <si>
    <t>ENEBA2A ENEBA UT27 NOSUG 2227N08659W 2237N08658W KEHLI A766 KELPP/N0464F340 DCT ANKRR DCT PSX DCT SAT J138 FST J2 ALIBY DCT DRRVR PINNG1</t>
  </si>
  <si>
    <t>NUDAL1A NUDAL UV106 PODON UG765 MAXIM Y262 ZFP Y319 JAZZI DCT WAALT Q131 EARZZ DCT JAMIE Q133 JFK ROBUC3</t>
  </si>
  <si>
    <t>THY6898</t>
  </si>
  <si>
    <t>TCLHB</t>
  </si>
  <si>
    <t>NUDAL1A NUDAL UR506 NORIL UL674 FUNKO UL465 LACET/N0489F400 DCT LEVOR/N0486F410 UP536 SPP UN420 MORLI</t>
  </si>
  <si>
    <t>N839DN</t>
  </si>
  <si>
    <t>S12R SR00 SR01 SR02 SR03 2100N08644W 2113N08643W 2116N08644W NOSUG 2218N08658W 2223N08659W KEHLI A766 SBI DCT ACT DCT PNH/N0458F300 DCT ALS DCT JNC J12 HELPR PITTT2</t>
  </si>
  <si>
    <t>S12R SR00 SR01 SR02 SR03 SR04 SR05 NOSUG UT27 OMVIP DCT KEHLI A770 LEV DCT MEMFS DCT FTZ SHAIN2</t>
  </si>
  <si>
    <t>N894DN</t>
  </si>
  <si>
    <t>S12R SR00 SR01 SR02 SR03 2101N08642W 2103N08642W NOSUG 2155N08656W 2200N08656W KEHLI A770 LEV DCT GCV/N0471F350 DCT PAYTN DCT SHYRE GNDLF3</t>
  </si>
  <si>
    <t>N922NN</t>
  </si>
  <si>
    <t>S12R T12R6 UN415 UN413 2104N08620W FRANT UG765 MAXIM SNDBR3</t>
  </si>
  <si>
    <t>N17583</t>
  </si>
  <si>
    <t>S12R SR00 SR01 SR02 SR03 SR04 NOSUG UT27 OMVIP DCT KEHLI A770 LEV DCT CATLN Q22 TWOUP/N0469F350 Q22 UMBRE DCT QUART PHLBO4</t>
  </si>
  <si>
    <t>S12R SR00 SR01 SR02 SR03 SR04 SR05 SR06 SR07 ENEBA 2152N08656W 2200N08656W KEHLI A770 LEV DCT HRV DCT</t>
  </si>
  <si>
    <t>UDGUV2A UDGUV 2049N08805W 2111N08919W 2114N08930W 2114N08933W NUBIT DCT RIBET UT101 ENAGA DCT OVAGO UT123 IKLOK/N0449F220 UT123 IGSON IGSON1B</t>
  </si>
  <si>
    <t>2102N08652W 2104N08650W 2117N08647W 2112N08646W 2110N08644W 2109N08644W 2108N08644W 2107N08645W 2105N08646W CUN</t>
  </si>
  <si>
    <t>N956AV</t>
  </si>
  <si>
    <t>S12R T12R6 UN415 2054N08638W 2052N08635W ALYRE TAKUX UM782 OMIRO/N0454F370 UN420 SPP UP530 KAKOL DCT RNG UQ121 ISVAT ISVA5E</t>
  </si>
  <si>
    <t>N7731A</t>
  </si>
  <si>
    <t>S12R SR00 SR01 SR02 SR03 NOSUG 2212N08658W 2227N08658W KEHLI A770 LEV/N0455F390 J31 MEI DCT IGB/N0457F400 DCT KISTS CHSNE3</t>
  </si>
  <si>
    <t>N257BZ</t>
  </si>
  <si>
    <t>ENEBA2A ENEBA 2137N08655W 2140N08655W 2154N08700W KEHLI A770 LEV DCT</t>
  </si>
  <si>
    <t>XADLN</t>
  </si>
  <si>
    <t>S12R T12R6 UN418 UN409 UN419 2050N08732W 2050N08738W UBVOV UT20 PAZ UT104 LENUL DCT</t>
  </si>
  <si>
    <t>S12R T12R6 UN415 UN413 2105N08619W 2106N08611W 2106N08606W NUDAL UV106 PODON UG765 MAXIM Y262 LULLS DCT EYW DCT TRV/N0485F390 DCT SNNTA DCT ILM DCT SAWED DCT ZJAAY DCT EMJAY DCT LFV DCT TUSKY N265B NICSO/M084F390 NATT GISTI/N0469F390 DCT KORAK DCT DUB DCT BOFUM Q37 MALUD MALUD1M</t>
  </si>
  <si>
    <t>S12R SR00 SR01 SR02 SR03 SR04 ENEBA UT27 NOSUG KEHLI/M078F340 A766 KLAMS/N0465F340 A766 SBI DCT GIFFA DCT KF27C/N0460F360 DCT DANKS DCT KD51W DCT BRK DCT KD69S DCT LAMON DCT KU87O DCT WEDAK DCT METOW GRIZZ1</t>
  </si>
  <si>
    <t>S12R SR00 SR01 SR02 SR03 2100N08644W SR21 2150N08655W 2152N08656W 2158N08656W 2206N08658W 2208N08700W KEHLI A770 LEV J35 OYSTY/N0463F360 J35 MCB DCT EDWAH DCT KM36G DCT SLN DCT KD63A DCT KD78U DCT DDY DCT KU90Q DCT HIA DCT METOW GRIZZ1</t>
  </si>
  <si>
    <t>N7750A</t>
  </si>
  <si>
    <t>S12R SR00 SR01 SR02 SR03 SR04 SR05 SR06 SR07 SR08 ENEBA 2145N08655W NOSUG KEHLI A766 KELPP DCT VUH DCT MOLLR QERVO3</t>
  </si>
  <si>
    <t>S12R T12R6 UN418 UN409 2054N08755W 2055N08803W 2101N08839W 2110N08908W NOTEN UT37 SESNO UJ15E RETOS RETOS1A</t>
  </si>
  <si>
    <t>S12R SR00 SR01 SR02 SR03 SR04 SR05 ENEBA UT27 NOSUG 2215N08658W 2227N08659W 2240N08700W 2248N08701W KEHLI A766 KELPP NNCEE2</t>
  </si>
  <si>
    <t>UDGUV2A UDGUV UT78 UKOKO 2050N08841W ANIM UBVOV UT101 UMAVO/N0460F300 UT101 ENAGA ENAGA3A</t>
  </si>
  <si>
    <t>S12R SR00 SR01 SR02 SR03 UN351 NOSUG 2225N08659W 2229N08700W 2404N08914W 2409N08920W DOLPH DCT LEV DCT CATLN Q22 TWOUP/N0470F350 Q22 BURGG Q60 JAXSN DCT DORRN CAVLR7</t>
  </si>
  <si>
    <t>2429N08923W</t>
  </si>
  <si>
    <t>CGPFT</t>
  </si>
  <si>
    <t>S12R SR00 SR01 SR02 SR03 SR04 2111N08645W NOSUG UT27 OMVIP 2309N08707W 2310N08707W 2315N08711W 2328N08740W KEHLI/M079F360 A766 KLAMS/N0460F360 A766 SBI DCT LFK DCT KF21E DCT WMICO DCT HYS DCT KD75Y DCT KD87W DCT KU06U DCT BEVEL DCT VESDO DCT EBGAL EBGAL7</t>
  </si>
  <si>
    <t>UDGUV2A UDGUV 2153N09413W 2155N09419W 2211N09502W TMN UT147 SLP</t>
  </si>
  <si>
    <t>2210N09459W</t>
  </si>
  <si>
    <t>POE792</t>
  </si>
  <si>
    <t>CGKXS</t>
  </si>
  <si>
    <t>S12R SR00 SR01 SR02 SR03 SR04 OMSUK UM219 MYDIA Y240 NAVVL/N0446F370 Y240 SNAKR M219 KNOST Q109 TEEEM Q99 BLAAN/N0439F390 Q69 RICCS DCT OXMAN LINNG3</t>
  </si>
  <si>
    <t>S12R T12R6 UN418 UN409 2053N08717W 2036N08851W 2035N08854W 2035N08855W 2033N08900W 2039N08906W 2043N08909W 2107N08938W 2107N08943W VER UT111 MEBAS UT112 LARLO LARLO1D</t>
  </si>
  <si>
    <t>N505WR</t>
  </si>
  <si>
    <t>B505</t>
  </si>
  <si>
    <t>S12R T12R6 UN418 UN409 UN419 UN432 2137N09220W 2138N09223W 2150N09459W TMN DCT MORAS UJ17 QET</t>
  </si>
  <si>
    <t>S12R T12R6 UN418 UN409 UN419 2052N08724W 2052N08731W 2057N08824W NOTEN UT37 SESNO DCT MTY DCT GABLA DCT UKRAK DCT MURDU DCT DULGU DCT OMISI/N0466F360 DCT VIVAD DCT MIDRA DCT DUMBO DCT PPE DCT AXASA DCT ASUTA DCT AMMOR OLAAA2</t>
  </si>
  <si>
    <t>S12R T12R6 UN418 UN409 UN419 2051N08731W 2050N08735W 2050N08808W 2054N08818W 2054N08819W NOTEN UT37 SESNO UJ15E RETOS RETOS1A</t>
  </si>
  <si>
    <t>UDGUV2A UDGUV 2054N08835W S365 UBVOV UT101 UMAVO/N0449F300 UT101 ENAGA ENAGA3A</t>
  </si>
  <si>
    <t>S12R T12R6 UN418 UN409 UN419 2049N08728W 2024N08820W 1953N08904W 1940N08920W 1924N08954W NOPON AGAVE UJ9 VSA DCT</t>
  </si>
  <si>
    <t>S12R 2101N08651W ALYRE TAKUX UM782 MEVUB UP406 AKPEK/N0450F370 UQ121 ISVAT ISVA5E</t>
  </si>
  <si>
    <t>HBIHB</t>
  </si>
  <si>
    <t>S12R SR00 SR01 SR02 SR03 ROTGI UM219 MYDIA Y240 SNAKR M219 CIGAR/N0493F390 DCT CTY DCT TAALN DCT ORF DCT LYNUS DCT SLATN/M085F400 NATZ REGHI/N0482F430 DCT OZNOH DCT BULOX DCT TABOV/N0488F410 UN491 POGZI DCT GELTA DCT MANAG DCT PEVIT DCT BLM</t>
  </si>
  <si>
    <t>CCBLG</t>
  </si>
  <si>
    <t>S12R T12R6 2059N08650W N12S ALSUP UB881 LANDA/N0449F350 UB881 BTO UZ498 MGA UZ512 LIXAS UL203 EKEDA/N0443F370 UL203 ARNEL UM542 TAL UV1 ATATU ATATU4</t>
  </si>
  <si>
    <t>S12R T12R6 UN418 UN409 UN419 UN432 2051N08735W 2101N08837W 2107N08922W NA106 2140N09247W 2141N09254W 2141N09256W LIDAM UT23 TAM UJ14 TMN UT147 AGU/N0464F230 UT44 MEZCA MEZCA1A</t>
  </si>
  <si>
    <t>S12R T12R6 UN418 UN409 UN419 2051N08730W 2049N08742W 2051N08744W TL513 2102N08837W 2107N08855W 2111N08904W NOTEN UT37 SESNO UJ15E RETOS RETOS1A</t>
  </si>
  <si>
    <t>S12R T12R6 UN418 UN409 UN419 2051N08729W 2051N08737W 2049N08831W 2050N08843W 2049N08851W 2052N08855W 2058N08912W 2059N08914W 2107N08943W 2108N08950W 2108N08958W 1956N09339W 1946N09356W OMPAN OMPAN1A</t>
  </si>
  <si>
    <t>CFLQZ</t>
  </si>
  <si>
    <t>S12R SR00 SR01 SR02 SR03 SR04 SR05 ENEBA 2136N08656W 2232N08713W 2355N08904W 2359N08910W LEV DCT HRV J31 MEI DCT GOOGY DCT NEWBB DCT VOSTK/N0452F390 DCT SEELA DCT WOOST DCT QWERI NUBER6</t>
  </si>
  <si>
    <t>2429N08915W</t>
  </si>
  <si>
    <t>XAVXY</t>
  </si>
  <si>
    <t>UDGUV2A UDGUV UT78 UKOKO 2049N08818W 2050N08821W 2107N08926W 2106N08948W 2108N09042W UBVOV UT20 TAJIN DCT VITOS VITOS2A</t>
  </si>
  <si>
    <t>UDGUV2A UDGUV 2049N08804W 2049N08818W 2051N08832W NOTEN UT37 SESNO UJ15E RETOS RETOS1A</t>
  </si>
  <si>
    <t>HP1830</t>
  </si>
  <si>
    <t>S12R T12R6 UN415 2055N08640W UN619 2046N08632W 2043N08629W ALYRE TAKUX UM782 OMIRO/N0461F370 UN420 PELRA DCT SPP DCT SEKMA OSUPA2</t>
  </si>
  <si>
    <t>S12R T12R6 UN415 2058N08641W 2111N08615W 2113N08559W CONAR MAXIM Y262 LULLS Y642 GRATX/M085F370 M329 BALTN/N0496F370 DCT BALOO/M085F370 DCT 35N060W/M085F370 39N050W/M085F390 41N040W 44N030W/M085F410 44N020W/M085F410 DCT KOPAS/N0482F410 DCT STG DCT DESAT DCT ZMR</t>
  </si>
  <si>
    <t>S12R T12R6 UN415 2059N08642W F301 2054N08628W 2054N08624W NUDAL UV106 PODON UG765 MAXIM DCT EYW DCT PBI A699 LOUIZ/M083F370 A699 SUMRS M204 BEXUM/M083F390 M204 SOORY DCT 41N050W 43N040W/M083F410 45N030W 46N020W 47N015W DCT ETIKI UN480 REGHI/N0471F400 DCT AMPOP DCT SIDDI/N0411F270 DCT DAWLY DCT ELRIP DCT OTMET OTMET1G</t>
  </si>
  <si>
    <t>UDGUV2A UDGUV UT78 UKOKO 2049N08836W 2050N08840W 2105N08937W XUB08 2045N09321W NUBIT VOKIR UT101 UMAVO/N0460F300 UT101 ENAGA ENAGA3A</t>
  </si>
  <si>
    <t>CGKQW</t>
  </si>
  <si>
    <t>OMSUK2A OMSUK UM219 MYDIA M219 NAVVL/N0447F390 M219 KNOST Q109 CAMJO DCT PSK/N0443F410 DCT PSB J59 SYR DCT ART DEANS4</t>
  </si>
  <si>
    <t>UDGUV2A UDGUV UT78 UKOKO 2050N08843W 2048N08848W 2101N08908W 2102N08911W 2104N08916W 2105N08916W 2110N08929W UMAVO UT101 ENAGA ENAGA3A</t>
  </si>
  <si>
    <t>N58DH</t>
  </si>
  <si>
    <t>S12R T12R6 UN418 UN409 UN419 UN432 2049N08739W 2048N08742W 2057N08813W 2057N08816W 2101N08829W 2107N08856W 2107N08907W MD406 MD400 MD401 RWY10</t>
  </si>
  <si>
    <t>S12R T12R6 UN402 UN408 CZM UN431 1941N08655W 1934N08653W PIRAS BARRA4P</t>
  </si>
  <si>
    <t>1913N08647W</t>
  </si>
  <si>
    <t>XAVGD</t>
  </si>
  <si>
    <t>S12R T12R6 UN418 UN409 UN419 2051N08730W 2051N08738W 2048N08754W 2048N08822W 2048N08850W MILTE ALRUN MD801 SEBEP MD400 MD401 RWY10 2102N08948W MD401</t>
  </si>
  <si>
    <t>CFDMB</t>
  </si>
  <si>
    <t>S12R SR00 SR01 SR02 SR03 2124N08650W 2131N08651W 2134N08652W 2137N08653W 2220N08658W 2224N08659W KEHLI/M077F360 A770 DOLPH/N0450F360 A770 LEV/N0452F370 DCT SALMS DCT NIKGY DCT QWERI NUBER6</t>
  </si>
  <si>
    <t>S12R T12R6 UN418 UN409 UN419 UN432 2048N08745W 2045N08754W NOTEN UT37 SESNO UJ15E RETOS RETOS1A</t>
  </si>
  <si>
    <t>CGFCH</t>
  </si>
  <si>
    <t>ENEBA2A ENEBA UT27 NOSUG 2152N08656W 2156N08656W 2301N08805W 2305N08809W 2327N08824W ALGAE/M077F340 A770 DOLPH/N0459F340 A770 LEV/N0458F330 J31 HRV DCT HITMN DCT IIU Q139 RINTE DCT QWERI NUBER6</t>
  </si>
  <si>
    <t>2429N08856W</t>
  </si>
  <si>
    <t>UDGUV2A UDGUV 2048N08747W 2047N08754W 2029N08859W 2033N09010W 2034N09020W 2021N09501W UMAVO UT101 ENAGA ENAGA3A</t>
  </si>
  <si>
    <t>S12R T12R6 2059N08647W 2020N08613W 1949N08600W OMIRO/N0453F370 UN420 SPP DCT VUNIB DCT SIROT DCT KUBEK DCT RNG DCT ISVAT ISVAT5E</t>
  </si>
  <si>
    <t>1957N08604W</t>
  </si>
  <si>
    <t>DANRO</t>
  </si>
  <si>
    <t>NUDAL1A NUDAL UV106 PODON UG765 MAXIM DCT EYW DCT PBI A699 NUCAR/N0469F390 A699 LOUIZ/M081F390 A699 SUMRS M327 KANUX DCT BEXUM M204 LUNKR DCT 38N060W 4030N05000W 44N040W 4830N03000W/M081F410 5130N02000W DCT LIMRI DCT XETBO/N0459F410 DCT KER DCT ENJEX DCT ADHAV DCT AGCAT DCT AXNEF DCT ZIPWE DCT OZZIL DCT SAWPE Q63 CPT UL9 BIG L607 KONAN DCT KOK UL607 SPI/N0442F370 T180 NIVNU/N0375F290 T847 TUTOV TUTOV1A</t>
  </si>
  <si>
    <t>UDGUV2A UDGUV UT78 UKOKO 2049N08831W 2049N08839W 2108N08934W PERGO UBVOV UT101 UMAVO/N0459F300 UT101 ENAGA ENAGA3A</t>
  </si>
  <si>
    <t>NUDAL1A NUDAL UV106 PODON UG765 MAXIM Y262 LULLS DCT EYW DCT TRV DCT SNNTA DCT ISO DCT SAWED DCT SWL DCT MANTA DCT DUNEE DCT BRUWN DCT TUSKY N265B NICSO/M084F400 NATT GISTI/N0474F410 DCT DAP DCT LIFFY UL975 WAL M16 DOLAS L603 LAMSO</t>
  </si>
  <si>
    <t>S12R T12R6 UN418 UN409 UN419 UN432 2051N09012W ELURA UMAVO UT101 ENAGA ENAGA3A</t>
  </si>
  <si>
    <t>XAVSY</t>
  </si>
  <si>
    <t>UDGUV2A UDGUV UBVOV UT101 UMAVO/N0448F300 UT101 ENAGA ENAGA3A</t>
  </si>
  <si>
    <t>S12R T12R6 UN418 UN409 UN419 2050N08732W 2050N08739W UBVOV DCT UMAVO UT101 ENAGA ENAGA3A</t>
  </si>
  <si>
    <t>S12R T12R6 UN418 UN409 UN419 2051N08731W 2000N09225W 1954N09244W 1921N09417W IMARA UJ12 VER</t>
  </si>
  <si>
    <t>1910N09505W</t>
  </si>
  <si>
    <t>UDGUV2A UDGUV UT78 VIKMO 2045N09323W 2045N09338W UBVOV UT101 UMAVO/N0459F300 UT101 ENAGA ENAGA3A</t>
  </si>
  <si>
    <t>S12R T12R6 UN418 UN409 UN419 2050N08732W TAGRO NOTEN UT37 SESNO UJ15E RETOS RETOS1A</t>
  </si>
  <si>
    <t>S12R T12R6 UN415 TAKUX UM782 OMIRO UN420 BONOS/N0452F370 UN420 PELRA DCT SPP DCT SEKMA OSUPA2</t>
  </si>
  <si>
    <t>XACCM</t>
  </si>
  <si>
    <t>UDGUV2A UDGUV UT78 XOLRO/N0456F380 UT78 MEDOS UT20 UBVOV UT101 UMAVO/N0478F300 UT101 ENAGA ENAGA3A</t>
  </si>
  <si>
    <t>S12R 2059N08647W NOSUG 2205N08657W 2210N08658W KEHLI A766 SBI DCT CRIED BEREE3</t>
  </si>
  <si>
    <t>2102N08651W 2116N08656W</t>
  </si>
  <si>
    <t>UDGUV2A UDGUV UT78 XOLRO 2049N09034W UBVOV TAJIN DCT VITOS VITOS2A</t>
  </si>
  <si>
    <t>N775DE</t>
  </si>
  <si>
    <t>S12R SR00 SR01 SR02 SR03 SR04 SR05 SR06 ROTGI UM219 MYDIA M219 CIGAR DCT OCNNR/N0449F360 DCT GOLLM HOBTT3</t>
  </si>
  <si>
    <t>UDGUV2A UDGUV UT78 MEDOS UT20 UBVOV UT101 UMAVO/N0459F300 UT101 ENAGA ENAGA3A</t>
  </si>
  <si>
    <t>N67827</t>
  </si>
  <si>
    <t>S12R SR00 SR01 SR02 SR03 SR04 SR05 SR06 SR07 UN406 NOSUG 2218N08658W 2224N08659W KEHLI A766 KELPP NNCEE2</t>
  </si>
  <si>
    <t>S12R 2109N08604W 2111N08551W NUDAL UR506 NUDUG UL212 ONPAD DCT PETRI W28 BEREL BEREL1W</t>
  </si>
  <si>
    <t>N77581</t>
  </si>
  <si>
    <t>S12R SR00 SR01 SR02 SR03 SR04 SR05 SR06 SR07 SR08 SR09 ROTGI UM219 MYDIA M219 CIGAR/N0460F350 DCT DEANR Q109 CAMJO Q99 QUART PHLBO4</t>
  </si>
  <si>
    <t>N228JD</t>
  </si>
  <si>
    <t>2052N08738W 2048N08756W S28</t>
  </si>
  <si>
    <t>2051N09459W</t>
  </si>
  <si>
    <t>S12R T12R6 UN418 UN409 UN419 UN432 2049N08739W NAPRI NAPRI1A</t>
  </si>
  <si>
    <t>S12R T12R6 UN418 UN409 UN419 2050N08732W 2050N08738W UBVOV UT101 UMAVO/N0459F300 UT101 ENAGA ENAGA3A</t>
  </si>
  <si>
    <t>S12R T12R6 UN418 UN409 2054N08709W 2053N08714W UN419 NOTEN UT37 SESNO UJ15E RETOS RETOS1A</t>
  </si>
  <si>
    <t>N656FR</t>
  </si>
  <si>
    <t>S12R SR00 2059N08646W 2101N08644W 2103N08643W 2139N08652W 2144N08653W 2207N08719W 2210N08721W 2211N08732W 2215N08746W KEHLI A766 SBI DCT CRIED BEREE3</t>
  </si>
  <si>
    <t>S12R T12R6 UN418 UN409 UN419 2049N09122W 2047N09217W 2046N09226W ELURA UMAVO UT101 ENAGA ENAGA3A</t>
  </si>
  <si>
    <t>UDGUV2A UDGUV UT78 UKOKO 2047N08852W AVIVI ELVED UT104 LENUL LENUL3A</t>
  </si>
  <si>
    <t>S12R T12R6 UN418 UN409 UN419 2051N08738W AVIVI ELVED/N0335F200 UT104 LENUL LENUL2B</t>
  </si>
  <si>
    <t>N800SV</t>
  </si>
  <si>
    <t>S12R T12R6 2054N08650W 2045N08648W UDGUV DCT NOTEN UT37 SESNO UJ15E RETOS DCT</t>
  </si>
  <si>
    <t>N610FR</t>
  </si>
  <si>
    <t>S12R SR00 SR01 SR02 SR03 SR04 SR05 2105N08645W 2113N08646W 2116N08647W 2131N08649W 2133N08650W 2140N08653W 2150N08656W 2157N08658W 2156N08701W 2201N08706W KEHLI A766 LAURL/N0449F370 DCT SWEUP/N0455F390 Q33 EDWAH DCT LIT J180 FTZ TRTLL6</t>
  </si>
  <si>
    <t>CGEPF</t>
  </si>
  <si>
    <t>S12R SR00 SR01 SR02 SR03 SR04 NOSUG UT27 OMVIP UT45 ALKIM DCT KEHLI/M080F360 A770 DOLPH/N0467F360 A770 LEV/N0469F350 J31 HRV DCT HITMN/N0468F370 DCT IIU DCT ROD DCT QWERI NUBER6</t>
  </si>
  <si>
    <t>XAVRP</t>
  </si>
  <si>
    <t>UDGUV2A UDGUV 2048N08750W 2047N08752W 2007N09500W IKLOK UT123 IGSON</t>
  </si>
  <si>
    <t>2007N09459W</t>
  </si>
  <si>
    <t>N606FR</t>
  </si>
  <si>
    <t>S12R SR00 SR01 SR02 SR03 2129N08650W 2132N08652W 2141N08654W 2148N08656W KEHLI A770 LEV DCT OYSTY J35 SQS/N0445F390 J35 MEM BOOSH3</t>
  </si>
  <si>
    <t>N302SS</t>
  </si>
  <si>
    <t>ENEBA2A ENEBA UT27 OMVIP UT45 ALKIM DCT KEHLI A766 SBI DCT CRIED BEREE3</t>
  </si>
  <si>
    <t>UDGUV2A UDGUV DCT NOTEN SESNO RETOS RETOS1A</t>
  </si>
  <si>
    <t>N917UY</t>
  </si>
  <si>
    <t>NUDAL1A NUDAL UV106 PODON UG765 MAXIM Y262 GOPEY Q87 TIRCO/N0457F320 Q87 ZERBO/N0465F330 Q87 JROSS Q135 RREGG Q117 KTEEE/N0427F290 Q117 SAWED Q97 ZJAAY JIIMS4</t>
  </si>
  <si>
    <t>S12R T12R6 UN418 UN409 2052N08723W UBVOV UT101 VOKIR/N0469F270 UT101 ENAGA/N0408F270 ENAGA3A</t>
  </si>
  <si>
    <t>S12R 2101N08651W T12R6 2103N08647W SR08 OMSUK UM219 MYDIA M219 CIGAR DCT DEANR/N0460F350 Q109 CAMJO Q99 OGRAE DCT BZNGA DCT DORRN CAVLR7</t>
  </si>
  <si>
    <t>HP1839</t>
  </si>
  <si>
    <t>S12R T12R6 TAKUX UM782 OMIRO/N0460F370 UM782 ARNAL DCT SEKMA OSUPA2</t>
  </si>
  <si>
    <t>S12R T12R6 UN418 UN409 2055N08723W NOTEN DCT LIBOX DCT MOV UT3 URKOM UJ54 CJS DCT</t>
  </si>
  <si>
    <t>S12R 2101N08651W CTM UG765 AUR DCT</t>
  </si>
  <si>
    <t>S12R 2101N08650W ALSUP UB881 BTO UZ498 MGA UZ512 LIB BARRA4L</t>
  </si>
  <si>
    <t>S12R SR00 SR01 SR02 SR03 SR04 2103N08644W 2114N08647W OMSUK M219 ROTGI UM219 MYDIA M219 SNAKR DCT CAMJO Q99 BLAAN Q69 RICCS DCT OXMAN LINNG3</t>
  </si>
  <si>
    <t>HP1520</t>
  </si>
  <si>
    <t>S12R T12R6 UN418 UN409 UN419 UN432 2052N08742W 2111N08933W 2122N09038W LIDAM UT23 TAM UJ14 TMN UT147 AGU UT44 MEZCA MEZCA1A</t>
  </si>
  <si>
    <t>S12R SR00 SR01 SR02 SR03 SR04 ENEBA UT27 NOSUG KEHLI A766 KELPP BAYYY5</t>
  </si>
  <si>
    <t>UDGUV2A UDGUV DCT MID DCT 2219N09230W 2223N09239W NOTEN UT37 SESNO UJ15E RETOS RETOS1A</t>
  </si>
  <si>
    <t>N860NN</t>
  </si>
  <si>
    <t>S12R SR00 SR01 SR02 SR03 SR04 SR05 ENEBA UT27 NOSUG KEHLI A766 KELPP DCT MUSYL DCT WEEED WLEEE7</t>
  </si>
  <si>
    <t>UDGUV2A UDGUV UT78 MEDOS UT20 UBVOV UT101 UMAVO/N0447F300 UT101 ENAGA ENAGA3A</t>
  </si>
  <si>
    <t>HP1728</t>
  </si>
  <si>
    <t>S12R T12R6 UN415 2049N08631W TAKUX UM782 OMIRO/N0450F370 UN420 PELRA DCT SPP DCT SEKMA OSUPA2</t>
  </si>
  <si>
    <t>N133AN</t>
  </si>
  <si>
    <t>S12R SR00 SR01 SR02 SR03 2104N08647W 2107N08649W ENEBA UT27 NOSUG KEHLI A766 SBI DCT CRIED BEREE3</t>
  </si>
  <si>
    <t>S12R T12R6 UN418 2056N08654W 2053N08709W UKOKO UT78 DURPI 2116N09009W 2206N09156W 2258N09353W 2300N09358W 2258N09401W 2258N09403W 2247N09605W SESNO UJ15E MTY UT11 GABLA UJ40 NOVUL NOVUL2C</t>
  </si>
  <si>
    <t>2253N09459W</t>
  </si>
  <si>
    <t>N536JB</t>
  </si>
  <si>
    <t>S12R T12R6 2059N08647W 2057N08640W NUDAL UV106 PODON UG765 MAXIM BHHIA3</t>
  </si>
  <si>
    <t>CFYPB</t>
  </si>
  <si>
    <t>S12R SR00 SR01 SR02 SR03 SR04 OMSUK UM219 MYDIA/M077F370 M219 CIGAR/N0449F370 DCT PETTO DCT RRSIN DCT ARRKK DCT GUBID OMVAR2</t>
  </si>
  <si>
    <t>S12R SR00 SR01 SR02 SR03 SR04 OMSUK UM219 ALPUK/N0462F330 UM219 MYDIA M219 CIGAR DCT BULZI DCT JOHNN/N0460F340 Q118 HEVAN/N0438F280 Q118 BONNT/N0412F240 VEECK5</t>
  </si>
  <si>
    <t>CCBBG</t>
  </si>
  <si>
    <t>S12R T12R6 UN402 2047N08649W 2039N08653W ALSUP 1908N08702W URIOS UB881 BTO UZ498 MGA UZ512 LIXAS UL203 ATENO UM542 ISREN UL780 SORTA/N0489F390 UL780 SULNA UT315 TOY UL302 SIMOK SIMOK7B</t>
  </si>
  <si>
    <t>1859N08700W</t>
  </si>
  <si>
    <t>S12R T12R6 UN418 UN409 UN419 2055N08731W 2054N08821W OMPAN DCT</t>
  </si>
  <si>
    <t>SCX572</t>
  </si>
  <si>
    <t>N844SY</t>
  </si>
  <si>
    <t>S12R SR00 SR01 2107N08646W 2119N08647W NOSUG 2253N08701W 2258N08702W KEHLI A770 LEV DCT MCB DCT ARG DCT KK63I DCT MNOSO BLUEM5</t>
  </si>
  <si>
    <t>N910NM</t>
  </si>
  <si>
    <t>KSUS</t>
  </si>
  <si>
    <t>S12R SR00 SR01 NOSUG UT27 OMVIP KEHLI A770 LEV J35 FAM J151 SLVER DCT</t>
  </si>
  <si>
    <t>S12R T12R6 2100N08648W 2054N08643W 2053N08642W UN612 ALYRE TAKUX UM782 OMIRO/N0451F390 UM782 MEVUB UP406 AKPEK AKPE4C</t>
  </si>
  <si>
    <t>S12R T12R6 UN418 UN409 VOBED 2052N08725W 2043N08745W 2030N08803W 2018N08819W 2012N08825W 2009N08827W 1953N08846W OMATO UJ16 OAX</t>
  </si>
  <si>
    <t>N336DX</t>
  </si>
  <si>
    <t>S12R 2101N08651W 2100N08649W SL0 2105N08648W SR10 ROTGI UM219 MYDIA M219 CIGAR DCT PLYER DCT DAWWN/N0458F340 DCT THRSR/N0458F350 DCT NOTWO DCT VXV DCT SPAYD DCT HNN/N0460F350 DCT SUBWY CRAKN2</t>
  </si>
  <si>
    <t>S12R T12R6 UN418 VOBED 2057N08716W 2101N08727W 2059N08729W 2058N08832W NUBIT DCT RIBET UT101 ENAGA DCT OVAGO UT123 IKLOK/N0447F220 UT123 IGSON IGSON1B</t>
  </si>
  <si>
    <t>S12R SR00 SR01 SR02 SR03 SR04 SR05 SR06 SR07 2104N08647W CN10 ROTGI UM219 MYDIA M219 SNAKR/N0454F350 DCT CAMJO Q99 BLAAN Q69 RICCS DCT PSB DCT SYR DCT ART IMPAC4</t>
  </si>
  <si>
    <t>XAAMT</t>
  </si>
  <si>
    <t>S12R T12R6 UN418 VOBED 2052N08740W 2053N08748W 2059N08808W UBVOV UT101 UMAVO/N0463F300 UT101 ENAGA ENAGA3A</t>
  </si>
  <si>
    <t>N289CT</t>
  </si>
  <si>
    <t>S12R T12R6 UN415 NUDAL UV106 PODON UG765 MAXIM Y262 GOPEY Q87 TIRCO/N0453F380 Q87 ZERBO/N0450F390 Q87 RAYVO Q113 AARNN DCT THHMP RAVNN9</t>
  </si>
  <si>
    <t>S12R T12R6 UN418 UN409 UN419 2051N08727W 2054N08739W 2100N08757W 2056N08831W 2056N08905W NOTEN UT37 SESNO UJ15E RETOS RETOS1A</t>
  </si>
  <si>
    <t>S12R 2103N08649W OMSUK UM219 MYDIA M219 CIGAR RAYZZ3</t>
  </si>
  <si>
    <t>N583DT</t>
  </si>
  <si>
    <t>S12R 2101N08651W MOGOP OMSUK UM219 MYDIA M219 CIGAR DCT CAMJO Q109 YURCK Q97 KOHLS/N0455F350 Q97 SAWED Q108 SIE CAMRN5</t>
  </si>
  <si>
    <t>N524UW</t>
  </si>
  <si>
    <t>S12R 2100N08650W CN02 2101N08646W OMSUK UM219 MYDIA M219 BUUOY/N0461F350 M219 CIGAR DCT BULZI DCT WALET DCT BESTT DCT SMTTH/N0462F360 DCT ROYYZ Q118 BONNT VEECK5</t>
  </si>
  <si>
    <t>S12R SR00 CN04 ENEBA UT27 NOSUG 2219N08658W 2226N08700W 2305N08753W 2343N08820W KEHLI A766 SBI DCT LUKKN WLEEE7</t>
  </si>
  <si>
    <t>N231QS</t>
  </si>
  <si>
    <t>S12R T12R6 2056N08658W 2057N08710W 2056N08719W 2056N08734W 2057N08739W 2100N08754W 2100N08755W MR240 2101N08824W 2101N08833W 2101N08843W 2153N09103W 2155N09116W 2157N09124W 2157N09128W NOTEN UT37 EBDUB DCT NUGUS UJ59 MAM DCT</t>
  </si>
  <si>
    <t>S12R T12R6 UN418 UN409 UN419 UN432 2050N08734W 2049N08745W 2048N08806W 2051N08834W 2051N08836W 2054N08911W 2055N08919W DUTNA L208 PEGLG NNCEE2</t>
  </si>
  <si>
    <t>N37516</t>
  </si>
  <si>
    <t>S12R T12R6 UN418 UN409 UN419 2051N08732W 2049N08737W 2048N08750W 2046N08803W 2032N08820W 2215N09208W 2218N09212W NOTEN UT37 SESNO DCT MTY UT11 SINLO/N0469F340 UT11 PPE J93 AXASA DCT ASUTA J93 PDZ DCT COREZ DCT MAKRS DCT SERFR SERFR4</t>
  </si>
  <si>
    <t>S12R SR00 SR01 SR02 SR03 OMSUK 2135N08644W 2150N08637W XOPGI UM219 MYDIA M219 SNAKR/N0461F350 M219 KNOST DCT DEANR DCT BRUTS Q109 CAMJO DCT TWINS DCT PONZE BANKR8</t>
  </si>
  <si>
    <t>N1837S</t>
  </si>
  <si>
    <t>S12R SR00 SR01 SR02 SR03 2103N08646W NC06 2137N08653W 2231N08710W KEHLI A766 KELPP DCT</t>
  </si>
  <si>
    <t>S12R SR00 SR01 SR02 SR03 SR04 ENEBA UT27 NOSUG 2243N08700W 2248N08701W 2252N08701W OMVIP NOTEN UT37 EBDUB MAM UJ10 REX UJ13 CAMUI UJ2 MOV UT3 AGNID DCT CUS DCT DRRVR PINNG1</t>
  </si>
  <si>
    <t>UDGUV2A UDGUV DCT 2049N08758W 2045N08831W 2048N08837W NOTEN UT37 ULUMA DCT MTY UT11 SINLO SINLO1A</t>
  </si>
  <si>
    <t>S12R 2100N08649W MOGOP NC01 2100N08647W 2102N08646W 2107N08646W 2123N08648W 2128N08647W XOPGI UM219 MYDIA M219 CIGAR DCT CMIKE DCT BKW DCT AIR DCT KOZAR DCT OXMAN LINNG3</t>
  </si>
  <si>
    <t>S12R TAKUX UM782 OMIRO/N0452F390 UN420 SPP UP530 KAKOL/N0451F390 DCT RNG UQ121 ISVAT ISVA5E</t>
  </si>
  <si>
    <t>S12R 2100N08650W 2105N08642W 2108N08639W 2110N08639W 2111N08639W 2115N08638W 2132N08640W MYDIA/M078F350 M219 CIGAR/N0455F350 DCT ACERB DCT KC60U DCT OXMAN LINNG3</t>
  </si>
  <si>
    <t>N128AN</t>
  </si>
  <si>
    <t>S12R 2100N08650W 2102N08647W 2104N08644W 2107N08642W 2109N08643W 2115N08643W 2125N08644W 2127N08644W 2138N08650W 2249N08715W KEHLI A766 SBI DCT CRIED BEREE3</t>
  </si>
  <si>
    <t>S12R T12R6 2057N08653W 2048N08700W 2045N08704W 2044N08711W 2046N08817W 2143N09416W 2143N09436W TMN UT147 SLP DCT LIBOL LIBOL1B</t>
  </si>
  <si>
    <t>N369FR</t>
  </si>
  <si>
    <t>S12R SR00 SR01 SR02 SR03 SR04 2133N08641W MYDIA M219 CIGAR M215 KNOST Q109 DEANR/N0449F380 DCT DAWWN DCT BEORN HOBTT3</t>
  </si>
  <si>
    <t>S12R 2101N08650W 2100N08649W 2102N08647W 2106N08643W ROTGI UM219 MYDIA/M079F330 M219 NAVVL/M079F350 M219 CULLY/N0466F350 M219 KNOST DCT CAMJO DCT AMG DCT IRQ DCT DANCO DCT EWESS Q69 RICCS DCT JST DCT ETG DCT ART IMPAC4</t>
  </si>
  <si>
    <t>S12R T12R6 UN418 2056N08657W 2049N08711W 2050N08722W 2044N08821W 2051N08855W 2051N08858W 2051N08859W 2051N08909W 2050N09027W UBVOV UT20 TAJIN DCT VITOS VITOS2A</t>
  </si>
  <si>
    <t>N322DN</t>
  </si>
  <si>
    <t>S12R SR00 SR01 SR02 SR03 SR04 ROTGI UM219 MYDIA M219 CIGAR DCT OCNNR/N0455F360 DCT GOLLM HOBTT3</t>
  </si>
  <si>
    <t>N8715Q</t>
  </si>
  <si>
    <t>S12R 2100N08650W SL0 2102N08647W 2106N08647W 2125N08653W 2124N08653W ENEBA NOSUG UT27 OMVIP DCT KEHLI A766 SBI DCT MRSSH DCT TUL/N0473F350 DCT STASN WUTNG3</t>
  </si>
  <si>
    <t>N69888</t>
  </si>
  <si>
    <t>S12R 2100N08649W SR0 2101N08646W 2126N08654W 2316N08726W 2322N08729W KEHLI A766 KELPP NNCEE2</t>
  </si>
  <si>
    <t>N201LV</t>
  </si>
  <si>
    <t>S12R T12R6 2100N08649W SR0 NUDAL MAXIM/N0452F380 DCT DOZES PRICY5</t>
  </si>
  <si>
    <t>S12R 2101N08652W CZM B764 BUKKY BUKKY1A</t>
  </si>
  <si>
    <t>N34535</t>
  </si>
  <si>
    <t>S12R 2100N08649W NC01 2101N08646W 2101N08644W NOSUG UT27 OMVIP 2323N08718W 2324N08718W 2335N08740W KEHLI A766 SBI DCT KF09E DCT SPS DCT HALEN NIIXX4</t>
  </si>
  <si>
    <t>N904AV</t>
  </si>
  <si>
    <t>S12R T12R6 2055N08649W 2050N08646W UN634 2028N08648W 2022N08651W 1940N08725W 1932N08740W 1927N08746W TIKIS TIKIS2C</t>
  </si>
  <si>
    <t>1831N08819W</t>
  </si>
  <si>
    <t>N7736A</t>
  </si>
  <si>
    <t>S12R SR00 SR01 SR02 SR03 SR04 SR05 SR06 SR07 SR08 2105N08647W 2113N08651W 2116N08652W 2122N08655W 2128N08657W NOSUG UT27 OMVIP DCT KEHLI A766 KELPP BAYYY5</t>
  </si>
  <si>
    <t>TCLMD</t>
  </si>
  <si>
    <t>S12R 2101N08651W N15S NUDAL UV106 PODON UG765 MAXIM Y262 LULLS Y642 JITGO/M084F350 Y642 GRATX M329 BALTN DCT LAZEY/M084F350 DCT 3730N05000W/N0482F370 DCT 39N040W/M084F370 DCT 42N030W DCT 46N020W DCT 46N015W DCT SIVIR DCT RIVAK/N0478F400 DCT GALOF/N0481F390 DCT PECNO DCT VALKU DCT TIS DCT MEBAK DCT GIPNO DCT BALSI DCT OBIGO DCT ROBEX/N0481F390 DCT LAPRI DCT MOGBO DCT SIRMI/N0482F390 DCT TORTO DCT NISVA L614 DEDIN DCT AYTEK</t>
  </si>
  <si>
    <t>S12R T12R6 UN418 2048N08702W 2048N08703W 2047N08712W 2046N08718W 2048N08733W 2050N08743W 2053N08804W 2054N08829W LIDAM UT23 TAM UJ14 TMN DCT MORAS UJ17 QET DCT</t>
  </si>
  <si>
    <t>S12R 2100N08648W 2102N08645W 2106N08644W ENEBA NOSUG 2246N08700W KEHLI A766 SBI DCT EIC DCT FSM DCT EOS DCT BUM DCT MCI/N0456F320 DCT ROKKK NITZR4</t>
  </si>
  <si>
    <t>N8759Q</t>
  </si>
  <si>
    <t>S12R SR00 SR01 SR02 SR03 SR04 2109N08641W 2116N08639W 2119N08638W 2142N08640W 2146N08640W MYDIA M219 KNOST DCT PLYER/N0453F380 DCT LEGGT DCT HEVVN DCT SZW DCT JAGIR SWFFT3</t>
  </si>
  <si>
    <t>N882NN</t>
  </si>
  <si>
    <t>S12R T12R6 UN418 2056N08653W 2055N08658W 2054N08703W 2049N08732W 2048N08735W 2048N08736W 2048N08739W 2048N08748W 2050N08806W 2049N08857W UBVOV UT101 ENAGA DCT OTAGO DCT ATUKA ATUKA1B</t>
  </si>
  <si>
    <t>N886NN</t>
  </si>
  <si>
    <t>S12R 2101N08650W MOGOP 2101N08647W 2101N08645W 2108N08644W 2110N08640W 2110N08635W 2113N08632W 2119N08630W 2126N08628W 2128N08629W 2137N08628W MYDIA M219 KNOST Q109 CAMJO Q99 PEETT DCT BBDOL PAATS4</t>
  </si>
  <si>
    <t>S12R T12R6 UN418 UN409 2055N08702W 2047N08717W 2043N08723W 2042N08726W 2039N08732W 2035N08740W 2035N08743W 2035N08755W 2035N08756W 2154N09108W 2159N09136W 2210N09247W NOTEN UT37 ULUMA DCT MTY DCT TASTO DCT ILAMA UT41 NADIS DCT AVRIL UJ3 TANRI TANRI1B</t>
  </si>
  <si>
    <t>S12R SR00 SR01 SR02 SR03 2109N08637W 2116N08631W 2121N08629W 2127N08628W 2126N08627W 2131N08630W MYDIA M219 CIGAR DCT OCNNR DCT GOLLM HOBTT3</t>
  </si>
  <si>
    <t>S12R SR00 SR01 SR02 SR03 SR04 SR05 2103N08645W 2109N08649W 2112N08651W 2114N08652W 2116N08653W NOSUG 2221N08658W 2229N08659W 2314N08803W 2335N08833W KEHLI A770 LEV DCT MLC/N0456F360 DCT RASCL DCT KD60A DCT RAP DCT KU15U DCT YEA DCT CAMRA IGSOX3</t>
  </si>
  <si>
    <t>N544VL</t>
  </si>
  <si>
    <t>S12R T12R6 UN418 UN409 2054N08706W 2048N08718W 2046N08721W 2038N08733W 2036N08735W 2033N08738W 2032N08739W CZ916 2033N08749W 2034N08754W 2036N08803W 2039N08817W 2038N08828W 2036N08845W 2114N08956W 2144N09059W 2148N09119W 2204N09152W 2223N09212W NOTEN UT37 EBDUB/N0450F180 UT37 SESNO UJ15E RETOS/N0329F180 RETOS1A</t>
  </si>
  <si>
    <t>S12R T12R6 UN418 2056N08655W 2049N08711W 2038N08734W 2036N08737W 2036N08742W 2037N08755W 2038N08804W 2039N08808W 2051N08836W 2049N09040W UBVOV UT101 UMAVO/N0460F300 UT101 ENAGA ENAGA3A</t>
  </si>
  <si>
    <t>S12R 2101N08650W MOGOP 2107N08613W 2108N08610W 2122N08552W 2140N08541W MAXIM Y262 TUNSL DCT FEMID/N0457F340 Q118 KPASA Q99 DOFFY/N0447F350 Q99 POLYY DCT DADDS Q87 GEARS DCT BBOBO Q22 RBV Q419 JFK ROBUC3</t>
  </si>
  <si>
    <t>N703JB</t>
  </si>
  <si>
    <t>S12R T12R6 UN418 2056N08656W 2047N08718W 2043N08730W 2042N08731W 2035N08742W 2035N08746W LIDAM UT23 TAM UJ14 TMN UT147 SLP UJ40 LIBOL LIBOL1B</t>
  </si>
  <si>
    <t>S12R T12R6 UN418 UN409 2053N08715W 2046N08729W 2104N08826W 2113N08919W NA105 NOTEN UT37 SESNO UJ15E RETOS RETOS1A</t>
  </si>
  <si>
    <t>S12R SR00 SR01 SR02 SR03 SR04 2103N08644W 2118N08637W 2119N08639W 2126N08637W 2131N08635W 2133N08634W 2146N08632W MYDIA M219 KNOST DCT PLYER/N0465F360 DCT JOHNN/N0462F380 Q118 THRSR Q79 IIU DCT DROSE FISSK7</t>
  </si>
  <si>
    <t>N648JB</t>
  </si>
  <si>
    <t>S12R SR00 SR01 SR02 2100N08644W 2106N08641W 2107N08643W 2210N08632W MYDIA M219 KNOST Q109 DFENC DCT SAWED Q108 SIE CAMRN5</t>
  </si>
  <si>
    <t>N915NN</t>
  </si>
  <si>
    <t>S12R SR00 SR01 SR02 SR03 2101N08643W 2106N08645W NOSUG 2253N08701W KEHLI A766 SBI DCT CRIED BEREE3</t>
  </si>
  <si>
    <t>S12R T12R6 UN418 UN409 2042N08711W 2037N08720W 2036N08722W 2043N08904W 2042N08912W 2037N08919W 2027N08932W 2028N08938W 2032N08956W UBVOV DCT UMAVO UT101 ENAGA ENAGA3A</t>
  </si>
  <si>
    <t>S12R T12R6 UN418 UN409 UN419 2046N08728W 2056N08905W LIDAM UT23 TAM UJ14 TMN UT147 SLP/N0452F200 UJ40 LIBOL/N0343F200 LIBOL1B</t>
  </si>
  <si>
    <t>N7832A</t>
  </si>
  <si>
    <t>S12R SR00 SR01 2059N08645W 2106N08643W 2124N08639W MYDIA M219 KNOST Q109 CAMJO Q99 OGRAE DCT GOOOB DCT THHMP RAVNN9</t>
  </si>
  <si>
    <t>XAVUP</t>
  </si>
  <si>
    <t>S12R T12R6 UN418 UN409 2049N08717W 2042N08916W 2036N08932W 2037N08948W UBVOV UT20 PAZ UT104 ELVED/N0415F300 UT104 LENUL LENUL2B</t>
  </si>
  <si>
    <t>THY6924</t>
  </si>
  <si>
    <t>TCLGZ</t>
  </si>
  <si>
    <t>S12R T12R6 UN415 UN413 2103N08624W NUDAL UR506 NORIL UL674 FUNKO UL465 LACET/N0462F400 DCT LEVOR/N0467F410 UP536 SPP UN420 MORLI</t>
  </si>
  <si>
    <t>XAVSF</t>
  </si>
  <si>
    <t>S12R T12R6 2057N08652W 2045N08710W 2038N08730W 2043N08758W 2046N08839W 2038N08842W 2035N08849W 2014N08927W 2012N08929W 1954N09005W UBVOV UT101 UMAVO/N0389F260 UT169 VITOS/N0327F160 VITOS2A</t>
  </si>
  <si>
    <t>S12R 2101N08651W 2059N08651W 2046N08712W 2043N08721W 2041N08751W UKOKO 2044N08841W 2037N08923W 2033N08952W UBVOV UT101 UMAVO/N0364F200 UT101 ENAGA ENAGA3A</t>
  </si>
  <si>
    <t>S12R T12R6 UN418 UN409 2033N08711W 2016N08728W 1959N08732W 1952N08733W 1942N08740W 1936N08744W 1926N08749W 1902N08804W 1848N08817W 1832N08835W 1833N08836W 1833N08846W 1834N08909W 1830N08933W 1825N08954W 1820N09010W 1813N09031W 1814N09034W 1851N09218W 1851N09239W 1850N09250W 1849N09309W 1846N09430W 1853N09453W 1854N09455W 1905N09531W MEBAS LARLO</t>
  </si>
  <si>
    <t>N899DN</t>
  </si>
  <si>
    <t>S12R SR00 SR01 SR02 SR03 SR04 SR05 SR06 2103N08644W L35 ROTGI 2219N08629W MYDIA M219 CIGAR DCT OCNNR DCT GOLLM HOBTT3</t>
  </si>
  <si>
    <t>S12R 2100N08650W 2101N08647W 2116N08651W 2149N08655W 2155N08657W 2200N08659W 2205N08701W 2308N08815W 2313N08820W 2342N08837W 2354N08852W 2416N08909W 2422N08915W KEHLI A766 KELPP NNCEE2</t>
  </si>
  <si>
    <t>S12R SR00 SR01 ROTGI UM219 MYDIA M219 CIGAR PRICY5</t>
  </si>
  <si>
    <t>S12R SR00 CN04 ENEBA UT27 NOSUG 2155N08656W 2202N08656W KEHLI A766 KELPP DCT VUH DCT</t>
  </si>
  <si>
    <t>S12R T12R6 UN418 UN409 2054N08659W 2045N08728W 2046N08738W UKOKO 2048N08903W ABALA 2109N09130W 2125N09324W 2129N09334W 2155N09424W TMN UT147 BOPAX BOPAX1B</t>
  </si>
  <si>
    <t>2156N09459W</t>
  </si>
  <si>
    <t>N73445</t>
  </si>
  <si>
    <t>S12R T12R6 UN418 UN409 2050N08717W 2048N08720W 2046N08730W 2045N08737W UDGUV 2050N08803W 2104N09020W 2119N09048W 2124N09108W 2131N09146W 2205N09251W NOTEN UT37 SESNO/N0476F320 DCT MTY UT11 PPE J93 ASUTA DCT AMMOR OLAAA2</t>
  </si>
  <si>
    <t>S12R T12R6 UN418 2056N08655W 2052N08708W 2043N08731W UDGUV 2047N08808W 2046N08807W UBVOV UT101 UMAVO/N0460F300 UT101 ENAGA ENAGA3A</t>
  </si>
  <si>
    <t>N37514</t>
  </si>
  <si>
    <t>S12R SR00 SR01 SR02 SR03 OMSUK UM219 ALPUK/N0462F350 UM219 MYDIA M219 CIGAR DCT BULZI DCT JOHNN/N0462F340 Q118 HEVAN/N0436F280 Q118 BONNT/N0412F240 VEECK5</t>
  </si>
  <si>
    <t>N948NN</t>
  </si>
  <si>
    <t>S12R SR00 SR01 SR02 SR03 SR04 2139N08653W 2145N08654W KEHLI A766 SBI DCT CRIED BEREE3</t>
  </si>
  <si>
    <t>S12R SR00 SR01 SR02 2126N08643W 2145N08648W XOPGI UM219 MYDIA M219 CIGAR DCT DEANR/N0459F350 Q109 CAMJO Q99 QUART PHLBO4</t>
  </si>
  <si>
    <t>CGFJD</t>
  </si>
  <si>
    <t>S12R SR00 SR01 SR02 SR03 SR04 ALKIM DCT KEHLI/M078F360 A766 KLAMS/N0459F360 A766 SBI DCT DONIE DCT KF12E DCT CHARE DCT KD48Y DCT ZAPER DCT BIL DCT COUTS DCT EBGAL EBGAL7</t>
  </si>
  <si>
    <t>S12R T12R6 2059N08650W 2057N08649W ALSUP UB881 BTO UZ498 MGA UZ512 LIXAS/N0450F370 UL203 ARNEL UM542 TAL UV1 ATATU ATATU4</t>
  </si>
  <si>
    <t>N47533</t>
  </si>
  <si>
    <t>S12R SR00 SR01 SR02 SR03 SR04 2142N08655W 2148N08656W KEHLI/N0465F340 A766 SBI DCT KF09E DCT KF21C DCT SPS DCT HALEN NIIXX4</t>
  </si>
  <si>
    <t>N1801U</t>
  </si>
  <si>
    <t>UDGUV2A UDGUV UT78 UKOKO IPSEV L207 VUH DCT JCT J86 INW DCT HAHAA RKSTR4</t>
  </si>
  <si>
    <t>S12R T12R6 UN418 XUBLI 2032N08712W CZ905 1938N08753W 1938N08806W 2017N08900W 2023N08936W 2020N08949W 2020N08950W 2020N08954W 2021N09012W 2021N09014W 2022N09022W 2022N09023W 2223N09328W 2229N09338W NOTEN UT37 SESNO UJ15E RETOS RETOS1A</t>
  </si>
  <si>
    <t>S12R SR00 SR01 SR02 MYDIA M219 KNOST DCT DEANR DCT BRUTS Q109 CAMJO DCT TWINS DCT PONZE BANKR8</t>
  </si>
  <si>
    <t>CCBBE</t>
  </si>
  <si>
    <t>S12R T12R6 UN415 UN413 2106N08616W 2108N08610W PODON UG765 MAXIM SNDBR3</t>
  </si>
  <si>
    <t>S12R SR00 SR01 SR02 SR03 ROTGI UM219 MYDIA M219 CIGAR DCT DEANR/N0459F350 Q109 CAMJO Q99 OGRAE DCT BZNGA DCT DORRN CAVLR7</t>
  </si>
  <si>
    <t>N955JB</t>
  </si>
  <si>
    <t>OMSUK2A OMSUK UM219 MYDIA M219 KNOST Q109 DFENC DCT SAWED Q108 SIE CAMRN5</t>
  </si>
  <si>
    <t>XAVUZ</t>
  </si>
  <si>
    <t>S12R T12R6 UN418 UN409 XUBLI 2038N08714W 2017N08726W 2000N08736W 1958N08738W 1955N08742W 1945N08753W 1945N08757W 1942N08804W NUBIT DCT RIBET UT101 ENAGA DCT OVAGO UT123 IKLOK/N0448F220 UT123 IGSON IGSON1B</t>
  </si>
  <si>
    <t>N543EE</t>
  </si>
  <si>
    <t>UDGUV2A UDGUV UJ84 IKLEK 2039N08919W 2035N08931W MD606 2024N09000W 2021N09010W 2020N09011W 2018N09022W 2019N09026W 2045N09458W UBVOV ALMUV UT20 PAZ UT104 LENUL DCT</t>
  </si>
  <si>
    <t>N8742M</t>
  </si>
  <si>
    <t>S12R SR00 SR01 SR02 SR03 2128N08651W 2141N08655W 2206N08703W 2224N08709W 2225N08710W 2234N08714W KEHLI A766 SBI DCT FUZ J58 SPS DCT HALEN NIIXX4</t>
  </si>
  <si>
    <t>S12R T12R6 UN418 UN409 UN419 UKOKO UT78 MEDOS DCT UBVOV UT20 TAJIN DCT VITOS VITOS2A</t>
  </si>
  <si>
    <t>N884DN</t>
  </si>
  <si>
    <t>S12R SR00 SR01 SR02 2148N08655W 2156N08658W KEHLI A766 SBI DCT ACT DCT PNH/N0464F340 DCT ALS DCT JNC J12 HELPR JAZZZ1</t>
  </si>
  <si>
    <t>N418AN</t>
  </si>
  <si>
    <t>S12R SR00 SR01 SR02 SR03 SR04 SR05 SR06 SR07 SR08 2106N08646W 2107N08647W 2111N08656W 2137N08655W 2138N08655W 2142N08655W 2146N08656W 2149N08659W 2158N08707W 2211N08717W 2356N09110W 2359N09115W SEAGL/N0464F340 DCT CRP DCT KINEY DCT FST DCT EWM DCT DRRVR PINNG1</t>
  </si>
  <si>
    <t>2429N09144W</t>
  </si>
  <si>
    <t>N963NN</t>
  </si>
  <si>
    <t>S12R SR00 SR01 SR02 2059N08645W 2101N08644W 2109N08647W ROTGI UM219 MYDIA M219 KNOST DCT DEANR DCT BRUTS Q109 CAMJO DCT TWINS DCT PONZE BANKR8</t>
  </si>
  <si>
    <t>S12R SR00 SR01 SR02 ROTGI UM219 MYDIA M219 CIGAR DCT GULFR DCT AMG DCT CAE DCT HAMLN DCT CHYPS DCT DRAIK DCT FANPO/N0480F390 DCT PARKE DCT TRIBS DCT HYLND DCT AJJAY DCT DUNOM DCT 47N060W DCT JOOPY/M085F390 NATX GISTI/N0469F390 DCT BOFUM Q37 MALUD MALUD1M</t>
  </si>
  <si>
    <t>HI1081</t>
  </si>
  <si>
    <t>S12R T12R6 UN415 2057N08643W TAKUX DCT MAMBI/N0457F370 UL577 CDO UT15 NADAX NADAX1W</t>
  </si>
  <si>
    <t>S12R T12R6 UN418 UN409 2057N08704W 2057N08708W 2043N08713W 2034N08721W 2027N08728W 2011N08737W 2000N08742W 1857N08934W 1853N08942W 1735N09157W 1728N09210W 1724N09218W 1721N09224W SAXAV V51 TGZ</t>
  </si>
  <si>
    <t>S12R T12R6 UN418 2044N08706W 2021N08731W 2015N08733W 2013N08734W 2009N08735W 2004N08737W 1953N08744W 1952N08745W 1952N08746W 1936N08821W 1909N08859W 1915N08912W 1915N08913W 1913N08923W 1857N09031W 1856N09137W 1856N09138W 1853N09143W 1844N09157W AGAVE UJ9 VSA DCT</t>
  </si>
  <si>
    <t>N426AV</t>
  </si>
  <si>
    <t>S12R T12R6 UN415 ALYRE TAKUX UM782 OMIRO/N0451F370 UM782 MEVUB UP406 AKPEK UQ121 ISVAT ISVA5E</t>
  </si>
  <si>
    <t>N209WN</t>
  </si>
  <si>
    <t>S12R SR00 SR01 ROTGI UM219 XOPGI UB646 CANOA DCT EYW DCT KARTR/N0433F400 DCT SRQ DCT SZW DCT VUZ J151 VISQA BOOSH3</t>
  </si>
  <si>
    <t>S12R T12R6 UN418 2052N08657W 2047N08712W 2050N08712W 2045N08721W 2044N08742W 2041N08753W 2041N08811W X84 2043N08835W 2041N08844W 2025N08947W 2006N09018W 2002N09051W 2030N09327W 2031N09337W 2031N09402W 2031N09410W UMAVO/N0459F300 UT101 ENAGA ENAGA3A</t>
  </si>
  <si>
    <t>2026N09459W</t>
  </si>
  <si>
    <t>S12R SR00 SR01 2149N08657W 2153N08658W 2155N08659W 2159N08703W 2323N08835W 2351N08859W 2358N08904W KEHLI A766 KELPP NNCEE2</t>
  </si>
  <si>
    <t>S12R T12R6 2058N08652W 2055N08656W 2049N08744W 2046N08759W 2048N08826W 2049N08832W 2104N08847W 2130N08919W 2129N08920W 2140N08944W NOTEN UT37 ULUMA DCT MTY DCT TASTO DCT ILAMA UT41 NADIS DCT AVRIL UJ3 TANRI TANRI1B</t>
  </si>
  <si>
    <t>N8705Q</t>
  </si>
  <si>
    <t>S12R SR00 SR01 2128N08651W 2138N08656W 2149N08704W 2156N08708W 2306N08822W 2326N08836W 2352N08852W 2416N08912W 2418N08933W KEHLI A766 KELPP BAYYY5</t>
  </si>
  <si>
    <t>XARUA</t>
  </si>
  <si>
    <t>CL30</t>
  </si>
  <si>
    <t>S12R T12R6 UN418 UN409 2054N08702W 2041N08751W 2041N08754W 2039N08849W 2018N09003W 2012N09017W OMPAN DCT</t>
  </si>
  <si>
    <t>N859NN</t>
  </si>
  <si>
    <t>S12R SR00 SR01 MYDIA M219 CIGAR DCT BULZI DCT WALET DCT CHOPZ/N0450F380 DCT SMTTH DCT LAFOX DCT ROYYZ Q118 BONNT VEECK5</t>
  </si>
  <si>
    <t>S12R SR00 SR01 SR02 SR03 SR04 SR05 SR06 SR07 SR08 SR09 SR10 ROTGI UM219 MYDIA M219 CIGAR DCT CAE DCT HAMLN DCT CHYPS DCT DRAIK DCT FANPO/N0480F390 DCT PARKE DCT TRIBS DCT HYLND DCT AJJAY DCT DUNOM DCT 47N060W DCT JOOPY/M085F390 NATX GISTI/N0458F390 DCT DEXEN UY124 DOLOP DOLOP1B</t>
  </si>
  <si>
    <t>XACOG</t>
  </si>
  <si>
    <t>S12R T12R6 UN418 2056N08654W 2053N08704W 2053N08708W 2100N08718W 2105N08722W 2113N08727W 2115N08730W 2118N08813W 2110N08831W 2103N08855W 2057N08910W S1824 2044N08943W 2037N09010W 2018N09031W 2011N09053W 2008N09117W 2009N09121W 2009N09138W AVIVI AVALI UMAVO UT104 LENUL DCT</t>
  </si>
  <si>
    <t>FWI649</t>
  </si>
  <si>
    <t>FHPUJ</t>
  </si>
  <si>
    <t>S12R T12R6 2059N08646W NUDAL UV106 PODON UG765 FRANT UR522 UHA J1 UVA/N0465F380 UR628 TANIA/N0465F390 DCT ZOLLA DCT WOLFO DCT SNAGY/M080F390 M203 JNFOX/M081F410 DCT KINER DCT DRYED DCT 40N065W/M080F410 DCT NOVOK DCT 43N060W DCT 44N055W DCT 45N050W DCT 47N040W DCT 48N030W DCT 48N020W DCT 48N010W DCT ETIKI/M078F390 DCT REGHI/N0411F350 DCT ARZIP DCT KORER/N0366F270 UN482 DEKJA/N0364F280 UN482 NIMER DCT CAD CAD9W</t>
  </si>
  <si>
    <t>S12R T12R6 2059N08647W ALYRE TAKUX UM782 OMIRO UN420 PELRA DCT SPP DCT SEKMA OSUPA2</t>
  </si>
  <si>
    <t>S12R SR00 SR01 2059N08645W 2129N08640W 2143N08637W ROTGI UM219 MYDIA/M081F370 M219 CULLY/N0474F370 M219 KNOST DCT TAALR DCT SAV DCT VAN DCT FLO DCT TYI DCT SIE/N0467F390 DCT SHLEP DCT TUSKY N181H PORTI/M081F390 NATZ 48N040W/M081F400 NATZ DINIM/N0461F400 NATZ ELSOX/N0459F410 DCT EVRIN DCT JETZI DCT AMFUL DCT CAWZE DCT SIRIC P2 DVR UL9 KONAN DCT KOK DCT REMBA DCT SPI T180 NIVNU/N0397F330 T847 TUTOV TUTOV1A</t>
  </si>
  <si>
    <t>N371DA</t>
  </si>
  <si>
    <t>S12R 2101N08650W SL0 NC29 2133N08652W 2136N08653W 2141N08656W 2345N08855W 2357N08905W KELPP A766 KLAMS DCT VUH DCT ELA DCT STV/N0463F360 DCT JCT DCT PEQ DCT EWM Q180 BXK J4 WLVRN DCT ESTWD HLYWD1</t>
  </si>
  <si>
    <t>2429N08933W</t>
  </si>
  <si>
    <t>N764AV</t>
  </si>
  <si>
    <t>S12R 2101N08650W SR0 TAKUX UM782 OMIRO/N0451F390 UM782 MEVUB UP406 AKPEK UQ121 ISVAT ISVA5E</t>
  </si>
  <si>
    <t>UDGUV2A UDGUV UT78 DURPI DCT NOTEN UT37 ULUMA DCT ONDEV UJ53 REX DCT</t>
  </si>
  <si>
    <t>XAVUM</t>
  </si>
  <si>
    <t>UDGUV2A UDGUV UT78 UKOKO 2050N08854W 2058N08913W 2107N08932W 2114N08946W 2124N09012W NUBIT DCT RIBET UT101 ENAGA DCT OVAGO UT123 IKLOK/N0450F220 UT123 IGSON IGSON1B</t>
  </si>
  <si>
    <t>S12R T12R6 UN418 UN409 UN419 UN432 2050N08738W UDGUV PERGO NOTEN UT37 SESNO UJ15E RETOS RETOS1A</t>
  </si>
  <si>
    <t>UDGUV2A UDGUV UT78 DURPI 2050N08919W 2104N09013W 2104N09020W 2050N09231W 2046N09317W UBVOV UT101 UMAVO/N0460F300 UT101 ENAGA ENAGA3A</t>
  </si>
  <si>
    <t>UDGUV2A UDGUV UT78 UKOKO 2050N08911W 2050N08912W TAHMK 2115N09017W 2117N09024W 2129N09035W 2133N09040W 2139N09044W 2110N09306W 2109N09314W 2106N09323W 2105N09331W VER UT111 LARLO</t>
  </si>
  <si>
    <t>2002N09459W</t>
  </si>
  <si>
    <t>S12R SR00 SR01 SR02 ROTGI UM219 MYDIA/M084F370 M219 CULLY/N0488F370 M219 CIGAR M215 KNOST Q109 PANDY DCT FLO DCT RIC DCT BBOBO Q22 RBV Q430 KYSKY/N0481F390 Q430 ACK DCT KANNI N343B JOOPY/M083F390 NATX 50N040W/M083F400 NATX MALOT/N0478F390 NATX GISTI DCT KER DCT NORLA DCT FONZU DCT ELRIP DCT OTMET OTMET1G</t>
  </si>
  <si>
    <t>S12R T12R6 UN418 UN409 UN419 2052N08724W 2052N08737W TAGRO NOTEN UT37 SESNO UJ15E RETOS RETOS1A</t>
  </si>
  <si>
    <t>NUDAL1A NUDAL UV106 PODON UG765 MAXIM DCT EYW DCT PBI A699 SUMRS/M081F370 M204 SOORY DCT 39N050W/M081F370 39N040W/M081F380 39N030W/M081F390 39N020W/M081F390 DCT GUNTI/N0463F390 DCT LAZET</t>
  </si>
  <si>
    <t>ECMMY</t>
  </si>
  <si>
    <t>S12R 2101N08650W SL0 NUDAL UV106 PODON UG765 MAXIM DCT VKZ DCT NUCAR A699 LOUIZ/M085F390 A699 SUMRS M327 JIMAC/M084F410 DCT LAZEY DCT 34N060W/M084F410 36N050W 38N040W 39N030W 41N020W DCT BANAL/N0481F410 DCT ADORO/N0476F360 L155 ZMR</t>
  </si>
  <si>
    <t>S12R 2101N08650W OMSUK UM219 MYDIA M219 CULLY/N0461F330 M219 KNOST/N0461F350 DCT CAMJO Q99 BLAAN Q69 RICCS DCT OXMAN LINNG3</t>
  </si>
  <si>
    <t>TAKUX2A TAKUX UM782 OMIRO UN420 SPP/N0448F390 DCT VUNIB DCT SIROT DCT KUBEK DCT RNG DCT ISVAT ISVAT5E</t>
  </si>
  <si>
    <t>NUDAL1A NUDAL UR506 UHA UR628 JABIR DCT TANIA M328 JERRE/M082F370 M328 BAAGR G437 MAPYL DCT FLUPS M204 BEXUM/M082F390 M204 LUNKR DCT 37N060W DCT 38N050W DCT 39N040W DCT 39N030W DCT 40N020W DCT ERPES/N0470F390 DCT LAZET</t>
  </si>
  <si>
    <t>S12R T12R6 UN418 UN409 UN419 2050N08732W 2034N08822W 2022N08927W 2020N08954W 2028N09109W 2022N09109W 1949N09318W 1947N09326W 1952N09454W ENAGA</t>
  </si>
  <si>
    <t>1952N09459W</t>
  </si>
  <si>
    <t>UDGUV2A UDGUV UJ84 CPE JOTAS GOTAS VER UT111 LARLO</t>
  </si>
  <si>
    <t>N43TP</t>
  </si>
  <si>
    <t>S12R T12R6 UN418 UN409 UN419 UN432 NOTEN UT37 SESNO UJ15E RETOS DCT</t>
  </si>
  <si>
    <t>XAKAD</t>
  </si>
  <si>
    <t>E35L</t>
  </si>
  <si>
    <t>ROTGI2A ROTGI UM219 MYDIA M219 KNOST Q109 YURCK Q97 PAACK DCT JAMIE Q133 CAM DCT GUBID OMVAR2</t>
  </si>
  <si>
    <t>UDGUV2A UDGUV UT78 MEDOS UBVOV UMAVO UT101 ENAGA</t>
  </si>
  <si>
    <t>UDGUV2B UDGUV DCT MID DCT LIDAM UT23 TAM UJ14 TMN UT147 AGU UT44 MEZCA MEZCA1A</t>
  </si>
  <si>
    <t>UDGUV2B UDGUV DCT DYSON DCT NUGIN/N0445F360 DCT AVALI/N0445F300 DCT ENAGA ENAGA3A</t>
  </si>
  <si>
    <t>UDGUV2B UDGUV UT78 MEDOS DCT UBVOV DCT UMAVO UT101 ENAGA ENAGA3A</t>
  </si>
  <si>
    <t>UDGUV2B UDGUV UT78 VIKMO NUBIT RIBET UT101 UMAVO/N0453F300 UT101 ENAGA ENAGA3A</t>
  </si>
  <si>
    <t>UDGUV2B UDGUV 1956N09252W 1959N09301W 2004N09316W 2004N09317W 2007N09340W 2000N09345W 1957N09353W OMPAN OMPAN1A</t>
  </si>
  <si>
    <t>UDGUV2B UDGUV UT78 MEDOS DCT UBVOV UT20 TAJIN DCT VITOS VITOS2A</t>
  </si>
  <si>
    <t>UDGUV2B UDGUV DCT MID DCT NOTEN UT37 SESNO UJ15E RETOS RETOS1A</t>
  </si>
  <si>
    <t>AAL9602</t>
  </si>
  <si>
    <t>N334SM</t>
  </si>
  <si>
    <t>NOSUG2B NOSUG 2209N08657W 2217N08657W 2340N08837W 2350N08845W KEHLI A766 KELPP DCT LAMMY DCT KH84C DCT KH87A DCT KOBLE DCT ELP DCT CRATT DCT WOBUG DCT TAGGS DCT GABBL HLYWD1</t>
  </si>
  <si>
    <t>HP1847</t>
  </si>
  <si>
    <t>S12L T12L6 ALYRE TAKUX UM782 OMIRO/N0448F370 UN420 PELRA DCT SPP DCT SEKMA OSUPA2</t>
  </si>
  <si>
    <t>UDGUV2B UDGUV UT78 MEDOS UT20 UBVOV UT101 ENAGA ENAGA3A</t>
  </si>
  <si>
    <t>N935AN</t>
  </si>
  <si>
    <t>S12L T12L6 UN417 UN406 2146N08655W 2214N08657W 2339N08838W 2356N08849W KEHLI A766 SBI DCT CRIED BEREE3</t>
  </si>
  <si>
    <t>N37427</t>
  </si>
  <si>
    <t>S12L SL00 SL01 SR03 SR04 SR05 NOSUG 2331N08846W 2337N08851W 2343N08854W 2350N08858W 2352N08859W KELPP NNCEE2</t>
  </si>
  <si>
    <t>UDGUV2A UDGUV UT78 DURPI 2046N09412W VOKIR UT101 ENAGA DCT OTAGO DCT ATUKA ATUKA1B</t>
  </si>
  <si>
    <t>2040N09459W</t>
  </si>
  <si>
    <t>S12R 2100N08647W CN03 ROTGI UM219 MYDIA M219 CIGAR M215 KNOST DCT CAMJO DCT LAIRI DCT LARZZ JJEDI4</t>
  </si>
  <si>
    <t>XAAMS</t>
  </si>
  <si>
    <t>UDGUV2A UDGUV UT78 MEDOS UT20 UBVOV UT101 UMAVO/N0437F300 UT101 ENAGA ENAGA3A</t>
  </si>
  <si>
    <t>S12R SR00 SR01 SR02 SR03 SR04 SR05 ROTGI UM219 MYDIA/N0462F350 M219 CIGAR DCT DEANR Q109 CAMJO Q99 QUART PHLBO4</t>
  </si>
  <si>
    <t>2101N08652W 2057N08652W 2048N08659W 2036N08707W CZ605 2039N08716W 2048N08704W 2059N08656W CUN</t>
  </si>
  <si>
    <t>N765JP</t>
  </si>
  <si>
    <t>KAPF</t>
  </si>
  <si>
    <t>S12R SR00 SR01 SR02 SR03 SR04 SR05 SR06 SR07 2125N08642W 2130N08641W 2144N08632W 2146N08630W CANOA DCT CYY DCT</t>
  </si>
  <si>
    <t>2205N08601W</t>
  </si>
  <si>
    <t>UDGUV2A UDGUV UT78 MEDOS UT20 UBVOV UT101 UMAVO/N0453F300 UT101 ENAGA ENAGA3A</t>
  </si>
  <si>
    <t>S12R T12R6 UN418 UN409 UN419 UN432 2049N08740W 2050N08805W 2051N08819W 2052N08837W 2053N08843W NOTEN UT37 SESNO UJ15E RETOS RETOS1A</t>
  </si>
  <si>
    <t>N720FR</t>
  </si>
  <si>
    <t>S12R 2101N08650W 2100N08649W 2106N08643W 2108N08643W 2118N08641W 2120N08640W LENUK UB646 CANOA DCT CYY DCT</t>
  </si>
  <si>
    <t>S12R 2100N08650W 2052N08725W UBVOV UT101 UMAVO UT104 LENUL LENUL3A</t>
  </si>
  <si>
    <t>S12R T12R6 UN418 UN409 UN419 2052N08724W UBVOV DCT UMAVO UT101 ENAGA ENAGA3A</t>
  </si>
  <si>
    <t>S12R 2101N08651W 2059N08651W 2051N08732W UBVOV UT20 TAJIN DCT VITOS VITOS2A</t>
  </si>
  <si>
    <t>S12R T12R6 UN418 UN409 IKLEK UJ84 CZA UT20 UBVOV UT101 UMAVO UT169 VITOS VITOS2A</t>
  </si>
  <si>
    <t>S12R T12R6 UN418 UN409 UN419 2052N08728W UBVOV UT20 PAZ UT104 LENUL LENUL2B</t>
  </si>
  <si>
    <t>UDGUV2A UDGUV UT78 DURPI DCT NUBIT DCT RIBET UT101 ENAGA DCT OVAGO UT123 IKLOK/N0446F220 UT123 IGSON IGSON1B</t>
  </si>
  <si>
    <t>S12R SR00 SR01 SR02 SR03 2151N08640W 2201N08639W 2202N08638W LENUK UB646 CANOA DCT DVALL DVALL4</t>
  </si>
  <si>
    <t>UDGUV2A UDGUV DCT 2053N08834W 2057N08844W NA294 2206N09131W NOTEN UT37 SESNO UJ15E RETOS RETOS1A</t>
  </si>
  <si>
    <t>S12R 2100N08650W 2102N08647W 2110N08647W NOSUG 2243N08700W 2249N08701W IRDOV L214 LEV DCT MCB J35 SQS/N0452F330 J35 MEM/N0453F340 J187 FTZ TRTLL6</t>
  </si>
  <si>
    <t>LXJ98</t>
  </si>
  <si>
    <t>N84YU</t>
  </si>
  <si>
    <t>S12R SR00 2058N08646W SR20 2136N08652W 2141N08654W 2144N08655W 2152N08700W KEHLI A766 KELPP DCT VUH DCT</t>
  </si>
  <si>
    <t>N534VL</t>
  </si>
  <si>
    <t>UDGUV2A UDGUV UT78 DURPI DCT UBVOV UT101 UMAVO/N0448F300 UT101 ENAGA ENAGA3A</t>
  </si>
  <si>
    <t>S12R SR00 SR01 SR02 SR03 SR04 SR05 SR06 SR07 SR08 SR09 2123N08646W ROTGI UM219 MYDIA/M079F370 M219 CULLY/N0464F370 M219 KNOST DCT CAMJO Q99 BLAAN Q69 RICCS DCT OXMAN LINNG3</t>
  </si>
  <si>
    <t>N638FR</t>
  </si>
  <si>
    <t>S12R SR00 SR01 SR02 SR03 2101N08644W NOSUG IRDOV L214 LEV DCT OYSTY J35 SQS/N0449F370 J35 MEM BOOSH3</t>
  </si>
  <si>
    <t>N8782Q</t>
  </si>
  <si>
    <t>S12R 2059N08647W 2102N08644W 2110N08646W NOSUG 2201N08657W 2205N08658W KEHLI A766 KELPP BAYYY5</t>
  </si>
  <si>
    <t>N129AA</t>
  </si>
  <si>
    <t>S12R SR00 SR01 SR02 OMSUK 2141N08642W 2142N08642W 2209N08643W 2216N08643W MYDIA M219 KNOST Q109 CAMJO Q99 PEETT DCT BBDOL PAATS4</t>
  </si>
  <si>
    <t>JTL945</t>
  </si>
  <si>
    <t>N945FS</t>
  </si>
  <si>
    <t>S12R 2059N08647W 2059N08644W L36 NOSUG 2259N08705W 2303N08709W DUTNA L208 PEGLG DCT CATFS DCT WAILN DCT</t>
  </si>
  <si>
    <t>S12R 2101N08651W 2059N08651W UDGUV DCT 2050N08810W 2054N08827W 2056N08830W NOTEN UT37 SESNO UJ15E RETOS RETOS1A</t>
  </si>
  <si>
    <t>S12R SR00 SR01 SR02 SR03 2111N08645W ROTGI UM219 MYDIA M219 CIGAR DCT KNOST/N0456F350 DCT CAMJO Q99 BLAAN Q69 RICCS DCT OXMAN LINNG3</t>
  </si>
  <si>
    <t>S12R T12R6 UN418 2056N08658W UKOKO UT78 MEDOS DCT UBVOV UT20 TAJIN DCT VITOS VITOS2A</t>
  </si>
  <si>
    <t>S12R SR00 SR01 SR02 SR03 SR04 SR05 SR06 SR07 SR08 SR09 2107N08647W 2118N08652W 2119N08653W 2121N08652W ROTGI UM219 ALPUK/N0467F350 UM219 MYDIA M219 CIGAR DCT DEANR Q109 CAMJO Q99 OGRAE DCT BZNGA DCT DORRN CAVLR7</t>
  </si>
  <si>
    <t>N838BB</t>
  </si>
  <si>
    <t>UDGUV2A UDGUV DCT MID DCT NOTEN DCT LIBOX DCT MOV UT3 URKOM UJ54 CJS DCT</t>
  </si>
  <si>
    <t>S12R T12R6 UN402 UN408 CZM UN431 2004N08657W 1958N08701W TIKIS UG765 AUR DCT</t>
  </si>
  <si>
    <t>S12R T12R6 UN415 ALYRE TAKUX UM782 OMIRO/N0447F370 UN420 PELRA DCT SPP DCT SEKMA OSUPA2</t>
  </si>
  <si>
    <t>UDGUV2A UDGUV 2054N08809W 2056N08825W 2106N08919W LIDAM UT23 TAM UJ14 TMN UT147 SLP UJ40 LIBOL LIBOL1B</t>
  </si>
  <si>
    <t>N398AB</t>
  </si>
  <si>
    <t>S12R T12R6 2059N08652W 2056N08707W 2045N08759W 2046N09356W 2046N09407W UBVOV UT20 PAZ UT104 LENUL</t>
  </si>
  <si>
    <t>2050N08657W 2049N08657W 2047N08656W 2047N08652W 2054N08649W 2043N08701W 2052N08701W</t>
  </si>
  <si>
    <t>N933NN</t>
  </si>
  <si>
    <t>S12R SR00 SR01 SR02 2101N08645W NOSUG 2154N08656W 2158N08656W 2313N08723W 2319N08726W KEHLI A766 SBI DCT CRIED BEREE3</t>
  </si>
  <si>
    <t>S12R T12R6 UN418 MID DCT 2213N09217W 2223N09254W 2234N09304W NOTEN UT37 SESNO UJ15E RETOS RETOS1A</t>
  </si>
  <si>
    <t>N963AN</t>
  </si>
  <si>
    <t>S12R SR00 SR01 SR02 SR03 SR04 NOSUG 2234N08659W 2239N08701W 2250N08705W 2255N08709W KEHLI A766 KELPP DCT MUSYL DCT WEEED WLEEE7</t>
  </si>
  <si>
    <t>S12R SR00 SR01 SR02 2105N08645W NOSUG 2236N08700W 2241N08700W KEHLI A766 SBI DCT LUKKN WLEEE7</t>
  </si>
  <si>
    <t>XADAL</t>
  </si>
  <si>
    <t>S12R T12R6 UN418 UN409 UN419 2051N08726W 2051N08730W 2048N08751W UBVOV UT101 UMAVO/N0455F300 UT101 ENAGA ENAGA3A</t>
  </si>
  <si>
    <t>XAVHD</t>
  </si>
  <si>
    <t>C207</t>
  </si>
  <si>
    <t>S12R SR00 SR01 SR02 ROTGI UM219 MYDIA M219 BUUOY/N0458F350 M219 KNOST DCT CAMJO Q99 BLAAN Q69 RICCS DCT PSB DCT SYR DCT ART IMPAC4</t>
  </si>
  <si>
    <t>N154AA</t>
  </si>
  <si>
    <t>S12R SR00 SR01 SR02 SR03 SR04 2102N08644W NOSUG ALKIM DCT KEHLI A766 SBI DCT CRIED BEREE3</t>
  </si>
  <si>
    <t>LXJ556</t>
  </si>
  <si>
    <t>KMMU</t>
  </si>
  <si>
    <t>N556FX</t>
  </si>
  <si>
    <t>OMSUK2A OMSUK UM219 MYDIA M219 CIGAR DCT SRINA DCT HEPAR DCT SSC DCT BEARI DCT FAK DCT</t>
  </si>
  <si>
    <t>S12R T12R6 UN418 UN409 2054N08709W 2051N08750W 2053N08835W LIDAM UT23 TAM UJ14 TMN DCT MORAS UJ17 QET</t>
  </si>
  <si>
    <t>CGNRC</t>
  </si>
  <si>
    <t>KMKC</t>
  </si>
  <si>
    <t>S12R 2101N08651W MOGOP 2059N08644W 2100N08643W 2108N08645W 2109N08645W NOSUG IRDOV L214 LEV J35 OYSTY DCT HEDUD DCT FAYEE DCTLIT DCT SGF DCT TYGER DCT</t>
  </si>
  <si>
    <t>S12R T12R6 2100N08651W 2058N08651W 2052N08726W 2049N08736W PQE/N0379A180 V51 TGZ DCT</t>
  </si>
  <si>
    <t>N455RC</t>
  </si>
  <si>
    <t>S12R 2100N08649W 2058N08648W 2102N08645W N11N 2108N08646W B30L5 2126N08644W 2138N08643W LENUK UB646 CANOA DCT EYW DCT</t>
  </si>
  <si>
    <t>XAVHJ</t>
  </si>
  <si>
    <t>N398JS</t>
  </si>
  <si>
    <t>KSGJ</t>
  </si>
  <si>
    <t>S12R SR00 SR01 2058N08644W NC21 2102N08642W 2120N08642W 2125N08641W MYDIA M219 KNOST DCT</t>
  </si>
  <si>
    <t>N61898</t>
  </si>
  <si>
    <t>S12R SR00 DEP12 2100N08644W L40 SR10 OMSUK UM219 MYDIA M219 CIGAR DCT BULZI DCT JOHNN/N0476F320 Q118 HEVAN/N0474F280 Q118 BONNT/N0477F240 VEECK5</t>
  </si>
  <si>
    <t>HP1833</t>
  </si>
  <si>
    <t>XATCM</t>
  </si>
  <si>
    <t>S12R T12R6 UN418 UN409 2054N08710W OMPAN DCT</t>
  </si>
  <si>
    <t>N705JB</t>
  </si>
  <si>
    <t>S12R T12R6 UN415 UN413 2103N08625W 2114N08607W 2115N08607W 2115N08606W 2120N08559W NUDAL UV106 PODON UG765 MAXIM BHHIA3</t>
  </si>
  <si>
    <t>S12R SR00 SR01 SR02 2101N08644W NOSUG UT27 OMVIP UT45 IRDOV L214 LEV J31 HRV/N0467F350 DCT MCB/N0467F340 J35 MCGEE DCT IZAAC/N0466F350 DCT XESSS DCT MEMFS DCT VISQA J29 PXV DCT WWODD HANBL3</t>
  </si>
  <si>
    <t>N361DN</t>
  </si>
  <si>
    <t>S12R SR00 SR01 SR02 SR03 2101N08644W ROTGI UM219 RAKAR 2251N08628W 2308N08627W 2327N08627W 2343N08626W MYDIA M219 CIGAR M215 KNOST DCT CAMJO DCT LAIRI DCT LARZZ JJEDI4</t>
  </si>
  <si>
    <t>S12R T12R6 UN418 UN409 UN419 2050N08732W UBVOV UT101 UMAVO/N0458F300 UT101 ENAGA ENAGA3A</t>
  </si>
  <si>
    <t>N920AV</t>
  </si>
  <si>
    <t>TAKUX2A TAKUX UM782 OMIRO/N0451F390 UM782 MEVUB UP406 AKPEK DCT</t>
  </si>
  <si>
    <t>S12R T12R6 UN418 UN409 2052N08721W OMATO UJ16 OAX</t>
  </si>
  <si>
    <t>N904AA</t>
  </si>
  <si>
    <t>S12R SR00 ROTGI UM219 MYDIA M219 KNOST Q109 CAMJO Q99 PEETT DCT BBDOL PAATS4</t>
  </si>
  <si>
    <t>N421UW</t>
  </si>
  <si>
    <t>S12R NUDAL UV106 PODON UG765 MAXIM SNDBR3</t>
  </si>
  <si>
    <t>N187US</t>
  </si>
  <si>
    <t>S12R 2101N08651W SL0 ROTGI UM219 MYDIA M219 CIGAR/N0460F350 M219 KNOST DCT DEANR DCT BRUTS Q109 CAMJO DCT TWINS DCT PONZE BANKR8</t>
  </si>
  <si>
    <t>S12R T12R6 2023N08616W 2016N08612W 1948N08555W CISNE UN420 BONOS/N0453F390 UN420 SPP UP530 KAKOL/N0452F390 DCT RNG UQ121 ISVAT ISVA5E</t>
  </si>
  <si>
    <t>N592JB</t>
  </si>
  <si>
    <t>S12R SR00 SR01 ROTGI UM219 MYDIA M219 CIGAR RAYZZ3</t>
  </si>
  <si>
    <t>UDGUV2A UDGUV DCT 2054N08906W ELISO UT37 EBDUB DCT ETMES UJ53 REX DCT DLF/N0468F340 DCT KOBLE DCT ELP DCT PGS DCT BLD DCT BTY DCT RUSME DYAMD5</t>
  </si>
  <si>
    <t>N955XV</t>
  </si>
  <si>
    <t>S12R SR00 ROTGI UM219 MYDIA M219 CIGAR/N0459F360 DCT DRABK/N0457F370 DCT LGC DCT NIOLA/N0452F350 DCT SWAPP/N0457F360 DCT IIU DCT DECEE/N0461F370 DCT BONNT VEECK5</t>
  </si>
  <si>
    <t>N473WN</t>
  </si>
  <si>
    <t>S12R T12R6 NUDAL UV106 PODON UG765 MAXIM Y262 GOPEY Q87 TIRCO/N0461F380 Q87 ZERBO/N0459F390 Q87 RAYVO Q113 AARNN DCT THHMP RAVNN9</t>
  </si>
  <si>
    <t>N556WN</t>
  </si>
  <si>
    <t>S12R SR00 SR01 SR02 NOSUG 2226N08659W 2233N08659W IRDOV L214 LEV J35 MCB/N0457F390 J35 MEM/N0457F400 J35 FAM/N0458F410 DCT SPI DCT PHEEB ENDEE8</t>
  </si>
  <si>
    <t>N582DN</t>
  </si>
  <si>
    <t>N8798Q</t>
  </si>
  <si>
    <t>S12R SR00 SR01 SR02 NOSUG 2203N08657W 2315N08723W 2321N08725W IRDOV L214 LEV J35 MCB DCT LIT DCT KRTNY MHOMS3</t>
  </si>
  <si>
    <t>UDGUV2A UDGUV UT78 UKOKO 2050N08852W 2049N08904W 2050N08926W 2052N08940W S2814 2133N09459W TMN UT147 AGU/N0457F200 UT44 MEZCA MEZCA1A</t>
  </si>
  <si>
    <t>S12R SR00 SR01 SR02 ROTGI UM219 MYDIA/M079F290 M219 NAVVL/M079F310 M219 CULLY/N0478F310 M219 KNOST/N0468F350 DCT CAMJO DCT TEEEM Q99 POLYY DCT OGRAE DCT AUDII DCT FAK/N0462F370 DCT RBV Q22 LLUND DCT CAM DCT JASDU DCT PBERG CARTR5</t>
  </si>
  <si>
    <t>N34460</t>
  </si>
  <si>
    <t>S12R SR00 SR01 SR02 SR03 SR04 NOSUG 2226N08659W 2231N08700W KEHLI A766 KELPP NNCEE2</t>
  </si>
  <si>
    <t>WJA8938</t>
  </si>
  <si>
    <t>MPSM</t>
  </si>
  <si>
    <t>CGRAX</t>
  </si>
  <si>
    <t>TAKUX2A TAKUX UM782 OMIRO UN420 PELRA UN420 TBG V19 DAMAX/N0287F100 V19 RHT</t>
  </si>
  <si>
    <t>UDGUV2A UDGUV DCT 2053N08854W IZAML 2145N09337W 2146N09343W TMN UT147 AGU UT44 MEZCA MEZCA1A</t>
  </si>
  <si>
    <t>UDGUV2A UDGUV DCT 2052N08835W PERGO NOTEN UT37 SESNO UJ15E RETOS RETOS1A</t>
  </si>
  <si>
    <t>S12R SR00 SR01 SR02 SR03 ROTGI UM219 MYDIA/M078F370 M219 CIGAR/N0458F370 DCT CMIKE DCT KT21S DCT YADKI DCT KW54U DCT OXMAN LINNG3</t>
  </si>
  <si>
    <t>S12R 2100N08647W 2101N08646W 2105N08646W ROTGI UM219 MYDIA/M078F350 M219 KNOST/N0454F350 Q109 CAMJO DCT GSO DCT MOL DCT ART IMPAC4</t>
  </si>
  <si>
    <t>N61882</t>
  </si>
  <si>
    <t>S12R SR00 SR01 SR02 NOSUG 2158N08656W 2204N08657W 2220N08718W 2224N08722W KEHLI A766 KELPP NNCEE2</t>
  </si>
  <si>
    <t>N644FR</t>
  </si>
  <si>
    <t>S12R SR00 SR01 SR02 SR03 2110N08645W ROTGI UM219 MYDIA M219 CIGAR M215 KNOST Q109 DEANR/N0453F360 DCT DAWWN DCT BEORN HOBTT3</t>
  </si>
  <si>
    <t>S12R T12R6 UN418 UN409 UN419 2050N08732W 2051N08740W 2051N08747W 2123N09053W 2123N09100W TMN DCT MORAS UJ17 QET DCT</t>
  </si>
  <si>
    <t>2146N09459W</t>
  </si>
  <si>
    <t>N158AN</t>
  </si>
  <si>
    <t>S12R SR00 SR01 SR02 2100N08644W 2103N08644W 2113N08642W 2150N08655W 2156N08657W KEHLI A766 SBI DCT CRIED BEREE3</t>
  </si>
  <si>
    <t>S12R T12R6 UN418 UN409 UN419 UN432 2050N08733W UBVOV UT20 TAJIN DCT VITOS VITOS2A</t>
  </si>
  <si>
    <t>CGKXR</t>
  </si>
  <si>
    <t>S12R SR00 SR01 SR02 2110N08642W 2112N08642W XOPGI UM219 MYDIA M219 NAVVL/N0461F370 M219 KNOST Q109 CAMJO DCT PSK DCT OXMAN LINNG3</t>
  </si>
  <si>
    <t>S12R T12R6 2057N08649W CTM UG765 IMATA/N0438F340 UG765 AUR DCT</t>
  </si>
  <si>
    <t>TCLLB</t>
  </si>
  <si>
    <t>OMSUK2A OMSUK UM219 MYDIA/M084F330 Y240 SNAKR M219 CIGAR/N0501F330 DCT TAY DCT SAV DCT GSO DCT MOL/N0491F350 J48 CSN DCT PTW DCT SAX DCT PWL DCT ENE DCT DANOL N713B MELDI DCT 54N050W/M084F350 DCT 55N040W DCT 55N030W DCT 55N020W/M084F370 DCT VENER DCT KOKIB DCT LIFFY/N0483F370 DCT DOLAS DCT NAVPI DCT EKSAK DCT SWALM DCT VELIS DCT OKG DCT ODNEM DCT NIT DCT ERGOM DCT TEGRI DCT XANEX L606 GASRU T390 RILEX</t>
  </si>
  <si>
    <t>S12R T12R6 2057N08652W 2054N08717W OMPAN OMPAN1A</t>
  </si>
  <si>
    <t>S12R T12R6 2059N08650W 2053N08716W OMPAN DCT</t>
  </si>
  <si>
    <t>S12R 2101N08651W 2100N08651W 2039N08657W MURBU B764 BUKKY BUKKY1A</t>
  </si>
  <si>
    <t>N71AH</t>
  </si>
  <si>
    <t>S12R T12R6 UN418 UN409 2052N08741W 2052N08747W UBVOV UT20 PAZ UT154 ENAGA DCT OTAGO DCT ATUKA DCT PBC</t>
  </si>
  <si>
    <t>N14517</t>
  </si>
  <si>
    <t>S12R SR00 2106N08646W SR10 ENEBA UT27 NOSUG 2204N08657W 2210N08657W KEHLI/N0460F340 A766 SBI DCT KF09E DCT SPS DCT HALEN NIIXX4</t>
  </si>
  <si>
    <t>S12R T12R6 UN418 UN409 2052N08721W CZA UT20 PAZ UT104 LENUL DCT</t>
  </si>
  <si>
    <t>N338ST</t>
  </si>
  <si>
    <t>N317DN</t>
  </si>
  <si>
    <t>S12R SR00 SR01 SR02 SR03 SR04 SR05 SR06 SR07 SR08 SR09 SR10 SR11 SR12 SR13 2109N08651W 2110N08653W 2110N08654W 2140N08657W 2224N08710W 2229N08713W KEHLI A766 SBI DCT EIC/N0464F330 DCT FSM/N0464F340 DCT EOS DCT BUM DCT DSM/N0459F350 DCT MNOSO BLUEM5</t>
  </si>
  <si>
    <t>N39423</t>
  </si>
  <si>
    <t>S12R T12R6 UN418 2056N08814W 2055N08833W 2053N08854W 2053N08859W 2052N08915W 2052N08923W S1014 NOTEN UT37 ULUMA/N0466F320 UT37 EBDUB DCT ETMES UJ53 REX DCT DLF DCT KOBLE DCT ELP DCT WOBUG Q180 BXK J4 WLVRN DCT ESTWD HLYWD1</t>
  </si>
  <si>
    <t>N8303R</t>
  </si>
  <si>
    <t>ENEBA2A ENEBA 2134N08654W 2139N08657W KEHLI A766 KELPP BAYYY5</t>
  </si>
  <si>
    <t>S12R T12R6 2056N08653W 2053N08726W 2056N08911W 2054N08938W NA291 NOTEN UT37 SESNO/N0459F220 UJ15E RETOS RETOS1A</t>
  </si>
  <si>
    <t>S12R SR00 SR01 SR02 SR03 2101N08644W ROTGI UM219 MYDIA M219 CIGAR M215 KNOST DCT CAMJO DCT LAIRI DCT LARZZ JJEDI4</t>
  </si>
  <si>
    <t>S12R T12R6 UN418 2056N08654W 2049N08810W 2049N08812W 2049N08821W NOTEN UT37 ULUMA DCT MTY DCT TASTO DCT ILAMA UT41 NADIS DCT AVRIL UJ3 TANRI TANRI1B</t>
  </si>
  <si>
    <t>N740QS</t>
  </si>
  <si>
    <t>S12R SR00 SR01 SR02 SR03 SR04 SR05 SR06 SR07 SR08 SR09 SR10 2109N08648W 2114N08654W 2118N08654W MYDIA M219 KNOST DCT</t>
  </si>
  <si>
    <t>S12R T12R6 UN415 TAKUX UM782 OMIRO/N0462F370 UN420 PELRA DCT SPP DCT SEKMA OSUPA2</t>
  </si>
  <si>
    <t>XAFOF</t>
  </si>
  <si>
    <t>UDGUV2A UDGUV 2044N08805W 2040N09430W LONBU UT154 ENAGA DCT OTAGO DCT ATUKA DCT PBC</t>
  </si>
  <si>
    <t>N629JB</t>
  </si>
  <si>
    <t>S12R SR00 SR01 SR02 SR03 SR04 SR05 SR06 SR07 2105N08645W ROTGI UM219 MYDIA M219 CIGAR/N0463F350 M219 KNOST Q109 DFENC DCT SAWED Q108 SIE CAMRN5</t>
  </si>
  <si>
    <t>S12R T12R6 UN418 UN409 2053N08728W 2127N09106W 2127N09108W 2141N09337W TMN UT147 SLP UJ40 LIBOL LIBOL1B</t>
  </si>
  <si>
    <t>S12R T12R6 UN418 UN409 UKOKO UT78 MEDOS UT20 UBVOV UT101 UMAVO/N0459F300 UT101 ENAGA ENAGA3A</t>
  </si>
  <si>
    <t>N590JB</t>
  </si>
  <si>
    <t>S12R SR00 SR01 SR02 SR03 ROTGI UM219 MYDIA M219 CIGAR DCT KNOST DCT CAMJO Q109 TEEEM Q99 POLYY DCT DADDS Q87 GEARS DCT BBOBO Q22 RBV Q419 JFK ROBUC3</t>
  </si>
  <si>
    <t>S12R T12R6 UN418 UN409 UN419 2051N08728W 2056N08919W MD701 2113N08951W NOTEN UT37 ULUMA/N0459F360 DCT MTY UT11 SINLO SINLO1A</t>
  </si>
  <si>
    <t>N920US</t>
  </si>
  <si>
    <t>S12R SR00 SR01 SR02 SR03 SR04 SR05 SR06 SR07 SR08 SR09 ROTGI UM219 MYDIA M219 KNOST DCT DEANR DCT BRUTS Q109 CAMJO DCT TWINS DCT PONZE BANKR8</t>
  </si>
  <si>
    <t>UDGUV2A UDGUV UBVOV UT20 PAZ UT104 LENUL DCT</t>
  </si>
  <si>
    <t>S12R 2059N08647W UN621 NOSUG UT27 OMVIP UT45 IRDOV L214 LEV J35 MCB/N0458F390 J35 MEM BOOSH3</t>
  </si>
  <si>
    <t>S12R NOSUG 2231N08700W 2234N08701W 2243N08706W KEHLI A766 KELPP NNCEE2</t>
  </si>
  <si>
    <t>S12R T12R6 UN418 UN409 UKOKO UT78 DURPI DCT UBVOV UT101 UMAVO UT169 VITOS VITOS2A</t>
  </si>
  <si>
    <t>UDGUV2A UDGUV DCT 2050N08808W CHELM NOTEN UT37 SESNO UJ15E RETOS RETOS1A</t>
  </si>
  <si>
    <t>N339PL</t>
  </si>
  <si>
    <t>S12R SR00 2209N08703W 2226N08713W KEHLI A766 KENGS/N0447F380 A766 SBI DCT CRIED BEREE3</t>
  </si>
  <si>
    <t>S12R SR00 SR01 ROTGI UM219 MYDIA M219 CIGAR/N0450F360 DCT DRABK/N0453F370 DCT LGC DCT NIOLA DCT SWAPP DCT BIGXX DCT MIE DCT BONNT VEECK5</t>
  </si>
  <si>
    <t>S12R 2101N08648W NOSUG 2159N08656W 2205N08658W KEHLI A766 KELPP DCT VUH DCT</t>
  </si>
  <si>
    <t>S12R T12R6 UN418 UN409 UKOKO UT78 DURPI 2049N08937W 2042N09000W UBVOV UT20 PAZ UT104 LENUL LENUL2B</t>
  </si>
  <si>
    <t>UDGUV2A UDGUV DCT MID NOTEN UT37 SESNO UJ15E RETOS DCT</t>
  </si>
  <si>
    <t>N519JB</t>
  </si>
  <si>
    <t>S12R FRANT UG765 MAXIM Y262 TUNSL DCT KUTNE MUNGI1</t>
  </si>
  <si>
    <t>N860DN</t>
  </si>
  <si>
    <t>S12R 2100N08649W ROTGI UM219 MYDIA M219 CIGAR M215 KNOST DCT CAMJO DCT LAIRI DCT LARZZ JJEDI4</t>
  </si>
  <si>
    <t>S12R SR00 SR01 ROTGI UM219 MYDIA M219 KNOST Q109 CAMJO Q99 OGRAE DCT GOOOB DCT THHMP RAVNN9</t>
  </si>
  <si>
    <t>UDGUV2A UDGUV UT78 DURPI 2048N08943W 2044N08956W UBVOV UT101 ENAGA ENAGA3A</t>
  </si>
  <si>
    <t>N562UW</t>
  </si>
  <si>
    <t>S12R SR00 SR01 SR02 SR03 SR04 SR05 SR06 2104N08645W ROTGI UM219 MYDIA M219 KNOST DCT DEANR DCT BRUTS Q109 CAMJO DCT TWINS DCT PONZE BANKR8</t>
  </si>
  <si>
    <t>S12R SR00 2102N08646W 2138N08653W 2201N08703W 2207N08704W 2211N08705W 2246N08713W 2252N08714W 2312N08718W 2322N08722W DAGGR L214 LEV/N0465F370 J31 MEI DCT IGB/N0467F380 DCT KISTS CHSNE3</t>
  </si>
  <si>
    <t>2428N08754W</t>
  </si>
  <si>
    <t>S12R SR00 SR01 SR02 NOSUG 2303N08702W TRESR L333 HOOCK DCT MEMFS/N0479F340 DCT FTZ TRTLL6</t>
  </si>
  <si>
    <t>2420N08724W</t>
  </si>
  <si>
    <t>S12R SR00 SR01 SR02 2140N08653W KEHLI A766 SBI DCT KF09E DCT SPS DCT HALEN NIIXX4</t>
  </si>
  <si>
    <t>S12R T12R6 UN418 UN409 2052N08825W 2052N08827W 2043N08924W UBVOV UT101 UMAVO/N0453F300 UT101 ENAGA ENAGA3A</t>
  </si>
  <si>
    <t>S12R T12R6 UN402 UN408 CZM MGA UZ512 TIGIR/N0458F350 UZ512 LIXAS UL203 ARNEL UM542 TAL UV1 ATATU ATATU4</t>
  </si>
  <si>
    <t>S12R 2100N08650W CN01 NC011 2101N08646W NNE25 ROTGI UM219 MYDIA/N0462F350 M219 CIGAR DCT DEANR Q109 CAMJO Q99 QUART PHLBO4</t>
  </si>
  <si>
    <t>N316UV</t>
  </si>
  <si>
    <t>S12R 2101N08650W T12R6 SL0 2102N08648W 2144N08654W 2149N08656W 2202N08703W 2215N08724W 2223N08731W KEHLI A766 SBI DCT CRIED BEREE3</t>
  </si>
  <si>
    <t>N412UW</t>
  </si>
  <si>
    <t>S12R SR00 SR01 SR02 2200N08702W 2203N08707W DUTNA L208 PEGLG DCT CRP/N0461F360 DCT KINEY DCT KOBLE DCT ELP Q166 GRNNT DCT DRRVR PINNG1</t>
  </si>
  <si>
    <t>S12R SR00 SR01 SR02 SR03 SR04 SR05 SR06 2141N08653W 2154N08656W 2210N08700W KEHLI A766 SBI DCT FUZ J58 SPS DCT HALEN NIIXX4</t>
  </si>
  <si>
    <t>LCLUN CUN 2051N08654W 2048N08654W 2043N08656W 2043N08700W 2052N08704W</t>
  </si>
  <si>
    <t>S12R 2059N08647W NC10 SL00 ROTGI UM219 MYDIA M219 CIGAR DCT DEANR Q109 CAMJO Q99 OGRAE DCT BZNGA DCT DORRN CAVLR7</t>
  </si>
  <si>
    <t>UDGUV2A UDGUV UJ84 CZA DCT PQE V51 TGZ</t>
  </si>
  <si>
    <t>S12R SR00 SR01 SR02 KEHLI A766 SBI DCT ACT/N0460F340 DCT PNH DCT ALS DCT JNC J12 HELPR JAZZZ1</t>
  </si>
  <si>
    <t>UDGUV2A UDGUV DCT 2049N08753W 2051N08803W NOTEN UT37 SESNO UJ15E RETOS RETOS1A</t>
  </si>
  <si>
    <t>N984NN</t>
  </si>
  <si>
    <t>S12R T12R6 UN415 UN413 FRANT UG765 MAXIM SNDBR3</t>
  </si>
  <si>
    <t>S12R 2059N08645W SR02 2142N08654W 2149N08657W 2150N08659W DUTNA L208 RUMMM DCT PSX DCT SAT J138 FST J86 INW DCT HAHAA RKSTR4</t>
  </si>
  <si>
    <t>UDGUV2A UDGUV UT78 DURPI DCT LIDAM UT23 TAM UJ14 TMN UT147 AGU UT44 MEZCA MEZCA1A</t>
  </si>
  <si>
    <t>S12R T12R6 UN415 UN413 PODON UG765 MAXIM Y262 LULLS Y642 GRATX/M084F410 M329 BALTN DCT BDA M330 BALOO DCT 35N060W DCT 41N050W DCT 46N040W DCT 48N030W DCT 51N020W DCT LIMRI/N0478F410 DCT XETBO DCT BAL DCT BOFUM Q37 MALUD MALUD1M</t>
  </si>
  <si>
    <t>S12R T12R6 2103N08636W PODON UG765 MAXIM Y262 LULLS Y642 GRATX/M084F410 M329 BALTN DCT BDA M330 BALOO DCT 35N060W DCT 41N050W DCT 46N040W DCT 48N030W DCT 49N025W DCT SOMAX DCT ATSUR DCT LULOX/N0450F410 DCT SIDDI DCT DAWLY DCT ELRIP DCT OTMET OTMET1G</t>
  </si>
  <si>
    <t>UDGUV2A UDGUV UJ84 CZA 2008N08945W 1932N09039W 1927N09046W NOPON UJ9 VSA DCT</t>
  </si>
  <si>
    <t>HK5423</t>
  </si>
  <si>
    <t>S12R T12R6 2100N08648W PELRA UN420 SPP UP530 KAKOL DCT RNG UQ121 ISVAT ISVA5E</t>
  </si>
  <si>
    <t>WJA2211</t>
  </si>
  <si>
    <t>S12R SR00 SR01 SR02 2138N08652W 2151N08657W 2153N08657W 2212N08704W 2219N08705W KEHLI/M078F360 A766 KLAMS/N0460F360 A766 SBI DCT STYCK DCT KF27A DCT HALEN DCT KD66W DCT KD81U DCT KU06S DCT COUTS DCT EBGAL EBGAL7</t>
  </si>
  <si>
    <t>S12R SR00 SR01 SR02 SR03 SR04 SR05 SR06 SR07 SR08 SR09 SR10 SR11 SR12 SR13 SR14 SR15 SR16 2114N08654W 2122N08654W 2127N08659W 2225N08752W 2243N08822W 2249N08830W 2251N08832W KEHLI A766 KELPP DCT</t>
  </si>
  <si>
    <t>N907JB</t>
  </si>
  <si>
    <t>S12R T12R6 2100N08648W 2101N08644W MAXIM Y262 ZFP Y319 JAZZI DCT SAGGY DCT CHIEZ Q161 KALDA Q108 SIE CAMRN5</t>
  </si>
  <si>
    <t>UDGUV2A UDGUV UT78 UKOKO 2050N08842W 2103N08919W MD702 2147N09059W 2148N09101W 2200N09131W 2200N09133W 2159N09137W 2158N09204W 2201N09214W 2213N09222W 2217N09229W NOTEN UT37 ULUMA DCT MTY DCT TASTO DCT ILAMA UT41 NADIS DCT AVRIL UJ3 TANRI TANRI1B</t>
  </si>
  <si>
    <t>S12R T12R6 UN418 UN409 UN419 UN432 2050N08736W UBVOV UT101 UMAVO/N0458F300 UT101 ENAGA ENAGA3A</t>
  </si>
  <si>
    <t>N17564</t>
  </si>
  <si>
    <t>S12R SR00 SR01 SR02 SR03 2148N08655W 2156N08657W 2204N08708W 2204N08709W 2251N08740W 2304N08744W 2322N08755W 2330N08804W 2331N08806W KEHLI A766 KELPP NNCEE2</t>
  </si>
  <si>
    <t>FYL125</t>
  </si>
  <si>
    <t>S12R 2101N08650W 2104N08634W 2106N08614W 2108N08534W UVA UR628 TANIA R628 ZQA</t>
  </si>
  <si>
    <t>2108N08534W</t>
  </si>
  <si>
    <t>S12R 2101N08651W 2046N08634W 2038N08625W 2023N08607W TAKUX UM782 OMIRO/N0469F390 UM782 EJA UP525 SJE UP530 LET/N0467F400 UP525 RCO/N0465F410 UL417 ISARA/N0465F410 UL417 LOKOX UM784 BOLET UL404 ISOPO UT672 MULTA UW24 SNT SNT7U</t>
  </si>
  <si>
    <t>UDGUV2A UDGUV UT78 DURPI 2104N09028W 2139N09501W TMN UT147 SLP</t>
  </si>
  <si>
    <t>N7724A</t>
  </si>
  <si>
    <t>S12R SR00 SR01 SR02 SR03 2123N08648W 2135N08649W 2142N08649W 2155N08657W 2159N08700W 2206N08704W 2226N08714W 2300N08733W 2305N08735W 2325N08746W KEHLI A766 KELPP BAYYY5</t>
  </si>
  <si>
    <t>S12R T12R6 UN418 UN409 UN419 UN432 2050N09000W 2026N09500W UMAVO UT101 ENAGA DCT OTAGO/N0447F170 DCT ATUKA ATUKA1B</t>
  </si>
  <si>
    <t>UDGUV2A UDGUV UT78 GOSAT 2050N08958W ELURA VITOS VITOS2A</t>
  </si>
  <si>
    <t>S12R T12R6 UN418 UN409 UN419 UN432 2115N08956W 2148N09501W MORAS UJ17 QET</t>
  </si>
  <si>
    <t>N3738B</t>
  </si>
  <si>
    <t>S12R T12R6 UN418 UN409 UN419 2051N08731W 2050N08738W PERGO UT37 EBDUB DCT REX DCT DLF/N0461F360 DCT KOBLE DCT ELP DCT SSO J50 ITEMM DCT BXK DCT ESTWD HLYWD1</t>
  </si>
  <si>
    <t>S12R T12R6 UN415 ALYRE TAKUX UM782 OMIRO/N0454F370 UM782 MEVUB UP406 AKPEK/N0455F360 W37 NENES/N0419F270 A323 RNG DCT ISVAT ISVA5E</t>
  </si>
  <si>
    <t>TAKUX2A TAKUX DCT MAMBI UL577 KEBET/N0471F350 UL577 CDO UT15 NADAX NADAX1W</t>
  </si>
  <si>
    <t>UDGUV2A UDGUV UT78 MEDOS 2045N09408W 2045N09415W VER MEBAS LARLO</t>
  </si>
  <si>
    <t>2009N09459W</t>
  </si>
  <si>
    <t>S12R T12R6 UN402 LIXAS/N0442F370 UL203 ARNEL UM542 TAL UV1 ATATU ATATU4</t>
  </si>
  <si>
    <t>XAVSC</t>
  </si>
  <si>
    <t>UDGUV2A UDGUV UT78 DURPI 2104N09017W 2106N09028W 2139N09456W TMN UT147 AGU UT44 MEZCA MEZCA1A</t>
  </si>
  <si>
    <t>NUDAL1A NUDAL UV106 PODON UG765 MAXIM DCT CYAAA DCT SNAGY/M080F390 DCT ROBBB DCT NAALA/N0466F390 DCT HOBOH/M080F390 Y488 HERCC/N0465F390 Y488 WEBBB DCT VITOL N89B SUPRY/M078F390 NATY 46N050W/M079F400 NATY 49N020W/M078F400 NATY NASBA/M080F410 DCT TAKAS/N0451F410 DCT ALUTA DCT TEJOP DCT TERKU DCT DEGEX/N0364F270 DCT KORER UN482 DEKJA/N0360F260 UN482 NIMER DCT CAD CAD9W</t>
  </si>
  <si>
    <t>S12R T12R6 UN418 UN409 UN419 UN432 2050N08734W UBVOV UT101 ENAGA DCT OTAGO DCT ATUKA ATUKA1B</t>
  </si>
  <si>
    <t>XBATM</t>
  </si>
  <si>
    <t>C500</t>
  </si>
  <si>
    <t>S12R T12R6 2059N08649W CZA V45 NAPRI 2045N08852W 2047N08855W 2048N08907W SEBEP MD400 MD401 RWY10</t>
  </si>
  <si>
    <t>S12R T12R6 2054N08651W 2025N08823W 2026N08829W 2026N08903W 2016N09005W ELSIP 1913N09502W MEBAS UT111 LARLO DCT</t>
  </si>
  <si>
    <t>CMP6326</t>
  </si>
  <si>
    <t>HP1521</t>
  </si>
  <si>
    <t>S12R T12R6 TAKUX UM782 OMIRO UN420 PELRA DCT SPP DCT SEKMA OSUPA2</t>
  </si>
  <si>
    <t>S12R T12R6 UN418 CPE UJ24 VER UT111 MEBAS LARLO</t>
  </si>
  <si>
    <t>NUDAL1A NUDAL UV106 PODON UG765 MAXIM Y262 CANVI/M081F370 Y262 ZFP DCT SUMRS M204 SOORY/M082F400 NATZ GUNSO/M080F390 DCT GAPLI/N0449F370 DCT SIDDI/N0387F270 DCT DAWLY DCT ELRIP DCT OTMET OTMET1G</t>
  </si>
  <si>
    <t>S12R 2101N08651W NC12 ALSUP UB881 URIOS DCT GABIX DCT TUMEK DCT TIBUT DCT PIRAS BARRA4P</t>
  </si>
  <si>
    <t>S12R T12R6 UN415 UN413 2106N08617W FRANT UG765 MAXIM/N0497F370 DCT EYW DCT ZBV DCT BAAGR M328 SLEMA/M085F370 M328 ANTIG/N0491F390 DCT LAZEY/M085F390 DCT 34N060W/M085F390 39N050W 41N040W 42N030W 42N020W/M085F410 DCT BANAL/N0478F410 DCT EPOPO DCT ADORO/N0484F400 L155 ZMR</t>
  </si>
  <si>
    <t>S12R T12R6 UN418 UN409 UN419 2051N08731W 2050N08737W NOTEN UT37 SESNO UJ15E RETOS RETOS1A</t>
  </si>
  <si>
    <t>S12R T12R6 UN418 UN409 UN419 2051N08730W 2051N08731W 2050N08736W LIDAM UT23 TAM UJ14 TMN DCT MORAS UJ17 QET</t>
  </si>
  <si>
    <t>CGHQI</t>
  </si>
  <si>
    <t>OMSUK2A OMSUK UM219 MYDIA/M078F310 M219 CULLY/N0468F310 M219 KNOST DCT CAMJO Q99 BLAAN Q69 RICCS DCT OXMAN LINNG3</t>
  </si>
  <si>
    <t>S12R T12R6 UN415 UN413 SEVKA 2114N08559W 2132N08543W MAXIM Y262 ZFP/M082F370 DCT SLEMA M328 ANTIG DCT BALOO DCT 38N050W/M082F390 DCT 40N040W DCT 41N030W DCT 42N020W DCT BANAL/N0463F410 DCT ADORO/N0467F400 L155 ZMR</t>
  </si>
  <si>
    <t>UDGUV2A UDGUV DCT 2052N08843W 2053N08851W NOTEN UT37 SESNO UJ15E RETOS RETOS1A</t>
  </si>
  <si>
    <t>S12R T12R6 UN415 UN440 UN400 2037N08617W 2028N08613W OMIRO UN420 SPP DCT VUNIB DCT SIROT DCT KUBEK DCT RNG DCT ISVAT ISVAT5E</t>
  </si>
  <si>
    <t>UDGUV2A UDGUV UT78 XOLRO 2050N09007W ELURA UMAVO UT101 ENAGA ENAGA3A</t>
  </si>
  <si>
    <t>UDGUV2A UDGUV UT78 DURPI 2050N09005W ELURA UMAVO/N0448F300 UT101 ENAGA ENAGA3A</t>
  </si>
  <si>
    <t>UDGUV2B UDGUV UT78 DURPI 2050N09020W AVIVI ELVED UT104 LENUL LENUL3A</t>
  </si>
  <si>
    <t>UDGUV2B UDGUV 2026N08811W CME UJ9 VSA</t>
  </si>
  <si>
    <t>S12L T12L6 UN418 UN409 UN419 2052N08722W MD701 2119N09014W 2121N09029W 2149N09459W SLP UT147 AGU UT44 MEZCA MEZCA1A</t>
  </si>
  <si>
    <t>CGRAG</t>
  </si>
  <si>
    <t>ROTGI2B ROTGI 2152N08640W MYDIA/M078F350 M219 KNOST/N0460F350 Q109 CAMJO DCT DANCO DCT OXMAN LINNG3</t>
  </si>
  <si>
    <t>DANRH</t>
  </si>
  <si>
    <t>NUDAL1B NUDAL UV106 PODON UG765 MAXIM DCT EYW DCT PBI/M083F370 DCT SNAGY DCT ONGOT DCT DRYED DCT JEBBY/N0478F370 DCT SUPRY/M083F370 DCT 46N050W 49N040W/M083F390 51N030W 52N020W DCT LIMRI DCT XETBO/N0468F390 DCT BANBA DCT DIQSE DCT ICOSA DCT RUHUN DCT UNZIB DCT NUCHU L607 BIG UL9 KONAN DCT KOK UL607 SPI T180 NIVNU T847 TUTOV TUTOV1A</t>
  </si>
  <si>
    <t>XAVVC</t>
  </si>
  <si>
    <t>S12L T12L6 UN418 UN409 UN419 2051N08731W 2050N08739W UBVOV UT101 ENAGA ENAGA3A</t>
  </si>
  <si>
    <t>S12L T12L6 UN418 UN409 UN419 2050N08733W 2049N08739W UBVOV DCT UMAVO UT101 ENAGA ENAGA3A</t>
  </si>
  <si>
    <t>UDGUV2B UDGUV OMPAN OMPAN1A</t>
  </si>
  <si>
    <t>UDGUV2B UDGUV UBVOV UT101 UMAVO/N0458F300 UT101 ENAGA ENAGA3A</t>
  </si>
  <si>
    <t>S12L T12L6 SEVKA NUDAL UR506 KALNO VETSI2A</t>
  </si>
  <si>
    <t>S12L T12L6 2101N08649W ALYRE TAKUX UM782 OMIRO UN420 PELRA DCT SPP DCT SEKMA OSUPA2</t>
  </si>
  <si>
    <t>S12L T12L6 UN418 UN409 UN419 UN432 2049N08745W TL513 NOTEN UT37 SESNO DCT MTY UJ32 TRC DCT</t>
  </si>
  <si>
    <t>S12L T12L6 UN418 UN409 UN419 UN432 2049N08744W 2048N08753W UBVOV UT101 UMAVO/N0458F300 UT101 ENAGA ENAGA3A</t>
  </si>
  <si>
    <t>S12L T12L6 UN418 UN409 UN419 UN432 2206N09036W 2217N09057W NOTEN UT37 SESNO UJ15E RETOS RETOS1A</t>
  </si>
  <si>
    <t>N301NW</t>
  </si>
  <si>
    <t>S12L SL00 CN04 NOSUG 2222N08658W 2235N08701W KEHLI A766 SBI DCT CRIED BEREE3</t>
  </si>
  <si>
    <t>S12L 2101N08650W NC011 NOSUG 2152N08656W 2159N08657W KEHLI A766 KELPP NNCEE2</t>
  </si>
  <si>
    <t>S12R SR00 SR01 SR02 SR03 SR04 SR05 ROTGI UM219 MYDIA M219 KNOST DCT PLYER DCT OTK DCT LARZZ JJEDI4</t>
  </si>
  <si>
    <t>XBBWG</t>
  </si>
  <si>
    <t>2108N08849W TEMAX TXKKB 2059N08932W 2056N08936W 2057N08939W 2057N08940W 2057N08941W</t>
  </si>
  <si>
    <t>S12R SR00 SR01 SR02 SR03 SR04 UN412 UN414 UN407 ROTGI UM219 MYDIA M219 CIGAR M215 KNOST/N0468F350 Q109 CAMJO Q99 QUART PHLBO4</t>
  </si>
  <si>
    <t>UDGUV2A UDGUV UT78 MEDOS UT20 UBVOV UT101 UMAVO/N0454F300 UT101 ENAGA ENAGA3A</t>
  </si>
  <si>
    <t>2102N08653W UN632 2043N08707W 2039N08702W 2042N08649W 2059N08707W N0</t>
  </si>
  <si>
    <t>XBSUN</t>
  </si>
  <si>
    <t>UDGUV2A UDGUV 2048N08748W 2049N08758W NOTEN UT37 SESNO UJ15E RETOS RETOS1A</t>
  </si>
  <si>
    <t>S12R T12R6 UN418 UN409 UN419 UN432 UBVOV UT101 UMAVO UT104 LENUL LENUL3A</t>
  </si>
  <si>
    <t>S12R T12R6 UN418 UN409 UN419 UN432 UBVOV UT101 UMAVO UT169 VITOS VITOS2A</t>
  </si>
  <si>
    <t>S12R SR00 SR01 SR02 2100N08644W 2105N08644W 2109N08644W 2131N08650W ALKIM UT45 IRDOV L214 LEV DCT MCB J35 SQS/N0453F370 J35 MEM/N0451F360 J187 ZESAM/N0455F380 J187 FTZ TRTLL6</t>
  </si>
  <si>
    <t>UDGUV2A UDGUV DCT 2050N08804W 2050N08809W NOTEN UT37 SESNO UJ15E RETOS RETOS1A</t>
  </si>
  <si>
    <t>S12R T12R6 UN418 UN409 UDGUV UT78 DURPI DCT UBVOV UT101 UMAVO/N0411F300 UT101 ENAGA/N0386F270 ENAGA3A</t>
  </si>
  <si>
    <t>CGELQ</t>
  </si>
  <si>
    <t>S12R SR00 SR01 SR02 2106N08646W 2117N08655W NOSUG ALKIM UT45 IRDOV/M080F340 L214 PLNDR/N0472F350 DCT MEI/N0467F370 DCT BWG DCT IIU Q139 RINTE/N0462F390 DCT QWERI NUBER6</t>
  </si>
  <si>
    <t>S12R 2101N08650W 2100N08649W 2101N08647W ENEBA 2140N08655W 2221N08658W 2346N08851W 2349N08856W KELPP BAYYY5</t>
  </si>
  <si>
    <t>2429N08931W</t>
  </si>
  <si>
    <t>N831NN</t>
  </si>
  <si>
    <t>S12R 2100N08650W 2101N08647W 2107N08649W 2115N08649W ENEBA NOSUG UT27 OMVIP KEHLI A766 KELPP/N0447F380 A766 SBI DCT CRIED BEREE3</t>
  </si>
  <si>
    <t>S12R SR00 SR01 SR02 SR03 SR04 NOSUG UT27 PISAD L333 HRV/N0456F350 DCT IGB DCT PXV DCT VHP DCT FWA DCT CRL DCT QWERI NUBER6</t>
  </si>
  <si>
    <t>UDGUV2A UDGUV UT78 DURPI DCT NUBIT DCT RIBET UT101 ENAGA DCT OVAGO/N0447F360 UT123 IKLOK/N0445F220 UT123 IGSON IGSON1B</t>
  </si>
  <si>
    <t>N37554</t>
  </si>
  <si>
    <t>S12R SR00 SR01 SR02 SR03 SR04 SR05 SR06 SR07 SR08 ROTGI 2151N08640W 2157N08639W 2213N08647W MYDIA M219 CIGAR M215 KNOST Q109 CAMJO Q99 OGRAE DCT BZNGA DCT DORRN CAVLR7</t>
  </si>
  <si>
    <t>S12R T12R6 UN415 2052N08635W TAKUX UM782 OMIRO/N0447F370 UN420 PELRA DCT SPP DCT SEKMA OSUPA2</t>
  </si>
  <si>
    <t>S12R T12R6 UN418 UN409 UN419 2051N08733W 2051N08739W LIDAM UT23 TAM DCT</t>
  </si>
  <si>
    <t>S12R T12R6 UN415 2052N08636W UN604 TAKUX UM782 OMIRO UN420 TBG A323 KOTIN DCT</t>
  </si>
  <si>
    <t>S12R T12R6 UN402 UN408 CZM 2028N08655W CZ13 CTM UG765 AUR DCT</t>
  </si>
  <si>
    <t>UDGUV2A UDGUV DCT 2050N08804W 2050N08811W 2050N08813W 2051N08818W NOTEN/N0453F380 DCT LIBOX DCT MOV UT3 URKOM UJ54 CJS DCT</t>
  </si>
  <si>
    <t>UDGUV2A UDGUV DCT MID DCT LIDAM UT23 ONBUL/N0457F360 UT23 TAM UJ14 TMN UT147 AGU UT44 MEZCA MEZCA1A</t>
  </si>
  <si>
    <t>TAKUX2A TAKUX UM782 OMIRO/N0454F370 UN420 PELRA DCT SPP DCT SEKMA OSUPA2</t>
  </si>
  <si>
    <t>N368AM</t>
  </si>
  <si>
    <t>UDGUV2A UDGUV UT78 MEDOS UT20 UBVOV UT101 UMAVO/N0451F300 UT101 ENAGA ENAGA3A</t>
  </si>
  <si>
    <t>S12R SR00 SR01 SR02 SR03 SR04 SR05 SR06 SR07 ROTGI UM219 MYDIA M219 KNOST DCT CAMJO Q99 BLAAN Q69 RICCS DCT PSB DCT SYR DCT ART IMPAC4</t>
  </si>
  <si>
    <t>HP1720</t>
  </si>
  <si>
    <t>S12R T12R6 2059N08647W CN17 TAKUX UM782 OMIRO/N0448F370 UN420 PELRA DCT SPP DCT SEKMA OSUPA2</t>
  </si>
  <si>
    <t>S12R 2053N08720W 2052N08727W PQE/N0328A180 V51 SAXAV V51 TGZ DCT</t>
  </si>
  <si>
    <t>N39461</t>
  </si>
  <si>
    <t>S12R 2101N08651W 2100N08649W NC01 NOSUG UT27 OMVIP UT45 ALKIM/N0471F340 UT45 IRDOV L214 PLNDR DCT MCB/N0469F350 DCT MEMFS/N0473F340 DCT FTZ TRTLL6</t>
  </si>
  <si>
    <t>N925UY</t>
  </si>
  <si>
    <t>S12R 2100N08649W SR0 2059N08647W CN021 ROTGI UM219 MYDIA M219 BUUOY/N0463F350 M219 KNOST DCT DEANR DCT BRUTS Q109 CAMJO DCT TWINS DCT PONZE BANKR8</t>
  </si>
  <si>
    <t>N571JB</t>
  </si>
  <si>
    <t>S12R 2100N08648W 2101N08647W OMSUK UM219 MYDIA M219 SNAKR Y240 SHAQQ M580 MARCI TEEKY4</t>
  </si>
  <si>
    <t>S12R 2101N08651W 2102N08647W NOSUG 2156N08656W 2201N08656W KEHLI A766 SBI DCT CRIED BEREE3</t>
  </si>
  <si>
    <t>N416AV</t>
  </si>
  <si>
    <t>S12R T12R6 UN415 2049N08637W ALYRE TAKUX UM782 OMIRO/N0451F370 UN420 SPP UP530 KAKOL/N0451F370 DCT RNG UQ121 ISVAT ISVA5E</t>
  </si>
  <si>
    <t>N875HB</t>
  </si>
  <si>
    <t>HA4T</t>
  </si>
  <si>
    <t>S12R T12R6 UN418 UN409 UN419 UN432 UBVOV UT20 PAZ UT104 LENUL DCT</t>
  </si>
  <si>
    <t>N327DN</t>
  </si>
  <si>
    <t>S12R 2101N08650W CN04 ROTGI UM219 MYDIA M219 KNOST DCT PLYER DCT OTK DCT LARZZ JJEDI4</t>
  </si>
  <si>
    <t>N182UW</t>
  </si>
  <si>
    <t>S12R T12R6 UN415 NUDAL UV106 PODON UG765 MAXIM Y262 ZFP DCT WOLFO AR18 PELCN Y309 FLRDA/N0454F350 DCT IDOLS DCT SKARP Q101 BGBRD/N0441F290 Q101 TUGGR DCT KALDA DCT ZJAAY JIIMS4</t>
  </si>
  <si>
    <t>N511VL</t>
  </si>
  <si>
    <t>S12R T12R6 UN418 UN409 UN419 UN432 LIDAM UT23 TAM UJ14 TMN UT147 AGU UT44 MEZCA MEZCA1A</t>
  </si>
  <si>
    <t>N953XV</t>
  </si>
  <si>
    <t>S12R T12R6 UN415 2109N08611W 2111N08603W NUDAL UV106 PODON UG765 MAXIM SNDBR3</t>
  </si>
  <si>
    <t>S12R T12R6 UN418 UN409 UN419 UN432 UBVOV UT101 UMAVO/N0457F300 UT101 ENAGA ENAGA3A</t>
  </si>
  <si>
    <t>N702FR</t>
  </si>
  <si>
    <t>S12R 2102N08649W L34 NOSUG UT27 OMVIP UT45 IRDOV/N0461F380 L214 LEV J35 SQS/N0466F370 J35 MEM BOOSH3</t>
  </si>
  <si>
    <t>UDGUV2A UDGUV DCT 2052N08830W 2052N08836W NOTEN/N0453F380 UT37 SESNO UJ15E RETOS RETOS1A</t>
  </si>
  <si>
    <t>S12R ALYRE TAKUX UM782 OMIRO/N0451F390 UN420 SPP UP530 KAKOL/N0395F230 B689 OPMEL OPME4A</t>
  </si>
  <si>
    <t>UDGUV2A UDGUV DCT 2052N08842W 2053N08847W PERGO UT37 AVRAV/N0466F340 UT37 SESNO DCT MTY UT11 PPE J93 AXASA/N0461F360 DCT ASUTA J93 PDZ DCT COREZ DCT MAKRS DCT SERFR SERFR4</t>
  </si>
  <si>
    <t>S12R SR00 SR01 SR02 SR03 NOSUG UT27 OMVIP UT45 IRDOV L214 PLNDR DCT HRV DCT MCB/N0452F350 DCT MEM/N0450F360 J187 FTZ TRTLL6</t>
  </si>
  <si>
    <t>S12R SR00 SR01 SR02 SR03 ROTGI UM219 MYDIA M219 CIGAR RAYZZ3</t>
  </si>
  <si>
    <t>S12R T12R6 UN418 UN409 UN419 2051N08725W 2051N08729W 2053N08803W 2053N08806W NOTEN UT37 SESNO UJ15E RETOS RETOS1A</t>
  </si>
  <si>
    <t>S12R 2121N08649W NOSUG UT27 OMVIP UT45 IRDOV L214 LEV J35 MCB/N0461F380 DCT LIT DCT KRTNY MHOMS3</t>
  </si>
  <si>
    <t>N593DX</t>
  </si>
  <si>
    <t>S12R 2101N08651W NC29 ROTGI UM219 MYDIA M219 KNOST Q109 YURCK Q97 SAWED Q108 SIE CAMRN5</t>
  </si>
  <si>
    <t>CFJQD</t>
  </si>
  <si>
    <t>S12R SR00 SR01 SR02 SR03 SR04 NOSUG 2229N08707W ALKIM UT45 IRDOV/M079F340 L214 PLNDR/N0469F350 DCT MEI DCT BWG/N0465F370 DCT IIU Q139 RINTE DCT QWERI NUBER6</t>
  </si>
  <si>
    <t>S12R SR00 SR01 SR02 SR03 SR04 SR05 SR06 SR07 SR08 ROTGI UM219 MYDIA/M078F250 M219 CULLY/N0485F250 M219 KNOST DCT CAMJO DCT TEEEM Q99 POLYY DCT OGRAE DCT AUDII/N0481F270 DCT FAK/N0477F290 DCT RBV DCT LLUND DCT CAM DCT JASDU DCT PBERG CARTR5</t>
  </si>
  <si>
    <t>N8790Q</t>
  </si>
  <si>
    <t>S12R SR00 SR01 SR02 SR03 SR04 SR05 SR06 SR07 SR08 NOSUG 2249N08701W 2315N08703W 2322N08705W KEHLI A766 KELPP BAYYY5</t>
  </si>
  <si>
    <t>N2676</t>
  </si>
  <si>
    <t>KFTY</t>
  </si>
  <si>
    <t>OMSUK2A OMSUK UM219 MYDIA M219 KNOST Q109 HEPAR DCT SHRLT DCT WRGNZ DCT</t>
  </si>
  <si>
    <t>S12R SR00 SR01 SR02 SR03 SR04 SR05 SR06 SR07 UN417 ENEBA UT27 OMVIP UT45 IRDOV/M079F360 L214 PLNDR/N0460F360 L214 LEV/N0459F370 DCT CLOUT DCT FYLLS DCT QWERI NUBER6</t>
  </si>
  <si>
    <t>CGKXF</t>
  </si>
  <si>
    <t>S12R SR00 SR01 SR02 SR03 SR04 SR05 SR06 SR07 SR08 OMSUK UM219 MYDIA M219 KNOST Q109 CAMJO DCT PSK DCT PSB J59 ZUUCS/N0475F350 J59 SYR DCT ART DEANS4</t>
  </si>
  <si>
    <t>S12R T12R6 UN418 UN409 UN419 UN432 2049N08744W 2048N08749W 2049N08752W 2051N08800W 2130N09150W 2130N09152W 2147N09500W TMN DCT MORAS UJ17 QET DCT</t>
  </si>
  <si>
    <t>2100N08653W NC14 2043N08702W 2037N08707W 2040N08712W 2048N08704W 2055N08653W CUN</t>
  </si>
  <si>
    <t>S12R SR00 SR01 SR02 SR03 SR04 SR05 SR06 SR07 SR08 NOSUG 2153N08656W 2203N08658W 2206N08657W 2213N08657W IRDOV L214 LEV J35 MCB/N0468F370 J35 MEM BOOSH3</t>
  </si>
  <si>
    <t>S12R T12R6 UN418 UN409 2055N08700W 2055N08703W 2055N08706W UBVOV UT20 TAJIN DCT VITOS VITOS2A</t>
  </si>
  <si>
    <t>N38473</t>
  </si>
  <si>
    <t>S12R SR00 SR01 SR02 SR03 SR04 SR05 SR06 SR07 SR08 SR09 SR10 2112N08646W 2113N08646W NOSUG 2222N08658W 2231N08659W KEHLI A766 KELPP NNCEE2</t>
  </si>
  <si>
    <t>S12R SR00 SR01 SR02 SR03 SR04 SR05 SR06 SR07 SR08 NOSUG 2237N08700W 2246N08700W KEHLI A766 KELPP NNCEE2</t>
  </si>
  <si>
    <t>N167AN</t>
  </si>
  <si>
    <t>S12R SR00 SR01 SR02 SR03 SR04 SR05 SR06 SR07 SR08 2109N08642W NOSUG UT27 OMVIP 2307N08705W 2313N08709W KEHLI A766 SBI DCT CRIED BEREE3</t>
  </si>
  <si>
    <t>2100N08654W 2059N08654W SR35 L09</t>
  </si>
  <si>
    <t>S12R 2101N08650W CN02 ALYRE TAKUX UM782 OMIRO UN420 PELRA DCT SPP DCT SEKMA OSUPA2</t>
  </si>
  <si>
    <t>N976NN</t>
  </si>
  <si>
    <t>S12R T12R6 2059N08647W N16S NUDAL UV106 PODON UG765 MAXIM SNDBR3</t>
  </si>
  <si>
    <t>N14524</t>
  </si>
  <si>
    <t>S12R 2100N08650W 2101N08647W CN04 NOSUG UT27 OMVIP UT45 ALKIM 2344N08737W 2346N08740W KEHLI A766 SBI/N0457F360 DCT KF09E DCT SPS DCT HALEN NIIXX4</t>
  </si>
  <si>
    <t>S12R 2058N08652W 2047N08653W 2045N08653W MURBU B764 BUKKY BUKKY1A</t>
  </si>
  <si>
    <t>S12R T12R6 2059N08647W SL04 NUDAL UV106 PODON UG765 MAXIM Y262 LULLS Y642 JITGO/M084F350 Y642 GRATX M329 BALTN DCT LAZEY DCT 36N060W/N0488F370 DCT 40N050W DCT 42N040W/M083F370 DCT 45N030W DCT 4830N02000W DCT 48N015W DCT ETIKI DCT REGHI/N0481F370 DCT ADSET/N0477F390 DCT LEMKA/N0478F390 DCT BEBIX DCT VALKU DCT TIS DCT MEBAK DCT GIPNO DCT BALSI DCT OBIGO DCT ROBEX/N0474F390 DCT LAPRI DCT MOGBO/N0476F380 DCT LABIN/N0446F350 DCT SONIK DCT ELTIB DCT MITNO DCT NISVA DCT DEDIN DCT AYTEK</t>
  </si>
  <si>
    <t>N950RG</t>
  </si>
  <si>
    <t>S12R T12R6 UN418 UN409 2055N08704W 2055N08706W 2056N08813W 2056N08816W 2105N08856W 2108N08902W NOTEN UT37 SESNO UJ15E RETOS DCT</t>
  </si>
  <si>
    <t>UDGUV2A UDGUV 2045N08802W 2041N08838W 2041N08903W 1942N09359W ALRAD OMPAN1A</t>
  </si>
  <si>
    <t>UDGUV2A UDGUV 2049N08813W 2049N08814W 2104N08913W 2105N08917W NOTEN UT37 ULUMA DCT MTY DCT TASTO DCT ILAMA UT41 NADIS/N0438F300 DCT AVRIL UJ3 TANRI TANRI1B</t>
  </si>
  <si>
    <t>N339DN</t>
  </si>
  <si>
    <t>S12R SR00 SR01 OMSUK UM219 MYDIA M219 CIGAR M215 KNOST DCT CAMJO DCT LAIRI DCT LARZZ JJEDI4</t>
  </si>
  <si>
    <t>S12R 2101N08651W 2101N08648W OMSUK UM219 ROTGI 2218N08634W 2252N08645W 2256N08645W 2304N08644W MYDIA M219 KNOST Q109 DFENC DCT SAWED Q108 SIE CAMRN5</t>
  </si>
  <si>
    <t>UDGUV2A UDGUV UT78 UKOKO 2050N08853W 2050N08858W 2113N08947W NOTEN UT37 SESNO UJ15E RETOS RETOS1A</t>
  </si>
  <si>
    <t>S12R T12R6 UN418 UN409 UN419 UN432 2052N08743W 2059N08756W 2102N08804W 2109N08821W 2106N08822W 2107N08837W 2107N08840W UBVOV UT101 UMAVO/N0455F300 UT101 ENAGA ENAGA3A</t>
  </si>
  <si>
    <t>N538UW</t>
  </si>
  <si>
    <t>S12R 2100N08648W SL0 2102N08646W CN07 ROTGI UM219 MYDIA M219 SNAKR/N0462F350 M219 KNOST DCT DEANR DCT BRUTS Q109 CAMJO DCT TWINS DCT PONZE BANKR8</t>
  </si>
  <si>
    <t>XAVYF</t>
  </si>
  <si>
    <t>UDGUV2A UDGUV DCT 2054N08844W 2054N08848W LIDAM UT23 TAM UJ14 TMN UT147 SLP UJ40 LIBOL LIBOL1B</t>
  </si>
  <si>
    <t>N827JB</t>
  </si>
  <si>
    <t>S12R 2101N08651W MOGOP NUDAL UV106 PODON UG765 MAXIM BHHIA3</t>
  </si>
  <si>
    <t>N17574</t>
  </si>
  <si>
    <t>S12R T12R6 UN418 UN409 UN419 2052N08725W 2051N08730W 2114N08931W 2115N08937W 2137N09022W 2254N09335W 2257N09341W REX DCT DLF DCT KOBLE DCT ELP DCT WOBUG Q180 BXK J4 WLVRN DCT ESTWD HLYWD1</t>
  </si>
  <si>
    <t>S12R SR00 SR01 CN08 NOSUG 2157N08656W 2236N08700W KEHLI A766 KELPP NNCEE2</t>
  </si>
  <si>
    <t>XAVSA</t>
  </si>
  <si>
    <t>UDGUV2A UDGUV UT78 UKOKO 2045N08856W 2045N08925W 2045N08932W UBVOV UT101 UMAVO UT169 VITOS VITOS2A</t>
  </si>
  <si>
    <t>S12R 2101N08651W MOGOP 2102N08648W OMSUK UM219 MYDIA M219 SNAKR/N0466F370 M219 KNOST Q109 CAMJO Q99 BWAGS/N0485F310 Q99 OGRAE DCT GOOOB DCT THHMP RAVNN9</t>
  </si>
  <si>
    <t>N809NN</t>
  </si>
  <si>
    <t>S12R 2101N08650W 2100N08649W 2100N08648W 2101N08647W 2102N08647W 2104N08647W 2106N08648W ENEBA 2241N08715W 2241N08716W 2248N08717W IRDOV L214 DAGGR/N0453F360 L214 LEV DCT DOOMS DCT LIT/N0448F370 DCT FTZ TRTLL6</t>
  </si>
  <si>
    <t>S12R T12R6 UN418 2055N08659W 2055N08700W 2054N08708W 2053N08743W 2053N08750W 2053N08757W 2138N09228W 2144N09341W 2150N09501W TMN UT147 SLP UJ40 LIBOL LIBOL1B</t>
  </si>
  <si>
    <t>S12R SR00 SR01 SR02 SR03 SR04 NOSUG 2250N08701W 2258N08703W KEHLI A766 KELPP/N0447F380 A766 SBI DCT CRIED BEREE3</t>
  </si>
  <si>
    <t>S12R T12R6 UN418 UN409 UN419 UN432 2050N08735W 2049N08740W 2241N09243W 2323N09428W RETOS RETOS1A</t>
  </si>
  <si>
    <t>2323N09429W</t>
  </si>
  <si>
    <t>UDGUV2A UDGUV UT78 UKOKO 2050N08847W 2050N08848W HADOW UBVOV UT20 PAZ UT104 LENUL LENUL2B</t>
  </si>
  <si>
    <t>N812DN</t>
  </si>
  <si>
    <t>S12R SR00 NC02 OMSUK UM219 MYDIA M219 KNOST DCT PLYER/N0467F350 DCT OTK DCT LARZZ JJEDI4</t>
  </si>
  <si>
    <t>N8307K</t>
  </si>
  <si>
    <t>S12R SR00 SR01 SR02 SR03 NOSUG 2153N08656W 2156N08656W 2203N08658W IRDOV L214 LEV J35 MCB/N0463F370 J35 MEM/N0461F380 J35 FAM/N0459F390 DCT SPI DCT PHEEB ENDEE8</t>
  </si>
  <si>
    <t>N171US</t>
  </si>
  <si>
    <t>N766JB</t>
  </si>
  <si>
    <t>S12R T12R6 2100N08649W 2059N08647W NUDAL UV106 PODON UG765 MAXIM Y262 TUNSL DCT KUTNE MUNGI1</t>
  </si>
  <si>
    <t>N27509</t>
  </si>
  <si>
    <t>S12R SR00 SR01 SR02 SR03 SR04 NOSUG UT27 PISAD L333 HOOCK DCT MEMFS DCT FTZ TRTLL6</t>
  </si>
  <si>
    <t>S12R SR00 2100N08646W SR04 NOSUG KEHLI A766 KELPP/N0467F340 A766 SBI DCT FUZ J58 SPS DCT HALEN NIIXX4</t>
  </si>
  <si>
    <t>N939AV</t>
  </si>
  <si>
    <t>S12R T12R6 UN402 UN408 2041N08652W 1913N08719W 1901N08725W URNOS URNOS2</t>
  </si>
  <si>
    <t>1817N08740W</t>
  </si>
  <si>
    <t>2101N08651W T12R7 2048N08656W 2040N08710W CZ42 2056N08702W CUN</t>
  </si>
  <si>
    <t>CCBFQ</t>
  </si>
  <si>
    <t>S12R T12R6 2057N08649W UN402 2054N08649W 2051N08649W 2040N08652W CZM ALSUP UB881 BTO UZ498 MGA UZ512 LIXAS UL203 ARNEL UM542 TAL UV1 ATATU ATATU4</t>
  </si>
  <si>
    <t>S12R 2101N08651W 2100N08649W SL0 ROTGI UM219 MYDIA/N0473F330 M219 CIGAR DCT DEANR Q109 CAMJO Q99 QUART/N0479F290 PHLBO4</t>
  </si>
  <si>
    <t>S12R 2101N08651W T12R6 2100N08649W 2100N08648W 2101N08647W NOSUG 2156N08656W 2204N08657W KEHLI A766 SBI DCT LUKKN WLEEE7</t>
  </si>
  <si>
    <t>UDGUV2A UDGUV UT78 UKOKO 2059N08823W 2103N08838W 2104N08852W 2105N08913W 2106N08950W UBVOV UT101 ENAGA ENAGA3A</t>
  </si>
  <si>
    <t>S12R 2101N08650W 2059N08647W 2103N08632W 2104N08629W 2120N08607W 2127N08558W MAXIM Y262 TUNSL DCT PBI A699 SUMRS/M084F370 M204 LUNKR/M084F390 DCT 38N060W DCT 42N050W/M084F410 DCT 45N040W DCT 49N030W DCT 52N020W DCT MALOT/N0472F410 DCT GISTI DCT BOFUM Q37 MALUD MALUD1M</t>
  </si>
  <si>
    <t>S12R 2059N08648W SL00 NC02 NOSUG KEHLI A766 SBI DCT FUZ J58 SPS DCT HALEN NIIXX4</t>
  </si>
  <si>
    <t>N832DN</t>
  </si>
  <si>
    <t>S12R SR00 SR01 SR02 SR03 2140N08653W 2141N08653W 2146N08655W KEHLI A766 LAURL/N0461F340 A766 SBI DCT ACT DCT PNH DCT ALS DCT JNC J12 HELPR JAZZZ1</t>
  </si>
  <si>
    <t>UDGUV2A UDGUV UT78 UKOKO 2100N08827W 2107N08854W 2107N08928W 2103N08953W 2103N08956W UBVOV DCT UMAVO UT101 ENAGA ENAGA3A</t>
  </si>
  <si>
    <t>UDGUV2A UDGUV UT78 DURPI 2057N08925W 2057N08933W UBVOV UT20 TAJIN DCT VITOS VITOS2A</t>
  </si>
  <si>
    <t>UDGUV2A UDGUV DCT 2107N08853W 2108N08855W 2111N08903W NOTEN UT37 SESNO UJ15E RETOS RETOS1A</t>
  </si>
  <si>
    <t>S12R 2100N08649W CN02 2101N08646W NOSUG 2200N08656W 2211N08658W KEHLI A766 KELPP BAYYY5</t>
  </si>
  <si>
    <t>UDGUV2A UDGUV UT78 DURPI 2053N08929W S281 2057N08948W 2056N09009W NUBIT DCT RIBET UT101 ENAGA DCT OVAGO UT123 IKLOK/N0448F220 UT123 IGSON IGSON1B</t>
  </si>
  <si>
    <t>N959AN</t>
  </si>
  <si>
    <t>S12R 2101N08651W NC01 NUDAL UV106 PODON UG765 MAXIM SNDBR3</t>
  </si>
  <si>
    <t>UDGUV2A UDGUV DCT 2052N08800W 2052N08804W 2101N08826W 2102N08829W 2105N08858W 2106N08902W NOTEN UT37 ULUMA DCT MTY UT11 SINLO SINLO1A</t>
  </si>
  <si>
    <t>TOM92K</t>
  </si>
  <si>
    <t>S12R 2101N08650W UN621 2106N08626W 2108N08623W PODON UG765 MAXIM Y262 TUNSL DCT PBI A699 SUMRS/M084F370 M204 LUNKR/M084F410 DCT 38N060W DCT 42N050W DCT 45N040W DCT 48N030W DCT 51N020W DCT DINIM/N0473F410 DCT ELSOX DCT LEDGO DCT FONZU DCT ELRIP DCT OTMET OTMET1G</t>
  </si>
  <si>
    <t>S12R T12R6 2100N08649W UN631 ALYRE TAKUX UM782 OMIRO UN420 PELRA DCT SPP DCT SEKMA OSUPA2</t>
  </si>
  <si>
    <t>S12R T12R6 UN418 UN409 UN419 UN432 2026N08817W 2007N08847W 2004N08852W 1953N08919W 1948N08931W 1942N08944W NOPON UJ9 VSA DCT</t>
  </si>
  <si>
    <t>S12R T12R6 ALYRE TAKUX UM782 OMIRO/N0449F370 UN420 SPP UP530 KAKOL/N0448F370 DCT RNG UQ121 ISVAT ISVA5E</t>
  </si>
  <si>
    <t>S12R T12R6 UN418 UN409 UN419 2054N08824W 2054N08832W NOTEN UT37 SESNO UJ15E RETOS RETOS1A</t>
  </si>
  <si>
    <t>S12R T12R6 UN418 UN409 2054N08708W CZA 2040N08852W 2043N08909W 2048N09127W 2043N09224W 2034N09358W 2034N09405W ELVED UT104 LENUL DCT</t>
  </si>
  <si>
    <t>UDGUV2A UDGUV DCT MID DCT 2229N09254W 2231N09256W NOTEN UT37 SESNO UJ15E RETOS RETOS1A</t>
  </si>
  <si>
    <t>S12R T12R6 UN418 UN409 UN419 2050N08732W 2050N08737W 2050N08820W 2052N08828W SISSL 2112N09016W 2113N09026W 2118N09100W TMN UT147 SLP</t>
  </si>
  <si>
    <t>S12R T12R6 UN418 UN409 2054N08701W 2050N08711W UDGUV UT78 MEDOS UT20 UBVOV UT101 UMAVO/N0460F300 UT101 ENAGA ENAGA3A</t>
  </si>
  <si>
    <t>S12R SR00 SR01 SR02 SR03 2115N08648W 2123N08649W 2156N08700W 2203N08702W KEHLI A766 KELPP NNCEE2</t>
  </si>
  <si>
    <t>XAVLV</t>
  </si>
  <si>
    <t>UDGUV2A UDGUV UT78 DURPI DCT UBVOV UT101 UMAVO UT104 ELVED/N0455F360 UT104 LENUL DCT TLC UJ12 MLM</t>
  </si>
  <si>
    <t>S12R SR00 SR01 SR02 SR03 OMSUK UM219 MYDIA M219 KNOST DCT CAMJO DCT TEEEM Q99 POLYY DCT OGRAE DCT AUDII DCT FAK DCT RBV Q430 RIFLE DCT YAHOO DCT WHALE N59E NANSO/M082F370 N59E RAFIN/M082F380 NATX XETBO/N0468F390 DCT EVRIN DCT INFEC DCT JETZI DCT AMFUL DCT CAWZE DCT SIRIC P2 DVR UL9 KONAN DCT KOK DCT REMBA DCT SPI T180 NIVNU/N0431F310 T847 TUTOV TUTOV1A</t>
  </si>
  <si>
    <t>S12R T12R6 UN418 UN409 UN419 2052N08724W 2051N08727W 2052N08740W 2055N08751W NOTEN UT37 EBDUB/N0456F360 UT37 SESNO UJ15E MTY UT11 RUDLO UJ38 CUU DCT TUS DCT GBN J104 WLVRN DCT ESTWD HLYWD1</t>
  </si>
  <si>
    <t>S12R T12R6 UN418 UN409 UN419 2051N08726W 2050N08724W 2051N08732W 2116N09004W 2118N09011W 2119N09031W 2120N09048W 2115N09123W 2118N09216W TMN DCT MORAS UJ17 QET</t>
  </si>
  <si>
    <t>PSCSE</t>
  </si>
  <si>
    <t>GLF6</t>
  </si>
  <si>
    <t>S12R SR00 SR01 SR02 SR03 OMSUK 2127N08646W 2130N08645W 2153N08630W 2201N08624W CANOA Y196 LULLS Y262 TUNSL DCT PYREX DCT</t>
  </si>
  <si>
    <t>2215N08601W</t>
  </si>
  <si>
    <t>S12R T12R6 UN415 ALYRE TAKUX UM782 OMIRO UN420 SPP UP530 KAKOL RNG UQ121 DCT ISVAT ISVA5E</t>
  </si>
  <si>
    <t>S12R T12R6 UN418 UN409 UN419 2051N08729W UBVOV UT101 UMAVO/N0442F300 UT101 ENAGA ENAGA3A</t>
  </si>
  <si>
    <t>S12R T12R6 UN418 UDGUV UT78 DURPI DCT NOTEN UT37 ULUMA DCT ONDEV UJ53 REX DCT</t>
  </si>
  <si>
    <t>CGJLZ</t>
  </si>
  <si>
    <t>S12R SR00 SR01 SR02 SR03 SR04 2139N08653W 2144N08654W 2147N08656W 2155N08658W 2159N08700W KEHLI/M077F340 A766 KLAMS/N0455F340 A766 SBI DCT CQY/N0453F360 DCT GCK DCT BELKE DCT KD81W DCT KU03U DCT BEVEL DCT VESDO DCT EBGAL EBGAL7</t>
  </si>
  <si>
    <t>CCBAH</t>
  </si>
  <si>
    <t>S12R 2005N08641W 2003N08641W 1958N08639W 1902N08619W MGA UZ512 LIXAS UL203 ARNEL UM542 TAL UV1 ATATU ATATU4</t>
  </si>
  <si>
    <t>1931N08629W</t>
  </si>
  <si>
    <t>S12R T12R6 2058N08651W 2052N08810W 2047N09121W 2048N09123W ENAGA DCT OVAGO UT123 IGSON IGSON1B</t>
  </si>
  <si>
    <t>S12R T12R6 2058N08644W NUDAL UR506 UHA UR628 UVA/N0491F400 UR628 TANIA/N0493F390 M328 JERRE/M085F390 M328 RAJAY DCT GRATX M329 BALTN DCT BALOO/M085F410 DCT 36N060W DCT 41N050W DCT 44N040W DCT 47N030W/M085F430 DCT 4930N02000W DCT KOGAD DCT BIMGO DCT RATKA/N0475F430 DCT LARLA DCT GANTO/N0475F430 DCT JSY DCT ARSUK DCT RESMI DCT TEPRI DCT POGZI DCT GELTA DCT MANAG DCT PEVIT DCT BLM</t>
  </si>
  <si>
    <t>S12R T12R6 UN418 UN409 UN419 2051N08730W 2052N08805W 2054N08840W 2054N08849W 2110N08929W 2111N08933W NOTEN UT37 SESNO UJ15E RETOS RETOS1A</t>
  </si>
  <si>
    <t>CFLKA</t>
  </si>
  <si>
    <t>S12R SR00 SR01 SR02 SR03 SR04 SR05 SR06 2126N08650W 2130N08651W IRDOV L214 LEV/N0454F390 DCT HRV J31 MEI DCT GOOGY DCT NEWBB DCT VOSTK DCT SEELA DCT WOOST DCT QWERI NUBER6</t>
  </si>
  <si>
    <t>XANNN</t>
  </si>
  <si>
    <t>S12R T12R6 UN418 UN409 UN419 UN432 2050N08735W UBVOV UT101 UMAVO/N0456F300 UT101 ENAGA ENAGA3A</t>
  </si>
  <si>
    <t>AFR651</t>
  </si>
  <si>
    <t>B77W</t>
  </si>
  <si>
    <t>FGZNF</t>
  </si>
  <si>
    <t>S12R 2101N08650W NC01 MAXIM/M083F350 DCT ZFP DCT SUMRS M204 BEXUM/M083F370 M204 SOORY/M083F380 NATZ 45N040W/M083F380 NATZ ATSUR/M082F370 DCT GAPLI/N0472F370 DCT ANNET UM25 UVSUV/N0422F270 UM25 INGOR/N0416F260 UM25 LUKIP LUKIP9W</t>
  </si>
  <si>
    <t>UDGUV2A UDGUV DCT MID LIDAM UT23 TAM UJ14 TMN DCT MORAS UJ17 QET</t>
  </si>
  <si>
    <t>ECNZG</t>
  </si>
  <si>
    <t>S12R T12R6 UN415 UN413 2101N08630W 2110N08613W 2113N08608W MAXIM/M085F370 DCT ZFP DCT CNNOR DCT JIMAC DCT RNGRS/M085F390 DCT 36N060W/M085F410 40N050W 41N040W 4130N03000W 43N020W DCT ARMED/N0481F410 DCT EPOPO/N0479F380 DCT ADORO L155 ZMR</t>
  </si>
  <si>
    <t>S12R T12R6 UN415 2059N08640W 2109N08620W KALNO UR506 UHA UR628 UVA/N0487F340 UR628 TANIA/M082F350 M328 ROTHM/M081F270 M328 CNNOR DCT JIMAC DCT RNGRS DCT 37N060W 4130N05000W 44N040W/M080F270 47N030W 49N020W DCT BEDRA DCT NASBA DCT GAPLI/N0420F270 DCT SIDDI DCT DAWLY DCT ELRIP DCT OTMET OTMET1G</t>
  </si>
  <si>
    <t>S12R T12R6 UN418 UN409 NAPRI NAPRI1A</t>
  </si>
  <si>
    <t>S12R T12R6 MAXIM Y262 TUNSL DCT PBI A699 SUMRS/M085F370 M204 ALOBI/M085F390 M204 LUNKR DCT 38N060W DCT 42N050W/M085F410 DCT 46N040W DCT 49N030W DCT 52N020W DCT MALOT/N0479F410 DCT GISTI DCT LIFFY UL975 WAL M16 DOLAS L603 LAMSO</t>
  </si>
  <si>
    <t>UDGUV2A UDGUV UT78 DURPI 2050N09015W 2050N09020W 2034N09500W VOKIR UT101 UMAVO/N0455F300 UT101 ENAGA ENAGA3A</t>
  </si>
  <si>
    <t>S12R T12R6 UN418 UN409 UN419 UN432 1927N09013W 1924N09020W 1855N09049W NOPON UJ9 VSA</t>
  </si>
  <si>
    <t>NOSUG2B NOSUG IRDOV/M079F360 L214 PLNDR/N0464F370 DCT MEI DCT BWG DCT IIU Q139 RINTE DCT QWERI NUBER6</t>
  </si>
  <si>
    <t>UDGUV2B UDGUV DCT MID DCT 2104N09016W 2107N09025W 2140N09456W TMN UT147 AGU UT44 MEZCA MEZCA1A</t>
  </si>
  <si>
    <t>XAVUX</t>
  </si>
  <si>
    <t>S12L T12L6 UN418 UN409 UN419 2052N08724W 2052N09027W 2051N09028W NUBIT RIBET UT101 UMAVO/N0447F300 UT101 ENAGA ENAGA3A</t>
  </si>
  <si>
    <t>UDGUV2B UDGUV 2048N08753W UBVOV DCT UMAVO UT101 ENAGA ENAGA3A</t>
  </si>
  <si>
    <t>S12L T12L6 UN418 UN409 UN419 UN432 1958N09209W 1949N09236W ALRAD OMPAN1A</t>
  </si>
  <si>
    <t>S12L T12L6 UN418 UN409 UN419 UN432 2050N08734W 2050N09024W 2050N09026W NUBIT RIBET UT101 UMAVO/N0454F300 UT101 ENAGA ENAGA3A</t>
  </si>
  <si>
    <t>NUDAL1B NUDAL UR506 NUDUG UL212 UCL DCT HUZAR TAGON5A</t>
  </si>
  <si>
    <t>S12L T12L6 UN418 UN409 UN419 2051N08729W 2051N08737W 2050N09015W ELURA VITOS VITOS2A</t>
  </si>
  <si>
    <t>S12L T12L6 UN418 UN409 UN419 UN432 NOTEN UT37 SESNO UJ15E RETOS RETOS1A</t>
  </si>
  <si>
    <t>S12L TAKUX UM782 OMIRO/N0446F370 UN420 PELRA DCT SPP DCT SEKMA OSUPA2</t>
  </si>
  <si>
    <t>N941NN</t>
  </si>
  <si>
    <t>S12L T12L6 UN417 UN406 2135N08652W 2145N08654W 2147N08700W KEHLI A766 SBI DCT CRIED BEREE3</t>
  </si>
  <si>
    <t>N34455</t>
  </si>
  <si>
    <t>S12L T12L6 UN417 UN406 2129N08653W 2143N08657W 2203N08703W 2213N08707W 2214N08711W 2400N08915W KEHLI A766 KELPP NNCEE2</t>
  </si>
  <si>
    <t>S12R T12R6 2100N08651W 2058N08652W UDGUV UT78 MEDOS UT20 UBVOV UT101 UMAVO/N0458F300 UT101 ENAGA ENAGA3A</t>
  </si>
  <si>
    <t>N373DA</t>
  </si>
  <si>
    <t>S12R 2059N08649W 2059N08648W 2059N08647W CN03 2109N08644W 2121N08642W 2129N08640W MYDIA M219 KNOST DCT PLYER DCT OTK DCT LARZZ JJEDI4</t>
  </si>
  <si>
    <t>S12L 2102N08650W CN09 N7N CN13 UDGUV UT78 MEDOS UT20 UBVOV UT101 UMAVO/N0457F300 UT101 ENAGA ENAGA3A</t>
  </si>
  <si>
    <t>2058N08653W UN1PA 2031N08655W UN611 ZCZM 2034N08655W 2035N08650W 2035N08700W 2054N08703W</t>
  </si>
  <si>
    <t>N37553</t>
  </si>
  <si>
    <t>S12R SR00 SR01 SR02 SR03 ROTGI UM219 MYDIA M219 KNOST Q109 CAMJO Q99 QUART PHLBO4</t>
  </si>
  <si>
    <t>2101N08652W 2057N08652W UN1PA 2044N08658W 2050N08701W 2058N08700W</t>
  </si>
  <si>
    <t>S12R 2101N08651W UBVOV UT20 PAZ UT104 LENUL DCT</t>
  </si>
  <si>
    <t>S12R T12R6 2058N08652W 2056N08700W UBVOV UT101 UMAVO/N0454F300 UT101 ENAGA ENAGA3A</t>
  </si>
  <si>
    <t>S12R T12R6 2058N08652W 2051N08652W 2048N08653W 2042N08658W 2050N08710W 2050N08711W UKOKO 2049N08818W 2049N08823W 2049N08841W NOTEN UT37 SESNO UJ15E RETOS RETOS1A</t>
  </si>
  <si>
    <t>S12R 2101N08651W 2059N08651W 2058N08700W 2101N08721W 2059N08728W UBVOV UT20 TAJIN DCT VITOS VITOS2A</t>
  </si>
  <si>
    <t>2100N08653W 2102N08705W 2108N08711W</t>
  </si>
  <si>
    <t>S12R T12R6 2056N08653W 2046N08711W 2047N08714W 2050N08724W 2055N08741W 2050N08754W 2050N08801W UBVOV UT101 UMAVO UT104 LENUL LENUL3A</t>
  </si>
  <si>
    <t>S12R 2101N08651W T12R6 CZM 2031N08702W UBVOV UT101 UMAVO UT169 VITOS DCT SLM DCT</t>
  </si>
  <si>
    <t>S12R 2101N08651W 2100N08651W 2102N08740W 2102N08754W UBVOV UT20 PAZ UT104 LENUL LENUL2B</t>
  </si>
  <si>
    <t>S12R 2101N08651W 2059N08651W 2103N08713W 2105N08722W UBVOV UT101 UMAVO UT169 VITOS VITOS2A</t>
  </si>
  <si>
    <t>S12R T12R6 2100N08650W 2059N08651W 2059N08704W 2103N08717W 2103N08732W DURPI DCT NUBIT DCT RIBET UT101 ENAGA DCT OVAGO UT123 IKLOK/N0447F220 UT123 IGSON IGSON1B</t>
  </si>
  <si>
    <t>S12R SR00 SR01 SR02 SR03 SR04 OMSUK UM219 MYDIA/M078F370 M219 CIGAR DCT KNOST/N0461F370 DCT CAMJO DCT KT21S DCT PSK DCT KC66U DCT OXMAN LINNG3</t>
  </si>
  <si>
    <t>S12R SR00 SR01 2054N08640W 2055N08639W 2058N08638W 2100N08638W 2119N08642W 2125N08642W ROTGI UM219 MYDIA M219 KNOST/N0467F370 DCT CAMJO Q99 BLAAN Q69 RICCS DCT OXMAN LINNG3</t>
  </si>
  <si>
    <t>S12R T12R6 UBVOV UT101 UMAVO/N0435F300 UT101 ENAGA/N0335F170 ENAGA3A</t>
  </si>
  <si>
    <t>N8318F</t>
  </si>
  <si>
    <t>S12R 2101N08650W 2100N08649W 2102N08648W 2103N08648W 2131N08657W KEHLI A766 KELPP BAYYY5</t>
  </si>
  <si>
    <t>S12R T12R6 2057N08652W 2053N08655W 2051N08656W 2045N08714W 2035N08743W UBVOV DCT UMAVO UT101 ENAGA ENAGA3A</t>
  </si>
  <si>
    <t>S12R 2101N08650W CN01 2101N08646W T12L7 ENEBA KEHLI A766 SBI DCT CRIED BEREE3</t>
  </si>
  <si>
    <t>S12R T12R6 2056N08653W 2042N08708W 2038N08714W 2039N08727W 2037N08756W UBVOV UT20 TAJIN DCT VITOS VITOS2A</t>
  </si>
  <si>
    <t>LXJ386</t>
  </si>
  <si>
    <t>N386FX</t>
  </si>
  <si>
    <t>S12R 2101N08651W 2101N08650W 2103N08649W OMSUK UM219 MYDIA M219 KNOST Q109 EVANZ DCT ENEME Q75 TEEEM Q99 HURLE DCT OOD DCT CRI DCT BAYYS DCT HFD DCT</t>
  </si>
  <si>
    <t>S12R 2101N08651W T12L6 2103N08648W OMSUK UM219 MYDIA M219 KNOST Q109 DEANR/N0474F350 Q109 CAMJO Q99 OGRAE DCT BZNGA DCT DORRN CAVLR7</t>
  </si>
  <si>
    <t>S12R 2101N08651W T12R6 2101N08648W OMSUK UM219 MYDIA M219 KNOST DCT CAMJO Q99 BLAAN Q69 RICCS DCT OXMAN LINNG3</t>
  </si>
  <si>
    <t>S12R T12R6 TAKUX UM782 OMIRO UN420 SPP DCT SEKMA OSUPA2</t>
  </si>
  <si>
    <t>S12R T12R6 UN418 UN409 2054N08710W 2103N08723W 2105N08726W 2105N08736W 2105N08741W 2106N08742W 2109N08748W 2121N08814W 2129N08830W 2130N08833W NOTEN UT37 SESNO UJ15E RETOS RETOS1A</t>
  </si>
  <si>
    <t>N12DC</t>
  </si>
  <si>
    <t>KGAO</t>
  </si>
  <si>
    <t>S12R SR00 SR01 SR02 SR03 SR04 ENEBA IRDOV L214 LEV DCT</t>
  </si>
  <si>
    <t>S12R T12R6 UN418 UN409 2055N08700W 2043N08741W 2043N08748W 2051N08848W 2053N08903W NOTEN UT37 SESNO UJ15E RETOS RETOS1A</t>
  </si>
  <si>
    <t>N708FR</t>
  </si>
  <si>
    <t>S12R 2101N08651W UN580 2101N08648W 2103N08648W ENEBA UT27 NOSUG 2159N08656W ALKIM UT45 IRDOV L214 LEV DCT OYSTY J35 SQS/N0448F390 J35 MEM BOOSH3</t>
  </si>
  <si>
    <t>S12R 2035N08651W CZ403 CTM UG765 TIKIS TIKI2C</t>
  </si>
  <si>
    <t>S12R 2102N08652W 2102N08650W 2102N08649W ENEBA 2143N08655W PISAD L333 HRV J31 MEI DCT HITMN Q139 IIU/N0447F380 DCT BONNT VEECK5</t>
  </si>
  <si>
    <t>S12R T12R6 2100N08651W 2057N08724W 2058N08727W 2059N08742W UBVOV UT101 UMAVO/N0453F300 UT101 ENAGA ENAGA3A</t>
  </si>
  <si>
    <t>S12R T12R6 2057N08653W 2058N08758W 2058N08811W 2057N08825W NOTEN SESNO DCT MOV UT3 URKOM UJ54 CJS DCT</t>
  </si>
  <si>
    <t>HP1825</t>
  </si>
  <si>
    <t>S12R T12R6 UN415 TAKUX UM782 OMIRO/N0444F370 UN420 PELRA DCT SPP DCT SEKMA OSUPA2</t>
  </si>
  <si>
    <t>S12R SR00 SR01 SR02 SR03 2103N08647W 2112N08640W 2144N08640W 2208N08639W 2217N08642W 2231N08644W MYDIA M219 KNOST DCT CAMJO/N0456F350 Q99 BLAAN Q69 RICCS DCT PSB DCT SYR DCT ART IMPAC4</t>
  </si>
  <si>
    <t>S12R 2101N08650W 2102N08647W 2127N08649W 2213N08704W 2217N08706W KEHLI A766 SBI DCT CRIED BEREE3</t>
  </si>
  <si>
    <t>S12R T12R6 UN418 2056N08654W 2051N08702W 2042N08709W 2036N08714W 2022N08732W PQE/N0326A180 V51 SAXAV V51 TGZ DCT</t>
  </si>
  <si>
    <t>S12R T12R6 2056N08654W 2056N08658W 2056N08659W 2055N08720W 2056N08725W 2056N08731W 2056N08741W 2057N08813W 2058N08826W LIDAM UT23 TAM UJ14 TMN DCT MORAS UJ17 QET</t>
  </si>
  <si>
    <t>N563JB</t>
  </si>
  <si>
    <t>S12R SR00 SR01 SR02 SR03 SR04 2122N08644W 2236N08634W 2238N08634W 2312N08624W 2313N08624W 2316N08623W MYDIA M219 SNAKR Y240 SHAQQ M580 MARCI TEEKY4</t>
  </si>
  <si>
    <t>N850SY</t>
  </si>
  <si>
    <t>S12R SR00 SR01 SR02 SR03 NOSUG UT27 OMVIP UT45 IRDOV L214 LEV DCT ARG DCT KK63I DCT MNOSO BLUEM5</t>
  </si>
  <si>
    <t>S12R 2055N08726W 2057N08737W 2100N08751W 2007N09213W 2006N09216W 2013N09242W 2015N09256W 2007N09329W 2004N09344W 1952N09432W ALRAD OMPAN1A</t>
  </si>
  <si>
    <t>1937N09459W</t>
  </si>
  <si>
    <t>S12R 2101N08650W 2101N08648W NOSUG UT27 OMVIP UT45 IRDOV/N0464F340 L214 PLNDR DCT MEMFS DCT FTZ SHAIN2</t>
  </si>
  <si>
    <t>LET7145</t>
  </si>
  <si>
    <t>S12R T12R6 UN418 UN409 2054N08712W 2055N08726W 2056N08729W 2059N08745W NOTEN UT37 SESNO UJ15E RETOS DCT</t>
  </si>
  <si>
    <t>N762QS</t>
  </si>
  <si>
    <t>KBHM</t>
  </si>
  <si>
    <t>C700</t>
  </si>
  <si>
    <t>S12R SR00 SR01 SR02 SR03 NOSUG UT27 OMVIP UT45 IRDOV L214 PLNDR DCT PEARL DCT YARBO DCT</t>
  </si>
  <si>
    <t>S12R 2101N08651W 2105N08648W ROTGI 2154N08640W 2214N08639W 2232N08639W 2255N08639W 2310N08638W 2329N08638W 2336N08634W 2340N08634W MYDIA M219 KNOST DCT DEANR DCT BRUTS Q109 CAMJO DCT TWINS DCT PONZE BANKR8</t>
  </si>
  <si>
    <t>S12R 2103N08645W CZ512 2144N08641W ROTGI 2152N08641W 2154N08641W 2155N08641W 2212N08641W 2245N08641W 2424N08632W SNAKR M219 KNOST Q109 BRUTS Q118 JAMIZ/N0462F340 Q118 THRSR DCT VXV/N0460F350 DCT SPAYD DCT HNN/N0461F350 DCT SUBWY CRAKN2</t>
  </si>
  <si>
    <t>S12R SR00 2059N08646W 2056N08635W 2056N08634W 2057N08632W 2133N08637W 2214N08625W 2256N08617W 2341N08621W 2406N08623W SNAKR M219 KNOST DCT PLYER DCT OTK DCT LARZZ JJEDI4</t>
  </si>
  <si>
    <t>S12R 2100N08647W 2059N08644W 2053N08636W 2053N08634W 2055N08630W 2059N08631W ROTGI 2158N08639W 2236N08619W MYDIA M219 KNOST/N0457F330 Q109 CAMJO Q99 PEETT DCT BBDOL PAATS4</t>
  </si>
  <si>
    <t>N931AV</t>
  </si>
  <si>
    <t>S12R ALYRE TAKUX UM782 OMIRO/N0451F390 UN420 SPP UP530 KAKOL DCT RNG UQ121 ISVAT ISVA5E</t>
  </si>
  <si>
    <t>S12R SR00 SR01 SR02 SR03 2100N08644W 2110N08645W 2111N08645W 2128N08655W 2128N08653W 2129N08653W ROTGI 2152N08642W 2217N08627W 2225N08620W 2239N08606W 2247N08559W 2252N08554W 2400N08547W SNAKR Y240 SHAQQ M580 MARCI DCT</t>
  </si>
  <si>
    <t>2245N08601W</t>
  </si>
  <si>
    <t>S12R T12R6 UN418 UN409 UN419 UN432 2050N08736W NUBIT DCT RIBET UT101 ENAGA DCT OVAGO UT123 IKLOK/N0444F220 UT123 IGSON IGSON1B</t>
  </si>
  <si>
    <t>S12R T12R6 PELRA UN420 SPP UP530 KAKOL/N0375F230 B689 OPMEL</t>
  </si>
  <si>
    <t>S12R T12R6 UN418 UN409 2050N08720W UDGUV DCT 2055N08914W 2055N08921W NOTEN UT37 SESNO UJ15E RETOS RETOS1A</t>
  </si>
  <si>
    <t>N572DT</t>
  </si>
  <si>
    <t>S12R 2101N08651W B30L4 2058N08636W 2101N08639W 2101N08638W 2105N08639W ROTGI UM219 MYDIA M219 KNOST Q109 DFENC DCT SAWED Q108 SIE CAMRN5</t>
  </si>
  <si>
    <t>S12R 2101N08651W 2057N08644W 2056N08641W 2056N08640W 2058N08638W 2102N08637W 2126N08647W 2204N08657W 2213N08658W 2234N08702W 2244N08708W IRDOV L214 LEV J35 MCB DCT LIT DCT KRTNY MHOMS3</t>
  </si>
  <si>
    <t>LET5196</t>
  </si>
  <si>
    <t>XAAGV</t>
  </si>
  <si>
    <t>S12R T12R6 UN418 UN409 2054N08711W 2051N08719W 2050N08723W 2051N08743W 2052N08747W 2053N08831W 2053N08834W NOTEN UT37 SESNO UJ15E RETOS DCT</t>
  </si>
  <si>
    <t>S12R T12R6 UN418 2056N08658W 2041N08718W UDGUV 2049N08754W 2048N08756W UBVOV UT101 ENAGA ENAGA3A</t>
  </si>
  <si>
    <t>N37536</t>
  </si>
  <si>
    <t>S12R T12R6 UN418 UN409 2055N08702W 2043N08725W UDGUV DCT PERGO UT37 SESNO DCT MTY UT11 GABLA/N0466F340 UT11 PPE/N0461F360 J93 AXASA DCT ASUTA J93 PDZ DCT COREZ DCT MAKRS DCT SERFR SERFR4</t>
  </si>
  <si>
    <t>N8740A</t>
  </si>
  <si>
    <t>S12R 2059N08647W 2059N08646W 2059N08645W 2059N08644W 2101N08641W L42 2110N08643W 2134N08651W 2257N08719W 2303N08721W KEHLI A766 KELPP BAYYY5</t>
  </si>
  <si>
    <t>S12R T12R6 UN418 UN409 UN419 2045N08728W 2046N08732W 2052N08814W 2055N08828W 2054N08826W 2059N08856W MD803 NOTEN UT37 SESNO UJ15E RETOS RETOS1A</t>
  </si>
  <si>
    <t>N141NN</t>
  </si>
  <si>
    <t>S12R 2101N08651W T12R6 T12L6 2102N08648W ENEBA 2150N08656W 2153N08656W 2200N08657W IRDOV L214 PLNDR DCT HRV DCT MCB/N0448F350 DCT MEM/N0448F360 J187 FTZ TRTLL6</t>
  </si>
  <si>
    <t>S12R SR00 SR01 SR02 SR03 SR04 SR05 ENEBA 2131N08654W 2257N08720W 2304N08722W KEHLI A766 KELPP NNCEE2</t>
  </si>
  <si>
    <t>S12R 2100N08647W 2101N08647W OMSUK UM219 XOPGI 2241N08639W 2319N08634W MYDIA M219 SNAKR/M079F350 M219 KNOST DCT CAMJO DCT TEEEM Q99 POLYY DCT OGRAE DCT AUDII DCT FAK DCT RBV DCT LLUND DCT CAM DCT JASDU DCT PBERG CARTR5</t>
  </si>
  <si>
    <t>S12R 2101N08651W T12L6 2102N08648W ENEBA UT27 PISAD/M078F380 L333 HOOCK/N0454F380 L333 HRV/N0454F370 DCT FLORS DCT FYLLS DCT QWERI NUBER6</t>
  </si>
  <si>
    <t>CGZQB</t>
  </si>
  <si>
    <t>S12R SR00 SR01 SR02 SR03 SR04 SR05 OMSUK UM219 ROTGI 2159N08637W 2248N08615W 2302N08602W 2307N08601W MYDIA M219 KNOST Q109 CAMJO DCT PSK DCT OXMAN LINNG3</t>
  </si>
  <si>
    <t>S12R T12R6 UN418 2056N08654W 2043N08726W TL648 2045N09001W 2045N09003W 2045N09007W MD407 2036N09019W 2033N09021W 2041N09334W 2041N09336W 2041N09337W 2041N09345W 2037N09418W TAJIN DCT VITOS VITOS2A</t>
  </si>
  <si>
    <t>XAVDB</t>
  </si>
  <si>
    <t>S12R T12R6 UN418 2056N08654W 2040N08734W 2041N08737W LIDAM UT23 TAM UJ14 TMN DCT MORAS UJ17 QET DCT</t>
  </si>
  <si>
    <t>N1802U</t>
  </si>
  <si>
    <t>S12R 2101N08651W 2100N08649W 2102N08646W ENEBA UT27 OMVIP UT45 IRDOV L214 LEV J35 MCB/N0469F370 J35 MEM BOOSH3</t>
  </si>
  <si>
    <t>N38479</t>
  </si>
  <si>
    <t>S12R SR00 SR01 SR02 SR03 SR04 SR05 SR06 SR07 2144N08654W 2241N08713W 2248N08716W KEHLI A766 KELPP NNCEE2</t>
  </si>
  <si>
    <t>LET5834</t>
  </si>
  <si>
    <t>XAMLU</t>
  </si>
  <si>
    <t>S12R T12R6 UN418 UN409 2054N08708W 2052N08711W 2040N08752W UBVOV UT20 PAZ UT154 ENAGA DCT OTAGO DCT ATUKA DCT PBC</t>
  </si>
  <si>
    <t>S12R 2100N08652W CZM B764 BUKKY BUKKY1A</t>
  </si>
  <si>
    <t>N603JB</t>
  </si>
  <si>
    <t>S12R NUDAL UV106 PODON UG765 MAXIM BHHIA3</t>
  </si>
  <si>
    <t>S12R T12R6 2057N08649W 2056N08648W UN354 2033N08654W CZ01 1940N08731W 1925N08738W 1813N08809W TIKIS TIKIS2C</t>
  </si>
  <si>
    <t>1825N08804W</t>
  </si>
  <si>
    <t>SCX576</t>
  </si>
  <si>
    <t>N820SY</t>
  </si>
  <si>
    <t>S12R SR00 SR01 SR02 SR03 SR04 SR05 SR06 NOSUG UT27 OMVIP UT45 IRDOV/N0449F400 L214 LEV DCT DOOMS DCT KM30I DCT REBBS DCT CNOTA DCT MNOSO BLUEM5</t>
  </si>
  <si>
    <t>N907AA</t>
  </si>
  <si>
    <t>S12R SR00 SR01 SR02 SR03 NOSUG 2218N08658W 2229N08700W KEHLI A766 SBI DCT CRIED BEREE3</t>
  </si>
  <si>
    <t>S12R SR00 SR01 SR02 SR03 SR04 SR05 SR06 SR07 NOSUG UT27 PISAD L333 HRV DCT MCB DCT MHZ/N0458F350 DCT IZAAC/N0459F340 DCT MEMFS/N0459F350 DCT STL/N0455F360 DCT IOW DCT MNOSO BLUEM5</t>
  </si>
  <si>
    <t>S12R T12R6 NUDAL UV106 PODON UG765 MAXIM Y262 LULLS Y642 JITGO/M084F330 Y642 GRATX M329 BALTN DCT LAZEY/M084F370 DCT 38N050W/N0488F370 DCT 42N040W/M084F370 DCT 45N030W DCT 47N020W DCT 47N015W DCT ETIKI DCT REGHI/N0481F380 DCT OZNOH DCT BULOX DCT TABOV/N0477F390 DCT RESMI DCT TEPRI DCT POGZI DCT GELTA DCT LUVAL/N0478F390 DCT BEGAR DCT TRA/N0477F390 DCT GAMSA/N0476F390 DCT UMVEG DCT BEDOX DCT ZINPE DCT ETIDA T390 RILEX</t>
  </si>
  <si>
    <t>N343SY</t>
  </si>
  <si>
    <t>S12R T12R6 2100N08649W CN021 NUDAL UV106 PODON UG765 MAXIM SNDBR3</t>
  </si>
  <si>
    <t>2100N08654W 2059N08656W 2045N08701W 2037N08711W 2049N08708W 2100N08705W 2101N08659W CUN</t>
  </si>
  <si>
    <t>S12R SR00 SR01 SR02 SR03 SR04 ROTGI UM219 MYDIA M219 KNOST Q109 CAMJO/N0469F350 Q109 TINKK/N0459F370 Q109 DFENC DCT SAWED Q108 SIE CAMRN5</t>
  </si>
  <si>
    <t>S12R T12R6 UN418 2055N08656W 2043N08724W 2039N08751W 2045N09432W 2049N09505W RIBET UT101 ENAGA DCT OTAGO DCT ATUKA ATUKA1B</t>
  </si>
  <si>
    <t>N930AU</t>
  </si>
  <si>
    <t>S12R SR00 SR01 SR02 SR03 ROTGI UM219 MYDIA M219 KNOST DCT DEANR DCT BRUTS Q109 CAMJO DCT TWINS DCT PONZE BANKR8</t>
  </si>
  <si>
    <t>S12R T12R6 UN418 2056N08654W 2040N08725W 2039N08729W 2040N08753W 2048N08843W NOTEN UT37 ULUMA DCT MTY UT11 SINLO SINLO1A</t>
  </si>
  <si>
    <t>N24513</t>
  </si>
  <si>
    <t>S12R SR00 SR01 SR02 SR03 SR04 SR05 NOSUG UT27 OMVIP 2308N08706W 2311N08708W KEHLI A766 SBI DCT FUZ DCT KK36A DCT TOTOE DCT HALEN NIIXX4</t>
  </si>
  <si>
    <t>N77580</t>
  </si>
  <si>
    <t>S12R T12R6 UN418 2056N08655W 2041N08724W 2037N08745W 2041N08757W 2043N08811W 2045N08821W 2051N08852W MD611 NOTEN UT37 SESNO DCT MTY UT11 DUMBO/N0460F360 UT11 PPE J93 ASUTA DCT AMMOR OLAAA2</t>
  </si>
  <si>
    <t>S12R SR00 SR01 SR02 SR03 SR04 SR05 ROTGI UM219 MYDIA M219 NAVVL/N0464F370 M219 KNOST Q109 CAMJO Q99 OGRAE DCT GOOOB DCT THHMP RAVNN9</t>
  </si>
  <si>
    <t>S12R 2110N08719W 2124N08730W 2127N08735W NOTEN UT37 SESNO UJ15E RETOS RETOS1A</t>
  </si>
  <si>
    <t>S12R T12R6 NUDAL UV106 PODON UG765 MAXIM Y262 LINEY DCT KUTNE MUNGI1</t>
  </si>
  <si>
    <t>N364DX</t>
  </si>
  <si>
    <t>S12R 2101N08651W 2104N08648W ROTGI UM219 MYDIA M219 KNOST DCT AMORY Q110 JOKKY/N0457F360 Q110 DAWWN DCT BEORN HOBTT3</t>
  </si>
  <si>
    <t>S12R T12R6 UN418 2055N08656W 2039N08728W 2037N08734W 2036N08738W 2036N08746W 2045N09358W 2056N09501W VOKIR UT101 UMAVO/N0458F300 UT101 ENAGA ENAGA3A</t>
  </si>
  <si>
    <t>N27526</t>
  </si>
  <si>
    <t>S12R NOSUG 2244N08700W 2247N08701W KEHLI A766 KELPP NNCEE2</t>
  </si>
  <si>
    <t>S12R 2101N08651W 2101N08648W NC29 NOSUG UT27 OMVIP UT45 IRDOV L214 PLNDR DCT HRV DCT MCB/N0438F350 DCT MEM/N0441F360 J187 FTZ TRTLL6</t>
  </si>
  <si>
    <t>S12R T12R6 2059N08651W 2059N08652W 2058N08657W SR36 2048N08732W DURPI DCT NOTEN UT37 ULUMA DCT MTY DCT TASTO DCT ILAMA UT41 NADIS DCT AVRIL UJ3 TANRI TANRI1B</t>
  </si>
  <si>
    <t>S12R T12R6 2057N08653W 2044N08703W 2039N08729W 2101N09016W 2103N09022W LIDAM UT23 TAM UJ14 TMN UT147 SLP UJ40 LIBOL LIBOL1B</t>
  </si>
  <si>
    <t>S12R T12R6 UN418 UN409 2055N08701W 2048N08714W 2043N08719W 2048N08721W MID DCT 2118N09007W NOTEN UT37 SESNO UJ15E RETOS RETOS1A</t>
  </si>
  <si>
    <t>S12R T12R6 UN418 2056N08658W 2041N08725W 2058N08937W NA363 LIDAM UT23 TAM UJ14 TMN UT147 SLP UJ40 LIBOL LIBOL1B</t>
  </si>
  <si>
    <t>S12R SR00 SR01 SR02 SR03 SR04 SR05 NOSUG 2239N08700W KEHLI A766 SBI DCT CRIED BEREE3</t>
  </si>
  <si>
    <t>S12R T12R6 2058N08652W 2050N08708W 2054N08807W 2037N08837W 2038N08908W 2038N08912W 2040N09013W 2037N09344W 2037N09357W 2040N09412W 2044N09426W UMAVO UT101 ENAGA ENAGA3A</t>
  </si>
  <si>
    <t>S12R T12R6 2056N08653W 2051N08654W 2048N08657W 2031N08857W 2032N08903W 2038N09115W 2038N09120W 2025N09427W 2024N09433W 2011N09506W UMAVO UT104 ELVED/N0361F240 UT104 LENUL LENUL2B</t>
  </si>
  <si>
    <t>2014N09459W</t>
  </si>
  <si>
    <t>XAVSR</t>
  </si>
  <si>
    <t>S12R T12R6 UN418 UN409 2055N08701W 2046N08719W 2037N08738W 2033N08745W 2024N08758W 2030N08759W 2030N08809W 2031N08817W 2043N09341W 2045N09348W 2043N09354W VOKIR UT101 UMAVO UT169 VITOS VITOS2A</t>
  </si>
  <si>
    <t>XAKAR</t>
  </si>
  <si>
    <t>S12R SR00 SR01 SR02 SR03 SR04 NOSUG 2157N08656W 2205N08657W KEHLI A766 SBI DCT</t>
  </si>
  <si>
    <t>S12R SR00 SR01 SR02 SR03 ROTGI UM219 MYDIA M219 CIGAR PRICY5</t>
  </si>
  <si>
    <t>N8764Q</t>
  </si>
  <si>
    <t>S12R SR00 SR01 SR02 SR03 SR04 SR05 SR06 SR07 SR08 NOSUG 2209N08657W 2217N08658W IRDOV L214 LEV DCT AEX DCT EIC DCT MLC DCT GCK DCT KIISS CLASH5</t>
  </si>
  <si>
    <t>N845DN</t>
  </si>
  <si>
    <t>S12R SR00 SR01 SR02 SR03 ROTGI UM219 MYDIA M219 KNOST DCT AMORY Q110 JOKKY/N0460F360 Q110 DAWWN DCT BEORN HOBTT3</t>
  </si>
  <si>
    <t>S12R T12R6 UN418 2055N08659W 2055N08704W 2039N08734W TL510 UBVOV UT101 UMAVO/N0439F300 UT101 ENAGA ENAGA3A</t>
  </si>
  <si>
    <t>N928AM</t>
  </si>
  <si>
    <t>S12R SR00 SR01 SR02 ROTGI UM219 MYDIA M219 KNOST DCT DEANR DCT BRUTS Q109 CAMJO DCT TWINS DCT PONZE BANKR8</t>
  </si>
  <si>
    <t>2101N08653W 2056N08657W 2040N08708W 2035N08715W 2036N08709W 2050N08655W N102S CUN</t>
  </si>
  <si>
    <t>S12R SR00 SR01 SR02 2144N08654W 2201N08656W 2215N08724W 2224N08735W KEHLI A766 SBI DCT KF09E DCT BATIK J58 SPS DCT HALEN NIIXX4</t>
  </si>
  <si>
    <t>S12R T12R6 UN418 UN409 2054N08707W 2055N08708W 2047N08721W 2046N08725W XOSIX 2028N08801W 2027N08803W 2028N08813W 2042N08903W 2050N09013W 2052N09021W TMN UT147 BOPAX BOPAX1B</t>
  </si>
  <si>
    <t>S12R T12R6 ALSUP UB881 BTO UZ498 MGA UZ512 LIXAS/N0442F370 UL203 ARNEL UM542 TAL UV1 ATATU ATATU4</t>
  </si>
  <si>
    <t>S12R 2100N08647W SR04 NOSUG UT27 PISAD L333 HOOCK DCT MEMFS DCT FTZ SHAIN2</t>
  </si>
  <si>
    <t>S12R SR00 SR01 SR02 2135N08653W 2137N08653W 2140N08654W 2143N08656W KEHLI A766 SBI DCT LUKKN WLEEE7</t>
  </si>
  <si>
    <t>UDGUV2A UDGUV DCT 2101N09010W NA293 NOTEN UT37 SESNO UJ15E RETOS RETOS1A</t>
  </si>
  <si>
    <t>N944DZ</t>
  </si>
  <si>
    <t>S12R 2101N08651W SL0 T12L7 2141N08654W 2158N08659W 2212N08722W KEHLI A766 KLAMS DCT IAH DCT ACT DCT GTH/N0457F360 DCT CIM DCT ALS DCT JNC J12 HELPR JAZZZ1</t>
  </si>
  <si>
    <t>UDGUV2A UDGUV UT78 UKOKO 2034N08843W 2026N08910W 2039N09241W 2040N09250W VITOS VITOS2A</t>
  </si>
  <si>
    <t>S12R 2100N08649W 2102N08646W OMSUK UM219 MYDIA M219 CIGAR DCT GULFR DCT HOTHH DCT JENDO DCT ORACL DCT FAK DCT AGARD/N0484F410 DCT RBV DCT PUT DCT LBSTA DCT EBONY N433B ELSIR/M085F410 DCT 50N050W DCT 52N040W DCT 54N030W DCT 55N020W DCT ETARI DCT MOGLO DCT MIMKU DCT BRUCE BRUCE1G</t>
  </si>
  <si>
    <t>S12R SR00 SR01 SR02 SR03 SR04 SR05 SR06 SR07 SR08 SR09 SR10 SR11 SR12 2113N08648W 2117N08649W NOSUG 2158N08656W 2205N08656W IPSEV L207 SEAGL DCT CRP DCT KINEY DCT DLF DCT ELP DCT DRRVR PINNG1</t>
  </si>
  <si>
    <t>S12R T12R6 UN418 UN409 2052N08719W 2052N08724W 2050N08724W 2049N08727W 2002N08835W 2001N08839W 1947N08921W 1935N08935W 1929N08943W 1910N09035W PQE V51 TGZ</t>
  </si>
  <si>
    <t>S12R SR00 SR01 SR02 SR03 OMSUK UM219 RAKAR/N0480F310 UM219 MYDIA M219 CIGAR DCT DEANR Q109 CAMJO Q99 TEEEM/N0478F330 Q99 BLAAN/N0471F350 Q99 QUART PHLBO4</t>
  </si>
  <si>
    <t>S12R T12R6 UN418 UN409 2054N08708W 2055N08711W 2044N08728W 2030N08808W 2025N08956W MD703 NUBIT DCT RIBET UT101 VOKIR/N0447F360 UT101 ENAGA DCT OVAGO/N0442F340 UT123 IKLOK/N0441F220 UT123 IGSON IGSON1B</t>
  </si>
  <si>
    <t>UDGUV2A UDGUV DCT LIDAM/N0459F360 UT23 TAM UJ14 TMN UT147 AGU UT44 MEZCA MEZCA1A</t>
  </si>
  <si>
    <t>S12R 2101N08651W T12R6 CN04 2107N08649W SR12 NOSUG UT27 OMVIP UT45 IRDOV L214 LEV J35 MCB/N0458F390 J35 MEM/N0460F380 J35 FAM/N0457F390 DCT SPI DCT PHEEB ENDEE8</t>
  </si>
  <si>
    <t>S12R 2059N08647W DEP12 TAKUX UM782 OMIRO/N0446F370 UN420 PELRA DCT SPP DCT SEKMA OSUPA2</t>
  </si>
  <si>
    <t>S12R T12R6 UN415 2103N08639W 2104N08637W NUDAL UV106 PODON UG765 MAXIM Y262 TUNSL DCT VKZ DCT WOLFO DCT SNAGY/M085F370 M203 JNFOX/M085F390 M203 SELIM DCT 40N060W/M085F410 DCT 44N050W DCT 47N040W DCT 49N030W DCT 51N020W DCT LIMRI/N0488F410 DCT XETBO DCT DEXEN UY124 DOLOP DOLOP1B</t>
  </si>
  <si>
    <t>S12R 2101N08651W T12L6 NC29 2146N08655W 2156N08702W KEHLI A766 KELPP BAYYY5</t>
  </si>
  <si>
    <t>S12R 2101N08650W SL00 NUDAL UV106 PODON UG765 MAXIM SNDBR3</t>
  </si>
  <si>
    <t>S12R T12R6 UN418 UN409 2055N08701W 2052N08706W 2033N08749W 1953N08912W 1931N08943W CME UJ9 VSA DCT</t>
  </si>
  <si>
    <t>N256BZ</t>
  </si>
  <si>
    <t>S12R SR00 SR01 SR02 SR03 SR04 SR05 SR06 ENEBA UT27 OMVIP UT45 IRDOV L214 LEV DCT</t>
  </si>
  <si>
    <t>TAKUX2A TAKUX UM782 OMIRO UN420 SPP UP530 KAKOL DCT RNG UQ121 ISVAT ISVA5E</t>
  </si>
  <si>
    <t>N813GG</t>
  </si>
  <si>
    <t>TBM7</t>
  </si>
  <si>
    <t>S12R T12R6 2058N08652W N9S 2055N08709W 2056N08716W UDGUV V56 CZA V45 NAPRI NAPRI1A</t>
  </si>
  <si>
    <t>CGORP</t>
  </si>
  <si>
    <t>S12R SR00 SR01 SR02 SR03 SR04 SR05 ENEBA 2134N08654W IRDOV/M078F360 L214 PLNDR/N0459F360 L214 LEV DCT OCOSA DCT KF33E DCT KIRKE DCT KD60A DCT BRWRY DCT KD75Y DCT KD87W DCT KU09U DCT BEVEL DCT VESDO DCT EBGAL EBGAL7</t>
  </si>
  <si>
    <t>TAKUX2A TAKUX DCT MAMBI/N0460F390 UL577 CDO UT15 NADAX NADAX1W</t>
  </si>
  <si>
    <t>S12R T12R6 UN418 2056N08656W 2050N08717W 2047N08729W 2049N08747W 2049N08756W NOTEN UT37 ULUMA DCT MTY DCT TASTO DCT ILAMA UT41 NADIS DCT AVRIL UJ3 TANRI TANRI1B</t>
  </si>
  <si>
    <t>N77552</t>
  </si>
  <si>
    <t>S12R 2101N08650W NC011 2129N08652W 2207N08702W 2208N08702W 2213N08704W KEHLI A766 KELPP NNCEE2</t>
  </si>
  <si>
    <t>UDGUV2A UDGUV 2049N08759W 2049N08807W 2127N09135W 2128N09141W 2146N09500W TMN UT147 SLP</t>
  </si>
  <si>
    <t>S12R T12R6 UN418 UN409 2054N08707W 2054N08709W 2056N08715W 2058N08723W UKOKO UBVOV UT101 UMAVO/N0415F300 UT101 ENAGA DCT OTAGO DCT ATUKA ATUKA1B</t>
  </si>
  <si>
    <t>S12R 2100N08647W CN04 ROTGI UM219 MYDIA Y240 SHAQQ/N0478F370 DCT KNOST DCT DEANR Q109 CAMJO DCT TEEEM Q99 POLYY DCT OGRAE DCT AUDII DCT FAK DCT RBV Q430 ACK DCT BRADD N175G PORTI/M081F380 NATV 47N050W/M081F390 NATV XETBO/N0461F390 DCT EVRIN DCT JETZI/N0457F410 DCT AMFUL DCT CAWZE DCT SIRIC P2 DVR UL9 KONAN UL607 SPI/N0460F390 T180 NIVNU/N0404F310 T847 TUTOV TUTOV1A</t>
  </si>
  <si>
    <t>S12R 2101N08651W 2032N08622W TAKUX UM782 OMIRO UN420 TBG UL780 UGUPI/N0470F390 UL780 ISREN UM542 TOPIX/N0464F410 UM542 ILMAR/M081F410 UL302 IREMI/M081F410 UL302 ELASA/N0465F410 UL650 GEKAL UT691 LAR UW16 CBA UW24 SNT</t>
  </si>
  <si>
    <t>S12R T12R6 2100N08649W ALYRE TAKUX UM782 OMIRO/N0449F390 UN420 SPP UP530 KAKOL/N0447F390 DCT RNG UQ121 ISVAT ISVA5E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</si>
</sst>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quot;:00&quot;"/>
    <numFmt numFmtId="166" formatCode="dd/mm/yyyy\ hh:mm:ss"/>
  </numFmts>
  <fonts count="25"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
      <b/>
      <sz val="18"/>
      <color rgb="FFFFFFFF"/>
      <name val="Aptos Narrow"/>
      <family val="2"/>
      <scheme val="minor"/>
    </font>
    <font>
      <i/>
      <sz val="10"/>
      <color rgb="FF666666"/>
      <name val="Aptos Narrow"/>
      <family val="2"/>
      <scheme val="minor"/>
    </font>
    <font>
      <b/>
      <sz val="12"/>
      <color rgb="FF17365D"/>
      <name val="Aptos Narrow"/>
      <family val="2"/>
      <scheme val="minor"/>
    </font>
    <font>
      <sz val="12"/>
      <color theme="1"/>
      <name val="Aptos"/>
    </font>
    <font>
      <sz val="10"/>
      <color theme="1"/>
      <name val="Calibri"/>
      <family val="2"/>
    </font>
    <font>
      <sz val="10"/>
      <color theme="1"/>
      <name val="Apto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17365D"/>
        <bgColor indexed="64"/>
      </patternFill>
    </fill>
    <fill>
      <patternFill patternType="solid">
        <fgColor rgb="FF4472C4"/>
        <bgColor indexed="64"/>
      </patternFill>
    </fill>
    <fill>
      <patternFill patternType="solid">
        <fgColor rgb="FFD9EAF7"/>
        <bgColor indexed="64"/>
      </patternFill>
    </fill>
    <fill>
      <patternFill patternType="solid">
        <fgColor rgb="FFE2F0D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6A6A6"/>
      </left>
      <right style="thin">
        <color rgb="FFD9D9D9"/>
      </right>
      <top style="thin">
        <color rgb="FFA6A6A6"/>
      </top>
      <bottom style="thin">
        <color rgb="FFD9D9D9"/>
      </bottom>
      <diagonal/>
    </border>
    <border>
      <left style="thin">
        <color rgb="FFD9D9D9"/>
      </left>
      <right style="thin">
        <color rgb="FFD9D9D9"/>
      </right>
      <top style="thin">
        <color rgb="FFA6A6A6"/>
      </top>
      <bottom style="thin">
        <color rgb="FFD9D9D9"/>
      </bottom>
      <diagonal/>
    </border>
    <border>
      <left style="thin">
        <color rgb="FFD9D9D9"/>
      </left>
      <right style="thin">
        <color rgb="FFA6A6A6"/>
      </right>
      <top style="thin">
        <color rgb="FFA6A6A6"/>
      </top>
      <bottom style="thin">
        <color rgb="FFD9D9D9"/>
      </bottom>
      <diagonal/>
    </border>
    <border>
      <left style="thin">
        <color rgb="FFA6A6A6"/>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A6A6A6"/>
      </right>
      <top style="thin">
        <color rgb="FFD9D9D9"/>
      </top>
      <bottom style="thin">
        <color rgb="FFD9D9D9"/>
      </bottom>
      <diagonal/>
    </border>
    <border>
      <left style="thin">
        <color rgb="FFA6A6A6"/>
      </left>
      <right style="thin">
        <color rgb="FFD9D9D9"/>
      </right>
      <top style="thin">
        <color rgb="FFD9D9D9"/>
      </top>
      <bottom style="thin">
        <color rgb="FFA6A6A6"/>
      </bottom>
      <diagonal/>
    </border>
    <border>
      <left style="thin">
        <color rgb="FFD9D9D9"/>
      </left>
      <right style="thin">
        <color rgb="FFD9D9D9"/>
      </right>
      <top style="thin">
        <color rgb="FFD9D9D9"/>
      </top>
      <bottom style="thin">
        <color rgb="FFA6A6A6"/>
      </bottom>
      <diagonal/>
    </border>
    <border>
      <left style="thin">
        <color rgb="FFD9D9D9"/>
      </left>
      <right style="thin">
        <color rgb="FFA6A6A6"/>
      </right>
      <top style="thin">
        <color rgb="FFD9D9D9"/>
      </top>
      <bottom style="thin">
        <color rgb="FFA6A6A6"/>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8" fillId="33" borderId="0" xfId="0" applyFont="1" applyFill="1" applyAlignment="1">
      <alignment horizontal="center"/>
    </xf>
    <xf numFmtId="164" fontId="0" fillId="0" borderId="0" xfId="0" applyNumberFormat="1"/>
    <xf numFmtId="1" fontId="0" fillId="0" borderId="0" xfId="0" applyNumberFormat="1"/>
    <xf numFmtId="0" fontId="21" fillId="36" borderId="10" xfId="0" applyFont="1" applyFill="1" applyBorder="1" applyAlignment="1">
      <alignment horizontal="center"/>
    </xf>
    <xf numFmtId="0" fontId="21" fillId="36" borderId="11" xfId="0" applyFont="1" applyFill="1" applyBorder="1" applyAlignment="1">
      <alignment horizontal="center"/>
    </xf>
    <xf numFmtId="0" fontId="21" fillId="36" borderId="12" xfId="0" applyFont="1" applyFill="1" applyBorder="1" applyAlignment="1">
      <alignment horizontal="center"/>
    </xf>
    <xf numFmtId="165" fontId="0" fillId="0" borderId="13" xfId="0" applyNumberFormat="1" applyBorder="1" applyAlignment="1">
      <alignment horizontal="center"/>
    </xf>
    <xf numFmtId="3" fontId="0" fillId="0" borderId="14" xfId="0" applyNumberFormat="1" applyBorder="1" applyAlignment="1">
      <alignment horizontal="right"/>
    </xf>
    <xf numFmtId="3" fontId="16" fillId="37" borderId="15" xfId="0" applyNumberFormat="1" applyFont="1" applyFill="1" applyBorder="1" applyAlignment="1">
      <alignment horizontal="right"/>
    </xf>
    <xf numFmtId="165" fontId="0" fillId="0" borderId="16" xfId="0" applyNumberFormat="1" applyBorder="1" applyAlignment="1">
      <alignment horizontal="center"/>
    </xf>
    <xf numFmtId="3" fontId="0" fillId="0" borderId="17" xfId="0" applyNumberFormat="1" applyBorder="1" applyAlignment="1">
      <alignment horizontal="right"/>
    </xf>
    <xf numFmtId="3" fontId="16" fillId="37" borderId="18" xfId="0" applyNumberFormat="1" applyFont="1" applyFill="1" applyBorder="1" applyAlignment="1">
      <alignment horizontal="right"/>
    </xf>
    <xf numFmtId="0" fontId="22" fillId="0" borderId="0" xfId="0" applyFont="1"/>
    <xf numFmtId="164" fontId="22" fillId="0" borderId="0" xfId="0" applyNumberFormat="1" applyFont="1"/>
    <xf numFmtId="1" fontId="22" fillId="0" borderId="0" xfId="0" applyNumberFormat="1" applyFont="1"/>
    <xf numFmtId="0" fontId="23" fillId="0" borderId="0" xfId="0" applyFont="1"/>
    <xf numFmtId="164" fontId="23" fillId="0" borderId="0" xfId="0" applyNumberFormat="1" applyFont="1"/>
    <xf numFmtId="0" fontId="24" fillId="0" borderId="0" xfId="0" applyFont="1"/>
    <xf numFmtId="166" fontId="24" fillId="0" borderId="0" xfId="0" applyNumberFormat="1" applyFont="1"/>
    <xf numFmtId="0" fontId="19" fillId="34" borderId="0" xfId="0" applyFont="1" applyFill="1" applyAlignment="1">
      <alignment horizontal="center"/>
    </xf>
    <xf numFmtId="0" fontId="20" fillId="0" borderId="0" xfId="0" applyFont="1" applyAlignment="1">
      <alignment horizontal="center" wrapText="1"/>
    </xf>
    <xf numFmtId="0" fontId="18" fillId="35" borderId="0" xfId="0" applyFont="1" applyFill="1"/>
    <xf numFmtId="0" fontId="0" fillId="0" borderId="0" xfId="0" applyAlignment="1">
      <alignment vertical="center"/>
    </xf>
    <xf numFmtId="164" fontId="0" fillId="0" borderId="0" xfId="0" applyNumberFormat="1" applyAlignment="1">
      <alignment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308">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4" formatCode="yyyy\-mm\-dd\ hh:mm:ss"/>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rgb="FFFFFFFF"/>
        <name val="Aptos Narrow"/>
        <family val="2"/>
        <scheme val="minor"/>
      </font>
      <fill>
        <patternFill patternType="solid">
          <fgColor indexed="64"/>
          <bgColor rgb="FF1F4E78"/>
        </patternFill>
      </fill>
      <alignment horizontal="center" vertical="bottom" textRotation="0" wrapText="0" indent="0" justifyLastLine="0" shrinkToFit="0" readingOrder="0"/>
    </dxf>
  </dxfs>
  <tableStyles count="0" defaultTableStyle="TableStyleMedium2" defaultPivotStyle="PivotStyleLight16"/>
  <colors>
    <mruColors>
      <color rgb="FF5B9BD5"/>
      <color rgb="FFD86ECC"/>
      <color rgb="FF2644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THU OCT 1,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'2026-10-01'!$B$226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'2026-10-01'!$B$227:$B$235</c:f>
              <c:numCache>
                <c:formatCode>#,##0</c:formatCode>
                <c:ptCount val="9"/>
                <c:pt idx="0">
                  <c:v>2</c:v>
                </c:pt>
                <c:pt idx="1">
                  <c:v>0</c:v>
                </c:pt>
                <c:pt idx="2">
                  <c:v>2</c:v>
                </c:pt>
                <c:pt idx="3">
                  <c:v>0</c:v>
                </c:pt>
                <c:pt idx="4">
                  <c:v>1</c:v>
                </c:pt>
                <c:pt idx="5">
                  <c:v>0</c:v>
                </c:pt>
                <c:pt idx="6">
                  <c:v>1</c:v>
                </c:pt>
                <c:pt idx="7">
                  <c:v>2</c:v>
                </c:pt>
                <c:pt idx="8">
                  <c:v>0</c:v>
                </c:pt>
              </c:numCache>
            </c:numRef>
          </c:val>
          <c:extLst>
            <c:ext xmlns:c16="http://schemas.microsoft.com/office/drawing/2014/chart" uri="{C3380CC4-5D6E-409C-BE32-E72D297353CC}">
              <c16:uniqueId val="{00000000-56DC-104A-B52B-FE9B3AFC0325}"/>
            </c:ext>
          </c:extLst>
        </c:ser>
        <c:ser>
          <c:idx val="1"/>
          <c:order val="1"/>
          <c:tx>
            <c:strRef>
              <c:f>'2026-10-01'!$C$226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'2026-10-01'!$C$227:$C$235</c:f>
              <c:numCache>
                <c:formatCode>#,##0</c:formatCode>
                <c:ptCount val="9"/>
                <c:pt idx="0">
                  <c:v>0</c:v>
                </c:pt>
                <c:pt idx="1">
                  <c:v>0</c:v>
                </c:pt>
                <c:pt idx="2">
                  <c:v>2</c:v>
                </c:pt>
                <c:pt idx="3">
                  <c:v>2</c:v>
                </c:pt>
                <c:pt idx="4">
                  <c:v>4</c:v>
                </c:pt>
                <c:pt idx="5">
                  <c:v>7</c:v>
                </c:pt>
                <c:pt idx="6">
                  <c:v>4</c:v>
                </c:pt>
                <c:pt idx="7">
                  <c:v>2</c:v>
                </c:pt>
                <c:pt idx="8">
                  <c:v>2</c:v>
                </c:pt>
              </c:numCache>
            </c:numRef>
          </c:val>
          <c:extLst>
            <c:ext xmlns:c16="http://schemas.microsoft.com/office/drawing/2014/chart" uri="{C3380CC4-5D6E-409C-BE32-E72D297353CC}">
              <c16:uniqueId val="{00000001-56DC-104A-B52B-FE9B3AFC0325}"/>
            </c:ext>
          </c:extLst>
        </c:ser>
        <c:ser>
          <c:idx val="2"/>
          <c:order val="2"/>
          <c:tx>
            <c:strRef>
              <c:f>'2026-10-01'!$D$226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56DC-104A-B52B-FE9B3AFC0325}"/>
            </c:ext>
          </c:extLst>
        </c:ser>
        <c:ser>
          <c:idx val="3"/>
          <c:order val="3"/>
          <c:tx>
            <c:strRef>
              <c:f>'2026-10-01'!$E$226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'2026-10-01'!$E$227:$E$235</c:f>
              <c:numCache>
                <c:formatCode>#,##0</c:formatCode>
                <c:ptCount val="9"/>
                <c:pt idx="0">
                  <c:v>0</c:v>
                </c:pt>
                <c:pt idx="1">
                  <c:v>0</c:v>
                </c:pt>
                <c:pt idx="2">
                  <c:v>1</c:v>
                </c:pt>
                <c:pt idx="3">
                  <c:v>0</c:v>
                </c:pt>
                <c:pt idx="4">
                  <c:v>1</c:v>
                </c:pt>
                <c:pt idx="5">
                  <c:v>1</c:v>
                </c:pt>
                <c:pt idx="6">
                  <c:v>1</c:v>
                </c:pt>
                <c:pt idx="7">
                  <c:v>3</c:v>
                </c:pt>
                <c:pt idx="8">
                  <c:v>3</c:v>
                </c:pt>
              </c:numCache>
            </c:numRef>
          </c:val>
          <c:extLst>
            <c:ext xmlns:c16="http://schemas.microsoft.com/office/drawing/2014/chart" uri="{C3380CC4-5D6E-409C-BE32-E72D297353CC}">
              <c16:uniqueId val="{00000003-56DC-104A-B52B-FE9B3AFC0325}"/>
            </c:ext>
          </c:extLst>
        </c:ser>
        <c:ser>
          <c:idx val="4"/>
          <c:order val="4"/>
          <c:tx>
            <c:strRef>
              <c:f>'2026-10-01'!$F$226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'2026-10-01'!$F$227:$F$235</c:f>
              <c:numCache>
                <c:formatCode>#,##0</c:formatCode>
                <c:ptCount val="9"/>
                <c:pt idx="0">
                  <c:v>0</c:v>
                </c:pt>
                <c:pt idx="1">
                  <c:v>2</c:v>
                </c:pt>
                <c:pt idx="2">
                  <c:v>2</c:v>
                </c:pt>
                <c:pt idx="3">
                  <c:v>4</c:v>
                </c:pt>
                <c:pt idx="4">
                  <c:v>7</c:v>
                </c:pt>
                <c:pt idx="5">
                  <c:v>3</c:v>
                </c:pt>
                <c:pt idx="6">
                  <c:v>4</c:v>
                </c:pt>
                <c:pt idx="7">
                  <c:v>5</c:v>
                </c:pt>
                <c:pt idx="8">
                  <c:v>2</c:v>
                </c:pt>
              </c:numCache>
            </c:numRef>
          </c:val>
          <c:extLst>
            <c:ext xmlns:c16="http://schemas.microsoft.com/office/drawing/2014/chart" uri="{C3380CC4-5D6E-409C-BE32-E72D297353CC}">
              <c16:uniqueId val="{00000004-56DC-104A-B52B-FE9B3AFC0325}"/>
            </c:ext>
          </c:extLst>
        </c:ser>
        <c:ser>
          <c:idx val="5"/>
          <c:order val="5"/>
          <c:tx>
            <c:strRef>
              <c:f>'2026-10-01'!$G$226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'2026-10-01'!$G$227:$G$235</c:f>
              <c:numCache>
                <c:formatCode>#,##0</c:formatCode>
                <c:ptCount val="9"/>
                <c:pt idx="0">
                  <c:v>0</c:v>
                </c:pt>
                <c:pt idx="1">
                  <c:v>0</c:v>
                </c:pt>
                <c:pt idx="2">
                  <c:v>2</c:v>
                </c:pt>
                <c:pt idx="3">
                  <c:v>1</c:v>
                </c:pt>
                <c:pt idx="4">
                  <c:v>2</c:v>
                </c:pt>
                <c:pt idx="5">
                  <c:v>1</c:v>
                </c:pt>
                <c:pt idx="6">
                  <c:v>0</c:v>
                </c:pt>
                <c:pt idx="7">
                  <c:v>2</c:v>
                </c:pt>
                <c:pt idx="8">
                  <c:v>0</c:v>
                </c:pt>
              </c:numCache>
            </c:numRef>
          </c:val>
          <c:extLst>
            <c:ext xmlns:c16="http://schemas.microsoft.com/office/drawing/2014/chart" uri="{C3380CC4-5D6E-409C-BE32-E72D297353CC}">
              <c16:uniqueId val="{00000005-56DC-104A-B52B-FE9B3AFC0325}"/>
            </c:ext>
          </c:extLst>
        </c:ser>
        <c:ser>
          <c:idx val="6"/>
          <c:order val="6"/>
          <c:tx>
            <c:strRef>
              <c:f>'2026-10-01'!$H$226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'2026-10-01'!$H$227:$H$235</c:f>
              <c:numCache>
                <c:formatCode>#,##0</c:formatCode>
                <c:ptCount val="9"/>
                <c:pt idx="0">
                  <c:v>1</c:v>
                </c:pt>
                <c:pt idx="1">
                  <c:v>8</c:v>
                </c:pt>
                <c:pt idx="2">
                  <c:v>8</c:v>
                </c:pt>
                <c:pt idx="3">
                  <c:v>6</c:v>
                </c:pt>
                <c:pt idx="4">
                  <c:v>5</c:v>
                </c:pt>
                <c:pt idx="5">
                  <c:v>10</c:v>
                </c:pt>
                <c:pt idx="6">
                  <c:v>6</c:v>
                </c:pt>
                <c:pt idx="7">
                  <c:v>9</c:v>
                </c:pt>
                <c:pt idx="8">
                  <c:v>7</c:v>
                </c:pt>
              </c:numCache>
            </c:numRef>
          </c:val>
          <c:extLst>
            <c:ext xmlns:c16="http://schemas.microsoft.com/office/drawing/2014/chart" uri="{C3380CC4-5D6E-409C-BE32-E72D297353CC}">
              <c16:uniqueId val="{00000006-56DC-104A-B52B-FE9B3AFC032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THU OCT 1</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'2026-10-01'!$B$262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'2026-10-01'!$B$263:$B$272</c:f>
              <c:numCache>
                <c:formatCode>#,##0</c:formatCode>
                <c:ptCount val="10"/>
                <c:pt idx="0">
                  <c:v>1</c:v>
                </c:pt>
                <c:pt idx="1">
                  <c:v>8</c:v>
                </c:pt>
                <c:pt idx="2">
                  <c:v>8</c:v>
                </c:pt>
                <c:pt idx="3">
                  <c:v>6</c:v>
                </c:pt>
                <c:pt idx="4">
                  <c:v>5</c:v>
                </c:pt>
                <c:pt idx="5">
                  <c:v>10</c:v>
                </c:pt>
                <c:pt idx="6">
                  <c:v>6</c:v>
                </c:pt>
                <c:pt idx="7">
                  <c:v>9</c:v>
                </c:pt>
                <c:pt idx="8">
                  <c:v>7</c:v>
                </c:pt>
                <c:pt idx="9">
                  <c:v>3</c:v>
                </c:pt>
              </c:numCache>
            </c:numRef>
          </c:val>
          <c:extLst>
            <c:ext xmlns:c16="http://schemas.microsoft.com/office/drawing/2014/chart" uri="{C3380CC4-5D6E-409C-BE32-E72D297353CC}">
              <c16:uniqueId val="{00000000-5CAA-384C-84FF-E5B67F8EB705}"/>
            </c:ext>
          </c:extLst>
        </c:ser>
        <c:ser>
          <c:idx val="1"/>
          <c:order val="1"/>
          <c:tx>
            <c:strRef>
              <c:f>'2026-10-01'!$C$262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'2026-10-01'!$C$263:$C$272</c:f>
              <c:numCache>
                <c:formatCode>#,##0</c:formatCode>
                <c:ptCount val="10"/>
                <c:pt idx="0">
                  <c:v>0</c:v>
                </c:pt>
                <c:pt idx="1">
                  <c:v>2</c:v>
                </c:pt>
                <c:pt idx="2">
                  <c:v>5</c:v>
                </c:pt>
                <c:pt idx="3">
                  <c:v>6</c:v>
                </c:pt>
                <c:pt idx="4">
                  <c:v>12</c:v>
                </c:pt>
                <c:pt idx="5">
                  <c:v>11</c:v>
                </c:pt>
                <c:pt idx="6">
                  <c:v>9</c:v>
                </c:pt>
                <c:pt idx="7">
                  <c:v>10</c:v>
                </c:pt>
                <c:pt idx="8">
                  <c:v>7</c:v>
                </c:pt>
                <c:pt idx="9">
                  <c:v>0</c:v>
                </c:pt>
              </c:numCache>
            </c:numRef>
          </c:val>
          <c:extLst>
            <c:ext xmlns:c16="http://schemas.microsoft.com/office/drawing/2014/chart" uri="{C3380CC4-5D6E-409C-BE32-E72D297353CC}">
              <c16:uniqueId val="{00000001-5CAA-384C-84FF-E5B67F8EB705}"/>
            </c:ext>
          </c:extLst>
        </c:ser>
        <c:ser>
          <c:idx val="2"/>
          <c:order val="2"/>
          <c:tx>
            <c:strRef>
              <c:f>'2026-10-01'!$D$262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'2026-10-01'!$D$263:$D$272</c:f>
              <c:numCache>
                <c:formatCode>#,##0</c:formatCode>
                <c:ptCount val="10"/>
                <c:pt idx="0">
                  <c:v>2</c:v>
                </c:pt>
                <c:pt idx="1">
                  <c:v>0</c:v>
                </c:pt>
                <c:pt idx="2">
                  <c:v>4</c:v>
                </c:pt>
                <c:pt idx="3">
                  <c:v>2</c:v>
                </c:pt>
                <c:pt idx="4">
                  <c:v>3</c:v>
                </c:pt>
                <c:pt idx="5">
                  <c:v>1</c:v>
                </c:pt>
                <c:pt idx="6">
                  <c:v>1</c:v>
                </c:pt>
                <c:pt idx="7">
                  <c:v>4</c:v>
                </c:pt>
                <c:pt idx="8">
                  <c:v>0</c:v>
                </c:pt>
                <c:pt idx="9">
                  <c:v>1</c:v>
                </c:pt>
              </c:numCache>
            </c:numRef>
          </c:val>
          <c:extLst>
            <c:ext xmlns:c16="http://schemas.microsoft.com/office/drawing/2014/chart" uri="{C3380CC4-5D6E-409C-BE32-E72D297353CC}">
              <c16:uniqueId val="{00000002-5CAA-384C-84FF-E5B67F8EB70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FRI OCT 2,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'2026-10-02'!$B$226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'2026-10-02'!$B$227:$B$235</c:f>
              <c:numCache>
                <c:formatCode>#,##0</c:formatCode>
                <c:ptCount val="9"/>
                <c:pt idx="0">
                  <c:v>0</c:v>
                </c:pt>
                <c:pt idx="1">
                  <c:v>1</c:v>
                </c:pt>
                <c:pt idx="2">
                  <c:v>2</c:v>
                </c:pt>
                <c:pt idx="3">
                  <c:v>0</c:v>
                </c:pt>
                <c:pt idx="4">
                  <c:v>2</c:v>
                </c:pt>
                <c:pt idx="5">
                  <c:v>0</c:v>
                </c:pt>
                <c:pt idx="6">
                  <c:v>0</c:v>
                </c:pt>
                <c:pt idx="7">
                  <c:v>0</c:v>
                </c:pt>
                <c:pt idx="8">
                  <c:v>0</c:v>
                </c:pt>
              </c:numCache>
            </c:numRef>
          </c:val>
          <c:extLst>
            <c:ext xmlns:c16="http://schemas.microsoft.com/office/drawing/2014/chart" uri="{C3380CC4-5D6E-409C-BE32-E72D297353CC}">
              <c16:uniqueId val="{00000000-7270-A94A-8CAE-F463F2FED54E}"/>
            </c:ext>
          </c:extLst>
        </c:ser>
        <c:ser>
          <c:idx val="1"/>
          <c:order val="1"/>
          <c:tx>
            <c:strRef>
              <c:f>'2026-10-02'!$C$226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'2026-10-02'!$C$227:$C$235</c:f>
              <c:numCache>
                <c:formatCode>#,##0</c:formatCode>
                <c:ptCount val="9"/>
                <c:pt idx="0">
                  <c:v>0</c:v>
                </c:pt>
                <c:pt idx="1">
                  <c:v>1</c:v>
                </c:pt>
                <c:pt idx="2">
                  <c:v>2</c:v>
                </c:pt>
                <c:pt idx="3">
                  <c:v>4</c:v>
                </c:pt>
                <c:pt idx="4">
                  <c:v>2</c:v>
                </c:pt>
                <c:pt idx="5">
                  <c:v>5</c:v>
                </c:pt>
                <c:pt idx="6">
                  <c:v>6</c:v>
                </c:pt>
                <c:pt idx="7">
                  <c:v>1</c:v>
                </c:pt>
                <c:pt idx="8">
                  <c:v>2</c:v>
                </c:pt>
              </c:numCache>
            </c:numRef>
          </c:val>
          <c:extLst>
            <c:ext xmlns:c16="http://schemas.microsoft.com/office/drawing/2014/chart" uri="{C3380CC4-5D6E-409C-BE32-E72D297353CC}">
              <c16:uniqueId val="{00000001-7270-A94A-8CAE-F463F2FED54E}"/>
            </c:ext>
          </c:extLst>
        </c:ser>
        <c:ser>
          <c:idx val="2"/>
          <c:order val="2"/>
          <c:tx>
            <c:strRef>
              <c:f>'2026-10-02'!$D$226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'2026-10-02'!$D$227:$D$235</c:f>
              <c:numCache>
                <c:formatCode>#,##0</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7270-A94A-8CAE-F463F2FED54E}"/>
            </c:ext>
          </c:extLst>
        </c:ser>
        <c:ser>
          <c:idx val="3"/>
          <c:order val="3"/>
          <c:tx>
            <c:strRef>
              <c:f>'2026-10-02'!$E$226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'2026-10-02'!$E$227:$E$235</c:f>
              <c:numCache>
                <c:formatCode>#,##0</c:formatCode>
                <c:ptCount val="9"/>
                <c:pt idx="0">
                  <c:v>1</c:v>
                </c:pt>
                <c:pt idx="1">
                  <c:v>0</c:v>
                </c:pt>
                <c:pt idx="2">
                  <c:v>1</c:v>
                </c:pt>
                <c:pt idx="3">
                  <c:v>1</c:v>
                </c:pt>
                <c:pt idx="4">
                  <c:v>0</c:v>
                </c:pt>
                <c:pt idx="5">
                  <c:v>1</c:v>
                </c:pt>
                <c:pt idx="6">
                  <c:v>2</c:v>
                </c:pt>
                <c:pt idx="7">
                  <c:v>2</c:v>
                </c:pt>
                <c:pt idx="8">
                  <c:v>0</c:v>
                </c:pt>
              </c:numCache>
            </c:numRef>
          </c:val>
          <c:extLst>
            <c:ext xmlns:c16="http://schemas.microsoft.com/office/drawing/2014/chart" uri="{C3380CC4-5D6E-409C-BE32-E72D297353CC}">
              <c16:uniqueId val="{00000003-7270-A94A-8CAE-F463F2FED54E}"/>
            </c:ext>
          </c:extLst>
        </c:ser>
        <c:ser>
          <c:idx val="4"/>
          <c:order val="4"/>
          <c:tx>
            <c:strRef>
              <c:f>'2026-10-02'!$F$226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'2026-10-02'!$F$227:$F$235</c:f>
              <c:numCache>
                <c:formatCode>#,##0</c:formatCode>
                <c:ptCount val="9"/>
                <c:pt idx="0">
                  <c:v>0</c:v>
                </c:pt>
                <c:pt idx="1">
                  <c:v>0</c:v>
                </c:pt>
                <c:pt idx="2">
                  <c:v>4</c:v>
                </c:pt>
                <c:pt idx="3">
                  <c:v>2</c:v>
                </c:pt>
                <c:pt idx="4">
                  <c:v>8</c:v>
                </c:pt>
                <c:pt idx="5">
                  <c:v>2</c:v>
                </c:pt>
                <c:pt idx="6">
                  <c:v>2</c:v>
                </c:pt>
                <c:pt idx="7">
                  <c:v>6</c:v>
                </c:pt>
                <c:pt idx="8">
                  <c:v>2</c:v>
                </c:pt>
              </c:numCache>
            </c:numRef>
          </c:val>
          <c:extLst>
            <c:ext xmlns:c16="http://schemas.microsoft.com/office/drawing/2014/chart" uri="{C3380CC4-5D6E-409C-BE32-E72D297353CC}">
              <c16:uniqueId val="{00000004-7270-A94A-8CAE-F463F2FED54E}"/>
            </c:ext>
          </c:extLst>
        </c:ser>
        <c:ser>
          <c:idx val="5"/>
          <c:order val="5"/>
          <c:tx>
            <c:strRef>
              <c:f>'2026-10-02'!$G$226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'2026-10-02'!$G$227:$G$235</c:f>
              <c:numCache>
                <c:formatCode>#,##0</c:formatCode>
                <c:ptCount val="9"/>
                <c:pt idx="0">
                  <c:v>0</c:v>
                </c:pt>
                <c:pt idx="1">
                  <c:v>0</c:v>
                </c:pt>
                <c:pt idx="2">
                  <c:v>2</c:v>
                </c:pt>
                <c:pt idx="3">
                  <c:v>2</c:v>
                </c:pt>
                <c:pt idx="4">
                  <c:v>1</c:v>
                </c:pt>
                <c:pt idx="5">
                  <c:v>1</c:v>
                </c:pt>
                <c:pt idx="6">
                  <c:v>0</c:v>
                </c:pt>
                <c:pt idx="7">
                  <c:v>0</c:v>
                </c:pt>
                <c:pt idx="8">
                  <c:v>2</c:v>
                </c:pt>
              </c:numCache>
            </c:numRef>
          </c:val>
          <c:extLst>
            <c:ext xmlns:c16="http://schemas.microsoft.com/office/drawing/2014/chart" uri="{C3380CC4-5D6E-409C-BE32-E72D297353CC}">
              <c16:uniqueId val="{00000005-7270-A94A-8CAE-F463F2FED54E}"/>
            </c:ext>
          </c:extLst>
        </c:ser>
        <c:ser>
          <c:idx val="6"/>
          <c:order val="6"/>
          <c:tx>
            <c:strRef>
              <c:f>'2026-10-02'!$H$226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'2026-10-02'!$H$227:$H$235</c:f>
              <c:numCache>
                <c:formatCode>#,##0</c:formatCode>
                <c:ptCount val="9"/>
                <c:pt idx="0">
                  <c:v>3</c:v>
                </c:pt>
                <c:pt idx="1">
                  <c:v>8</c:v>
                </c:pt>
                <c:pt idx="2">
                  <c:v>10</c:v>
                </c:pt>
                <c:pt idx="3">
                  <c:v>4</c:v>
                </c:pt>
                <c:pt idx="4">
                  <c:v>8</c:v>
                </c:pt>
                <c:pt idx="5">
                  <c:v>5</c:v>
                </c:pt>
                <c:pt idx="6">
                  <c:v>9</c:v>
                </c:pt>
                <c:pt idx="7">
                  <c:v>10</c:v>
                </c:pt>
                <c:pt idx="8">
                  <c:v>7</c:v>
                </c:pt>
              </c:numCache>
            </c:numRef>
          </c:val>
          <c:extLst>
            <c:ext xmlns:c16="http://schemas.microsoft.com/office/drawing/2014/chart" uri="{C3380CC4-5D6E-409C-BE32-E72D297353CC}">
              <c16:uniqueId val="{00000006-7270-A94A-8CAE-F463F2FED54E}"/>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FRI OCT 2</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'2026-10-02'!$B$262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'2026-10-02'!$B$263:$B$272</c:f>
              <c:numCache>
                <c:formatCode>#,##0</c:formatCode>
                <c:ptCount val="10"/>
                <c:pt idx="0">
                  <c:v>3</c:v>
                </c:pt>
                <c:pt idx="1">
                  <c:v>8</c:v>
                </c:pt>
                <c:pt idx="2">
                  <c:v>10</c:v>
                </c:pt>
                <c:pt idx="3">
                  <c:v>4</c:v>
                </c:pt>
                <c:pt idx="4">
                  <c:v>8</c:v>
                </c:pt>
                <c:pt idx="5">
                  <c:v>5</c:v>
                </c:pt>
                <c:pt idx="6">
                  <c:v>9</c:v>
                </c:pt>
                <c:pt idx="7">
                  <c:v>10</c:v>
                </c:pt>
                <c:pt idx="8">
                  <c:v>7</c:v>
                </c:pt>
                <c:pt idx="9">
                  <c:v>8</c:v>
                </c:pt>
              </c:numCache>
            </c:numRef>
          </c:val>
          <c:extLst>
            <c:ext xmlns:c16="http://schemas.microsoft.com/office/drawing/2014/chart" uri="{C3380CC4-5D6E-409C-BE32-E72D297353CC}">
              <c16:uniqueId val="{00000000-EAC7-074D-A7F7-356103E7FABC}"/>
            </c:ext>
          </c:extLst>
        </c:ser>
        <c:ser>
          <c:idx val="1"/>
          <c:order val="1"/>
          <c:tx>
            <c:strRef>
              <c:f>'2026-10-02'!$C$262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'2026-10-02'!$C$263:$C$272</c:f>
              <c:numCache>
                <c:formatCode>#,##0</c:formatCode>
                <c:ptCount val="10"/>
                <c:pt idx="0">
                  <c:v>1</c:v>
                </c:pt>
                <c:pt idx="1">
                  <c:v>1</c:v>
                </c:pt>
                <c:pt idx="2">
                  <c:v>7</c:v>
                </c:pt>
                <c:pt idx="3">
                  <c:v>7</c:v>
                </c:pt>
                <c:pt idx="4">
                  <c:v>10</c:v>
                </c:pt>
                <c:pt idx="5">
                  <c:v>8</c:v>
                </c:pt>
                <c:pt idx="6">
                  <c:v>10</c:v>
                </c:pt>
                <c:pt idx="7">
                  <c:v>9</c:v>
                </c:pt>
                <c:pt idx="8">
                  <c:v>4</c:v>
                </c:pt>
                <c:pt idx="9">
                  <c:v>1</c:v>
                </c:pt>
              </c:numCache>
            </c:numRef>
          </c:val>
          <c:extLst>
            <c:ext xmlns:c16="http://schemas.microsoft.com/office/drawing/2014/chart" uri="{C3380CC4-5D6E-409C-BE32-E72D297353CC}">
              <c16:uniqueId val="{00000001-EAC7-074D-A7F7-356103E7FABC}"/>
            </c:ext>
          </c:extLst>
        </c:ser>
        <c:ser>
          <c:idx val="2"/>
          <c:order val="2"/>
          <c:tx>
            <c:strRef>
              <c:f>'2026-10-02'!$D$262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'2026-10-02'!$D$263:$D$272</c:f>
              <c:numCache>
                <c:formatCode>#,##0</c:formatCode>
                <c:ptCount val="10"/>
                <c:pt idx="0">
                  <c:v>0</c:v>
                </c:pt>
                <c:pt idx="1">
                  <c:v>1</c:v>
                </c:pt>
                <c:pt idx="2">
                  <c:v>4</c:v>
                </c:pt>
                <c:pt idx="3">
                  <c:v>2</c:v>
                </c:pt>
                <c:pt idx="4">
                  <c:v>3</c:v>
                </c:pt>
                <c:pt idx="5">
                  <c:v>1</c:v>
                </c:pt>
                <c:pt idx="6">
                  <c:v>0</c:v>
                </c:pt>
                <c:pt idx="7">
                  <c:v>0</c:v>
                </c:pt>
                <c:pt idx="8">
                  <c:v>3</c:v>
                </c:pt>
                <c:pt idx="9">
                  <c:v>1</c:v>
                </c:pt>
              </c:numCache>
            </c:numRef>
          </c:val>
          <c:extLst>
            <c:ext xmlns:c16="http://schemas.microsoft.com/office/drawing/2014/chart" uri="{C3380CC4-5D6E-409C-BE32-E72D297353CC}">
              <c16:uniqueId val="{00000002-EAC7-074D-A7F7-356103E7FABC}"/>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SAT OCT 3,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'2026-10-03'!$B$226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'2026-10-03'!$B$227:$B$235</c:f>
              <c:numCache>
                <c:formatCode>#,##0</c:formatCode>
                <c:ptCount val="9"/>
                <c:pt idx="0">
                  <c:v>0</c:v>
                </c:pt>
                <c:pt idx="1">
                  <c:v>0</c:v>
                </c:pt>
                <c:pt idx="2">
                  <c:v>1</c:v>
                </c:pt>
                <c:pt idx="3">
                  <c:v>0</c:v>
                </c:pt>
                <c:pt idx="4">
                  <c:v>0</c:v>
                </c:pt>
                <c:pt idx="5">
                  <c:v>1</c:v>
                </c:pt>
                <c:pt idx="6">
                  <c:v>1</c:v>
                </c:pt>
                <c:pt idx="7">
                  <c:v>1</c:v>
                </c:pt>
                <c:pt idx="8">
                  <c:v>0</c:v>
                </c:pt>
              </c:numCache>
            </c:numRef>
          </c:val>
          <c:extLst>
            <c:ext xmlns:c16="http://schemas.microsoft.com/office/drawing/2014/chart" uri="{C3380CC4-5D6E-409C-BE32-E72D297353CC}">
              <c16:uniqueId val="{00000000-AC34-DE4B-ACDF-62B4971F9203}"/>
            </c:ext>
          </c:extLst>
        </c:ser>
        <c:ser>
          <c:idx val="1"/>
          <c:order val="1"/>
          <c:tx>
            <c:strRef>
              <c:f>'2026-10-03'!$C$226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'2026-10-03'!$C$227:$C$235</c:f>
              <c:numCache>
                <c:formatCode>#,##0</c:formatCode>
                <c:ptCount val="9"/>
                <c:pt idx="0">
                  <c:v>0</c:v>
                </c:pt>
                <c:pt idx="1">
                  <c:v>1</c:v>
                </c:pt>
                <c:pt idx="2">
                  <c:v>1</c:v>
                </c:pt>
                <c:pt idx="3">
                  <c:v>7</c:v>
                </c:pt>
                <c:pt idx="4">
                  <c:v>3</c:v>
                </c:pt>
                <c:pt idx="5">
                  <c:v>6</c:v>
                </c:pt>
                <c:pt idx="6">
                  <c:v>4</c:v>
                </c:pt>
                <c:pt idx="7">
                  <c:v>2</c:v>
                </c:pt>
                <c:pt idx="8">
                  <c:v>5</c:v>
                </c:pt>
              </c:numCache>
            </c:numRef>
          </c:val>
          <c:extLst>
            <c:ext xmlns:c16="http://schemas.microsoft.com/office/drawing/2014/chart" uri="{C3380CC4-5D6E-409C-BE32-E72D297353CC}">
              <c16:uniqueId val="{00000001-AC34-DE4B-ACDF-62B4971F9203}"/>
            </c:ext>
          </c:extLst>
        </c:ser>
        <c:ser>
          <c:idx val="2"/>
          <c:order val="2"/>
          <c:tx>
            <c:strRef>
              <c:f>'2026-10-03'!$D$226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AC34-DE4B-ACDF-62B4971F9203}"/>
            </c:ext>
          </c:extLst>
        </c:ser>
        <c:ser>
          <c:idx val="3"/>
          <c:order val="3"/>
          <c:tx>
            <c:strRef>
              <c:f>'2026-10-03'!$E$226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'2026-10-03'!$E$227:$E$235</c:f>
              <c:numCache>
                <c:formatCode>#,##0</c:formatCode>
                <c:ptCount val="9"/>
                <c:pt idx="0">
                  <c:v>0</c:v>
                </c:pt>
                <c:pt idx="1">
                  <c:v>0</c:v>
                </c:pt>
                <c:pt idx="2">
                  <c:v>0</c:v>
                </c:pt>
                <c:pt idx="3">
                  <c:v>1</c:v>
                </c:pt>
                <c:pt idx="4">
                  <c:v>0</c:v>
                </c:pt>
                <c:pt idx="5">
                  <c:v>2</c:v>
                </c:pt>
                <c:pt idx="6">
                  <c:v>2</c:v>
                </c:pt>
                <c:pt idx="7">
                  <c:v>2</c:v>
                </c:pt>
                <c:pt idx="8">
                  <c:v>0</c:v>
                </c:pt>
              </c:numCache>
            </c:numRef>
          </c:val>
          <c:extLst>
            <c:ext xmlns:c16="http://schemas.microsoft.com/office/drawing/2014/chart" uri="{C3380CC4-5D6E-409C-BE32-E72D297353CC}">
              <c16:uniqueId val="{00000003-AC34-DE4B-ACDF-62B4971F9203}"/>
            </c:ext>
          </c:extLst>
        </c:ser>
        <c:ser>
          <c:idx val="4"/>
          <c:order val="4"/>
          <c:tx>
            <c:strRef>
              <c:f>'2026-10-03'!$F$226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'2026-10-03'!$F$227:$F$235</c:f>
              <c:numCache>
                <c:formatCode>#,##0</c:formatCode>
                <c:ptCount val="9"/>
                <c:pt idx="0">
                  <c:v>0</c:v>
                </c:pt>
                <c:pt idx="1">
                  <c:v>0</c:v>
                </c:pt>
                <c:pt idx="2">
                  <c:v>5</c:v>
                </c:pt>
                <c:pt idx="3">
                  <c:v>3</c:v>
                </c:pt>
                <c:pt idx="4">
                  <c:v>7</c:v>
                </c:pt>
                <c:pt idx="5">
                  <c:v>8</c:v>
                </c:pt>
                <c:pt idx="6">
                  <c:v>3</c:v>
                </c:pt>
                <c:pt idx="7">
                  <c:v>5</c:v>
                </c:pt>
                <c:pt idx="8">
                  <c:v>5</c:v>
                </c:pt>
              </c:numCache>
            </c:numRef>
          </c:val>
          <c:extLst>
            <c:ext xmlns:c16="http://schemas.microsoft.com/office/drawing/2014/chart" uri="{C3380CC4-5D6E-409C-BE32-E72D297353CC}">
              <c16:uniqueId val="{00000004-AC34-DE4B-ACDF-62B4971F9203}"/>
            </c:ext>
          </c:extLst>
        </c:ser>
        <c:ser>
          <c:idx val="5"/>
          <c:order val="5"/>
          <c:tx>
            <c:strRef>
              <c:f>'2026-10-03'!$G$226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'2026-10-03'!$G$227:$G$235</c:f>
              <c:numCache>
                <c:formatCode>#,##0</c:formatCode>
                <c:ptCount val="9"/>
                <c:pt idx="0">
                  <c:v>0</c:v>
                </c:pt>
                <c:pt idx="1">
                  <c:v>0</c:v>
                </c:pt>
                <c:pt idx="2">
                  <c:v>3</c:v>
                </c:pt>
                <c:pt idx="3">
                  <c:v>0</c:v>
                </c:pt>
                <c:pt idx="4">
                  <c:v>2</c:v>
                </c:pt>
                <c:pt idx="5">
                  <c:v>1</c:v>
                </c:pt>
                <c:pt idx="6">
                  <c:v>0</c:v>
                </c:pt>
                <c:pt idx="7">
                  <c:v>2</c:v>
                </c:pt>
                <c:pt idx="8">
                  <c:v>0</c:v>
                </c:pt>
              </c:numCache>
            </c:numRef>
          </c:val>
          <c:extLst>
            <c:ext xmlns:c16="http://schemas.microsoft.com/office/drawing/2014/chart" uri="{C3380CC4-5D6E-409C-BE32-E72D297353CC}">
              <c16:uniqueId val="{00000005-AC34-DE4B-ACDF-62B4971F9203}"/>
            </c:ext>
          </c:extLst>
        </c:ser>
        <c:ser>
          <c:idx val="6"/>
          <c:order val="6"/>
          <c:tx>
            <c:strRef>
              <c:f>'2026-10-03'!$H$226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'2026-10-03'!$H$227:$H$235</c:f>
              <c:numCache>
                <c:formatCode>#,##0</c:formatCode>
                <c:ptCount val="9"/>
                <c:pt idx="0">
                  <c:v>1</c:v>
                </c:pt>
                <c:pt idx="1">
                  <c:v>8</c:v>
                </c:pt>
                <c:pt idx="2">
                  <c:v>11</c:v>
                </c:pt>
                <c:pt idx="3">
                  <c:v>6</c:v>
                </c:pt>
                <c:pt idx="4">
                  <c:v>9</c:v>
                </c:pt>
                <c:pt idx="5">
                  <c:v>8</c:v>
                </c:pt>
                <c:pt idx="6">
                  <c:v>7</c:v>
                </c:pt>
                <c:pt idx="7">
                  <c:v>3</c:v>
                </c:pt>
                <c:pt idx="8">
                  <c:v>5</c:v>
                </c:pt>
              </c:numCache>
            </c:numRef>
          </c:val>
          <c:extLst>
            <c:ext xmlns:c16="http://schemas.microsoft.com/office/drawing/2014/chart" uri="{C3380CC4-5D6E-409C-BE32-E72D297353CC}">
              <c16:uniqueId val="{00000006-AC34-DE4B-ACDF-62B4971F9203}"/>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SAT OCT 3</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'2026-10-03'!$B$262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'2026-10-03'!$B$263:$B$272</c:f>
              <c:numCache>
                <c:formatCode>#,##0</c:formatCode>
                <c:ptCount val="10"/>
                <c:pt idx="0">
                  <c:v>1</c:v>
                </c:pt>
                <c:pt idx="1">
                  <c:v>8</c:v>
                </c:pt>
                <c:pt idx="2">
                  <c:v>11</c:v>
                </c:pt>
                <c:pt idx="3">
                  <c:v>6</c:v>
                </c:pt>
                <c:pt idx="4">
                  <c:v>9</c:v>
                </c:pt>
                <c:pt idx="5">
                  <c:v>8</c:v>
                </c:pt>
                <c:pt idx="6">
                  <c:v>7</c:v>
                </c:pt>
                <c:pt idx="7">
                  <c:v>3</c:v>
                </c:pt>
                <c:pt idx="8">
                  <c:v>5</c:v>
                </c:pt>
                <c:pt idx="9">
                  <c:v>2</c:v>
                </c:pt>
              </c:numCache>
            </c:numRef>
          </c:val>
          <c:extLst>
            <c:ext xmlns:c16="http://schemas.microsoft.com/office/drawing/2014/chart" uri="{C3380CC4-5D6E-409C-BE32-E72D297353CC}">
              <c16:uniqueId val="{00000000-BDE8-CC40-885B-BD36F194A694}"/>
            </c:ext>
          </c:extLst>
        </c:ser>
        <c:ser>
          <c:idx val="1"/>
          <c:order val="1"/>
          <c:tx>
            <c:strRef>
              <c:f>'2026-10-03'!$C$262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'2026-10-03'!$C$263:$C$272</c:f>
              <c:numCache>
                <c:formatCode>#,##0</c:formatCode>
                <c:ptCount val="10"/>
                <c:pt idx="0">
                  <c:v>0</c:v>
                </c:pt>
                <c:pt idx="1">
                  <c:v>1</c:v>
                </c:pt>
                <c:pt idx="2">
                  <c:v>6</c:v>
                </c:pt>
                <c:pt idx="3">
                  <c:v>11</c:v>
                </c:pt>
                <c:pt idx="4">
                  <c:v>10</c:v>
                </c:pt>
                <c:pt idx="5">
                  <c:v>16</c:v>
                </c:pt>
                <c:pt idx="6">
                  <c:v>9</c:v>
                </c:pt>
                <c:pt idx="7">
                  <c:v>9</c:v>
                </c:pt>
                <c:pt idx="8">
                  <c:v>10</c:v>
                </c:pt>
                <c:pt idx="9">
                  <c:v>0</c:v>
                </c:pt>
              </c:numCache>
            </c:numRef>
          </c:val>
          <c:extLst>
            <c:ext xmlns:c16="http://schemas.microsoft.com/office/drawing/2014/chart" uri="{C3380CC4-5D6E-409C-BE32-E72D297353CC}">
              <c16:uniqueId val="{00000001-BDE8-CC40-885B-BD36F194A694}"/>
            </c:ext>
          </c:extLst>
        </c:ser>
        <c:ser>
          <c:idx val="2"/>
          <c:order val="2"/>
          <c:tx>
            <c:strRef>
              <c:f>'2026-10-03'!$D$262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'2026-10-03'!$D$263:$D$272</c:f>
              <c:numCache>
                <c:formatCode>#,##0</c:formatCode>
                <c:ptCount val="10"/>
                <c:pt idx="0">
                  <c:v>0</c:v>
                </c:pt>
                <c:pt idx="1">
                  <c:v>0</c:v>
                </c:pt>
                <c:pt idx="2">
                  <c:v>4</c:v>
                </c:pt>
                <c:pt idx="3">
                  <c:v>1</c:v>
                </c:pt>
                <c:pt idx="4">
                  <c:v>2</c:v>
                </c:pt>
                <c:pt idx="5">
                  <c:v>2</c:v>
                </c:pt>
                <c:pt idx="6">
                  <c:v>1</c:v>
                </c:pt>
                <c:pt idx="7">
                  <c:v>3</c:v>
                </c:pt>
                <c:pt idx="8">
                  <c:v>0</c:v>
                </c:pt>
                <c:pt idx="9">
                  <c:v>2</c:v>
                </c:pt>
              </c:numCache>
            </c:numRef>
          </c:val>
          <c:extLst>
            <c:ext xmlns:c16="http://schemas.microsoft.com/office/drawing/2014/chart" uri="{C3380CC4-5D6E-409C-BE32-E72D297353CC}">
              <c16:uniqueId val="{00000002-BDE8-CC40-885B-BD36F194A694}"/>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'2026-10-04'!$B$226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'2026-10-04'!$B$227:$B$235</c:f>
              <c:numCache>
                <c:formatCode>#,##0</c:formatCode>
                <c:ptCount val="9"/>
                <c:pt idx="0">
                  <c:v>0</c:v>
                </c:pt>
                <c:pt idx="1">
                  <c:v>0</c:v>
                </c:pt>
                <c:pt idx="2">
                  <c:v>2</c:v>
                </c:pt>
                <c:pt idx="3">
                  <c:v>1</c:v>
                </c:pt>
                <c:pt idx="4">
                  <c:v>0</c:v>
                </c:pt>
                <c:pt idx="5">
                  <c:v>2</c:v>
                </c:pt>
                <c:pt idx="6">
                  <c:v>0</c:v>
                </c:pt>
                <c:pt idx="7">
                  <c:v>1</c:v>
                </c:pt>
                <c:pt idx="8">
                  <c:v>0</c:v>
                </c:pt>
              </c:numCache>
            </c:numRef>
          </c:val>
          <c:extLst>
            <c:ext xmlns:c16="http://schemas.microsoft.com/office/drawing/2014/chart" uri="{C3380CC4-5D6E-409C-BE32-E72D297353CC}">
              <c16:uniqueId val="{00000000-25ED-6F49-A974-011E53132A94}"/>
            </c:ext>
          </c:extLst>
        </c:ser>
        <c:ser>
          <c:idx val="1"/>
          <c:order val="1"/>
          <c:tx>
            <c:strRef>
              <c:f>'2026-10-04'!$C$226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'2026-10-04'!$C$227:$C$235</c:f>
              <c:numCache>
                <c:formatCode>#,##0</c:formatCode>
                <c:ptCount val="9"/>
                <c:pt idx="0">
                  <c:v>1</c:v>
                </c:pt>
                <c:pt idx="1">
                  <c:v>0</c:v>
                </c:pt>
                <c:pt idx="2">
                  <c:v>2</c:v>
                </c:pt>
                <c:pt idx="3">
                  <c:v>4</c:v>
                </c:pt>
                <c:pt idx="4">
                  <c:v>4</c:v>
                </c:pt>
                <c:pt idx="5">
                  <c:v>5</c:v>
                </c:pt>
                <c:pt idx="6">
                  <c:v>5</c:v>
                </c:pt>
                <c:pt idx="7">
                  <c:v>3</c:v>
                </c:pt>
                <c:pt idx="8">
                  <c:v>3</c:v>
                </c:pt>
              </c:numCache>
            </c:numRef>
          </c:val>
          <c:extLst>
            <c:ext xmlns:c16="http://schemas.microsoft.com/office/drawing/2014/chart" uri="{C3380CC4-5D6E-409C-BE32-E72D297353CC}">
              <c16:uniqueId val="{00000001-25ED-6F49-A974-011E53132A94}"/>
            </c:ext>
          </c:extLst>
        </c:ser>
        <c:ser>
          <c:idx val="2"/>
          <c:order val="2"/>
          <c:tx>
            <c:strRef>
              <c:f>'2026-10-04'!$D$226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'2026-10-04'!$D$227:$D$235</c:f>
              <c:numCache>
                <c:formatCode>#,##0</c:formatCode>
                <c:ptCount val="9"/>
                <c:pt idx="0">
                  <c:v>0</c:v>
                </c:pt>
                <c:pt idx="1">
                  <c:v>0</c:v>
                </c:pt>
                <c:pt idx="2">
                  <c:v>0</c:v>
                </c:pt>
                <c:pt idx="3">
                  <c:v>0</c:v>
                </c:pt>
                <c:pt idx="4">
                  <c:v>0</c:v>
                </c:pt>
                <c:pt idx="5">
                  <c:v>1</c:v>
                </c:pt>
                <c:pt idx="6">
                  <c:v>0</c:v>
                </c:pt>
                <c:pt idx="7">
                  <c:v>0</c:v>
                </c:pt>
                <c:pt idx="8">
                  <c:v>0</c:v>
                </c:pt>
              </c:numCache>
            </c:numRef>
          </c:val>
          <c:extLst>
            <c:ext xmlns:c16="http://schemas.microsoft.com/office/drawing/2014/chart" uri="{C3380CC4-5D6E-409C-BE32-E72D297353CC}">
              <c16:uniqueId val="{00000002-25ED-6F49-A974-011E53132A94}"/>
            </c:ext>
          </c:extLst>
        </c:ser>
        <c:ser>
          <c:idx val="3"/>
          <c:order val="3"/>
          <c:tx>
            <c:strRef>
              <c:f>'2026-10-04'!$E$226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'2026-10-04'!$E$227:$E$235</c:f>
              <c:numCache>
                <c:formatCode>#,##0</c:formatCode>
                <c:ptCount val="9"/>
                <c:pt idx="0">
                  <c:v>0</c:v>
                </c:pt>
                <c:pt idx="1">
                  <c:v>0</c:v>
                </c:pt>
                <c:pt idx="2">
                  <c:v>0</c:v>
                </c:pt>
                <c:pt idx="3">
                  <c:v>1</c:v>
                </c:pt>
                <c:pt idx="4">
                  <c:v>0</c:v>
                </c:pt>
                <c:pt idx="5">
                  <c:v>2</c:v>
                </c:pt>
                <c:pt idx="6">
                  <c:v>1</c:v>
                </c:pt>
                <c:pt idx="7">
                  <c:v>4</c:v>
                </c:pt>
                <c:pt idx="8">
                  <c:v>1</c:v>
                </c:pt>
              </c:numCache>
            </c:numRef>
          </c:val>
          <c:extLst>
            <c:ext xmlns:c16="http://schemas.microsoft.com/office/drawing/2014/chart" uri="{C3380CC4-5D6E-409C-BE32-E72D297353CC}">
              <c16:uniqueId val="{00000003-25ED-6F49-A974-011E53132A94}"/>
            </c:ext>
          </c:extLst>
        </c:ser>
        <c:ser>
          <c:idx val="4"/>
          <c:order val="4"/>
          <c:tx>
            <c:strRef>
              <c:f>'2026-10-04'!$F$226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'2026-10-04'!$F$227:$F$235</c:f>
              <c:numCache>
                <c:formatCode>#,##0</c:formatCode>
                <c:ptCount val="9"/>
                <c:pt idx="0">
                  <c:v>1</c:v>
                </c:pt>
                <c:pt idx="1">
                  <c:v>0</c:v>
                </c:pt>
                <c:pt idx="2">
                  <c:v>4</c:v>
                </c:pt>
                <c:pt idx="3">
                  <c:v>3</c:v>
                </c:pt>
                <c:pt idx="4">
                  <c:v>5</c:v>
                </c:pt>
                <c:pt idx="5">
                  <c:v>7</c:v>
                </c:pt>
                <c:pt idx="6">
                  <c:v>2</c:v>
                </c:pt>
                <c:pt idx="7">
                  <c:v>7</c:v>
                </c:pt>
                <c:pt idx="8">
                  <c:v>0</c:v>
                </c:pt>
              </c:numCache>
            </c:numRef>
          </c:val>
          <c:extLst>
            <c:ext xmlns:c16="http://schemas.microsoft.com/office/drawing/2014/chart" uri="{C3380CC4-5D6E-409C-BE32-E72D297353CC}">
              <c16:uniqueId val="{00000004-25ED-6F49-A974-011E53132A94}"/>
            </c:ext>
          </c:extLst>
        </c:ser>
        <c:ser>
          <c:idx val="5"/>
          <c:order val="5"/>
          <c:tx>
            <c:strRef>
              <c:f>'2026-10-04'!$G$226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'2026-10-04'!$G$227:$G$235</c:f>
              <c:numCache>
                <c:formatCode>#,##0</c:formatCode>
                <c:ptCount val="9"/>
                <c:pt idx="0">
                  <c:v>0</c:v>
                </c:pt>
                <c:pt idx="1">
                  <c:v>0</c:v>
                </c:pt>
                <c:pt idx="2">
                  <c:v>3</c:v>
                </c:pt>
                <c:pt idx="3">
                  <c:v>1</c:v>
                </c:pt>
                <c:pt idx="4">
                  <c:v>1</c:v>
                </c:pt>
                <c:pt idx="5">
                  <c:v>1</c:v>
                </c:pt>
                <c:pt idx="6">
                  <c:v>0</c:v>
                </c:pt>
                <c:pt idx="7">
                  <c:v>2</c:v>
                </c:pt>
                <c:pt idx="8">
                  <c:v>1</c:v>
                </c:pt>
              </c:numCache>
            </c:numRef>
          </c:val>
          <c:extLst>
            <c:ext xmlns:c16="http://schemas.microsoft.com/office/drawing/2014/chart" uri="{C3380CC4-5D6E-409C-BE32-E72D297353CC}">
              <c16:uniqueId val="{00000005-25ED-6F49-A974-011E53132A94}"/>
            </c:ext>
          </c:extLst>
        </c:ser>
        <c:ser>
          <c:idx val="6"/>
          <c:order val="6"/>
          <c:tx>
            <c:strRef>
              <c:f>'2026-10-04'!$H$226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'2026-10-04'!$H$227:$H$235</c:f>
              <c:numCache>
                <c:formatCode>#,##0</c:formatCode>
                <c:ptCount val="9"/>
                <c:pt idx="0">
                  <c:v>2</c:v>
                </c:pt>
                <c:pt idx="1">
                  <c:v>7</c:v>
                </c:pt>
                <c:pt idx="2">
                  <c:v>6</c:v>
                </c:pt>
                <c:pt idx="3">
                  <c:v>4</c:v>
                </c:pt>
                <c:pt idx="4">
                  <c:v>12</c:v>
                </c:pt>
                <c:pt idx="5">
                  <c:v>7</c:v>
                </c:pt>
                <c:pt idx="6">
                  <c:v>9</c:v>
                </c:pt>
                <c:pt idx="7">
                  <c:v>9</c:v>
                </c:pt>
                <c:pt idx="8">
                  <c:v>4</c:v>
                </c:pt>
              </c:numCache>
            </c:numRef>
          </c:val>
          <c:extLst>
            <c:ext xmlns:c16="http://schemas.microsoft.com/office/drawing/2014/chart" uri="{C3380CC4-5D6E-409C-BE32-E72D297353CC}">
              <c16:uniqueId val="{00000006-25ED-6F49-A974-011E53132A94}"/>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'2026-10-04'!$B$262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'2026-10-04'!$B$263:$B$272</c:f>
              <c:numCache>
                <c:formatCode>#,##0</c:formatCode>
                <c:ptCount val="10"/>
                <c:pt idx="0">
                  <c:v>2</c:v>
                </c:pt>
                <c:pt idx="1">
                  <c:v>7</c:v>
                </c:pt>
                <c:pt idx="2">
                  <c:v>6</c:v>
                </c:pt>
                <c:pt idx="3">
                  <c:v>4</c:v>
                </c:pt>
                <c:pt idx="4">
                  <c:v>12</c:v>
                </c:pt>
                <c:pt idx="5">
                  <c:v>7</c:v>
                </c:pt>
                <c:pt idx="6">
                  <c:v>9</c:v>
                </c:pt>
                <c:pt idx="7">
                  <c:v>9</c:v>
                </c:pt>
                <c:pt idx="8">
                  <c:v>4</c:v>
                </c:pt>
                <c:pt idx="9">
                  <c:v>0</c:v>
                </c:pt>
              </c:numCache>
            </c:numRef>
          </c:val>
          <c:extLst>
            <c:ext xmlns:c16="http://schemas.microsoft.com/office/drawing/2014/chart" uri="{C3380CC4-5D6E-409C-BE32-E72D297353CC}">
              <c16:uniqueId val="{00000000-DABD-104F-8B51-F25F2A11FB05}"/>
            </c:ext>
          </c:extLst>
        </c:ser>
        <c:ser>
          <c:idx val="1"/>
          <c:order val="1"/>
          <c:tx>
            <c:strRef>
              <c:f>'2026-10-04'!$C$262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'2026-10-04'!$C$263:$C$272</c:f>
              <c:numCache>
                <c:formatCode>#,##0</c:formatCode>
                <c:ptCount val="10"/>
                <c:pt idx="0">
                  <c:v>2</c:v>
                </c:pt>
                <c:pt idx="1">
                  <c:v>0</c:v>
                </c:pt>
                <c:pt idx="2">
                  <c:v>6</c:v>
                </c:pt>
                <c:pt idx="3">
                  <c:v>8</c:v>
                </c:pt>
                <c:pt idx="4">
                  <c:v>9</c:v>
                </c:pt>
                <c:pt idx="5">
                  <c:v>14</c:v>
                </c:pt>
                <c:pt idx="6">
                  <c:v>8</c:v>
                </c:pt>
                <c:pt idx="7">
                  <c:v>14</c:v>
                </c:pt>
                <c:pt idx="8">
                  <c:v>4</c:v>
                </c:pt>
                <c:pt idx="9">
                  <c:v>0</c:v>
                </c:pt>
              </c:numCache>
            </c:numRef>
          </c:val>
          <c:extLst>
            <c:ext xmlns:c16="http://schemas.microsoft.com/office/drawing/2014/chart" uri="{C3380CC4-5D6E-409C-BE32-E72D297353CC}">
              <c16:uniqueId val="{00000001-DABD-104F-8B51-F25F2A11FB05}"/>
            </c:ext>
          </c:extLst>
        </c:ser>
        <c:ser>
          <c:idx val="2"/>
          <c:order val="2"/>
          <c:tx>
            <c:strRef>
              <c:f>'2026-10-04'!$D$262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'2026-10-04'!$D$263:$D$272</c:f>
              <c:numCache>
                <c:formatCode>#,##0</c:formatCode>
                <c:ptCount val="10"/>
                <c:pt idx="0">
                  <c:v>0</c:v>
                </c:pt>
                <c:pt idx="1">
                  <c:v>0</c:v>
                </c:pt>
                <c:pt idx="2">
                  <c:v>5</c:v>
                </c:pt>
                <c:pt idx="3">
                  <c:v>2</c:v>
                </c:pt>
                <c:pt idx="4">
                  <c:v>1</c:v>
                </c:pt>
                <c:pt idx="5">
                  <c:v>4</c:v>
                </c:pt>
                <c:pt idx="6">
                  <c:v>0</c:v>
                </c:pt>
                <c:pt idx="7">
                  <c:v>3</c:v>
                </c:pt>
                <c:pt idx="8">
                  <c:v>1</c:v>
                </c:pt>
                <c:pt idx="9">
                  <c:v>1</c:v>
                </c:pt>
              </c:numCache>
            </c:numRef>
          </c:val>
          <c:extLst>
            <c:ext xmlns:c16="http://schemas.microsoft.com/office/drawing/2014/chart" uri="{C3380CC4-5D6E-409C-BE32-E72D297353CC}">
              <c16:uniqueId val="{00000002-DABD-104F-8B51-F25F2A11FB0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'2026-10-05'!$B$226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'2026-10-05'!$B$227:$B$235</c:f>
              <c:numCache>
                <c:formatCode>#,##0</c:formatCode>
                <c:ptCount val="9"/>
                <c:pt idx="0">
                  <c:v>1</c:v>
                </c:pt>
                <c:pt idx="1">
                  <c:v>0</c:v>
                </c:pt>
                <c:pt idx="2">
                  <c:v>1</c:v>
                </c:pt>
                <c:pt idx="3">
                  <c:v>0</c:v>
                </c:pt>
                <c:pt idx="4">
                  <c:v>1</c:v>
                </c:pt>
                <c:pt idx="5">
                  <c:v>1</c:v>
                </c:pt>
                <c:pt idx="6">
                  <c:v>0</c:v>
                </c:pt>
                <c:pt idx="7">
                  <c:v>1</c:v>
                </c:pt>
                <c:pt idx="8">
                  <c:v>1</c:v>
                </c:pt>
              </c:numCache>
            </c:numRef>
          </c:val>
          <c:extLst>
            <c:ext xmlns:c16="http://schemas.microsoft.com/office/drawing/2014/chart" uri="{C3380CC4-5D6E-409C-BE32-E72D297353CC}">
              <c16:uniqueId val="{00000000-E0B4-9046-9774-21FEEA7E566D}"/>
            </c:ext>
          </c:extLst>
        </c:ser>
        <c:ser>
          <c:idx val="1"/>
          <c:order val="1"/>
          <c:tx>
            <c:strRef>
              <c:f>'2026-10-05'!$C$226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'2026-10-05'!$C$227:$C$235</c:f>
              <c:numCache>
                <c:formatCode>#,##0</c:formatCode>
                <c:ptCount val="9"/>
                <c:pt idx="0">
                  <c:v>0</c:v>
                </c:pt>
                <c:pt idx="1">
                  <c:v>0</c:v>
                </c:pt>
                <c:pt idx="2">
                  <c:v>3</c:v>
                </c:pt>
                <c:pt idx="3">
                  <c:v>3</c:v>
                </c:pt>
                <c:pt idx="4">
                  <c:v>3</c:v>
                </c:pt>
                <c:pt idx="5">
                  <c:v>10</c:v>
                </c:pt>
                <c:pt idx="6">
                  <c:v>3</c:v>
                </c:pt>
                <c:pt idx="7">
                  <c:v>2</c:v>
                </c:pt>
                <c:pt idx="8">
                  <c:v>2</c:v>
                </c:pt>
              </c:numCache>
            </c:numRef>
          </c:val>
          <c:extLst>
            <c:ext xmlns:c16="http://schemas.microsoft.com/office/drawing/2014/chart" uri="{C3380CC4-5D6E-409C-BE32-E72D297353CC}">
              <c16:uniqueId val="{00000001-E0B4-9046-9774-21FEEA7E566D}"/>
            </c:ext>
          </c:extLst>
        </c:ser>
        <c:ser>
          <c:idx val="2"/>
          <c:order val="2"/>
          <c:tx>
            <c:strRef>
              <c:f>'2026-10-05'!$D$226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'2026-10-05'!$D$227:$D$235</c:f>
              <c:numCache>
                <c:formatCode>#,##0</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E0B4-9046-9774-21FEEA7E566D}"/>
            </c:ext>
          </c:extLst>
        </c:ser>
        <c:ser>
          <c:idx val="3"/>
          <c:order val="3"/>
          <c:tx>
            <c:strRef>
              <c:f>'2026-10-05'!$E$226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'2026-10-05'!$E$227:$E$235</c:f>
              <c:numCache>
                <c:formatCode>#,##0</c:formatCode>
                <c:ptCount val="9"/>
                <c:pt idx="0">
                  <c:v>0</c:v>
                </c:pt>
                <c:pt idx="1">
                  <c:v>0</c:v>
                </c:pt>
                <c:pt idx="2">
                  <c:v>0</c:v>
                </c:pt>
                <c:pt idx="3">
                  <c:v>0</c:v>
                </c:pt>
                <c:pt idx="4">
                  <c:v>0</c:v>
                </c:pt>
                <c:pt idx="5">
                  <c:v>3</c:v>
                </c:pt>
                <c:pt idx="6">
                  <c:v>2</c:v>
                </c:pt>
                <c:pt idx="7">
                  <c:v>2</c:v>
                </c:pt>
                <c:pt idx="8">
                  <c:v>2</c:v>
                </c:pt>
              </c:numCache>
            </c:numRef>
          </c:val>
          <c:extLst>
            <c:ext xmlns:c16="http://schemas.microsoft.com/office/drawing/2014/chart" uri="{C3380CC4-5D6E-409C-BE32-E72D297353CC}">
              <c16:uniqueId val="{00000003-E0B4-9046-9774-21FEEA7E566D}"/>
            </c:ext>
          </c:extLst>
        </c:ser>
        <c:ser>
          <c:idx val="4"/>
          <c:order val="4"/>
          <c:tx>
            <c:strRef>
              <c:f>'2026-10-05'!$F$226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'2026-10-05'!$F$227:$F$235</c:f>
              <c:numCache>
                <c:formatCode>#,##0</c:formatCode>
                <c:ptCount val="9"/>
                <c:pt idx="0">
                  <c:v>1</c:v>
                </c:pt>
                <c:pt idx="1">
                  <c:v>1</c:v>
                </c:pt>
                <c:pt idx="2">
                  <c:v>2</c:v>
                </c:pt>
                <c:pt idx="3">
                  <c:v>3</c:v>
                </c:pt>
                <c:pt idx="4">
                  <c:v>10</c:v>
                </c:pt>
                <c:pt idx="5">
                  <c:v>4</c:v>
                </c:pt>
                <c:pt idx="6">
                  <c:v>3</c:v>
                </c:pt>
                <c:pt idx="7">
                  <c:v>5</c:v>
                </c:pt>
                <c:pt idx="8">
                  <c:v>0</c:v>
                </c:pt>
              </c:numCache>
            </c:numRef>
          </c:val>
          <c:extLst>
            <c:ext xmlns:c16="http://schemas.microsoft.com/office/drawing/2014/chart" uri="{C3380CC4-5D6E-409C-BE32-E72D297353CC}">
              <c16:uniqueId val="{00000004-E0B4-9046-9774-21FEEA7E566D}"/>
            </c:ext>
          </c:extLst>
        </c:ser>
        <c:ser>
          <c:idx val="5"/>
          <c:order val="5"/>
          <c:tx>
            <c:strRef>
              <c:f>'2026-10-05'!$G$226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'2026-10-05'!$G$227:$G$235</c:f>
              <c:numCache>
                <c:formatCode>#,##0</c:formatCode>
                <c:ptCount val="9"/>
                <c:pt idx="0">
                  <c:v>0</c:v>
                </c:pt>
                <c:pt idx="1">
                  <c:v>0</c:v>
                </c:pt>
                <c:pt idx="2">
                  <c:v>2</c:v>
                </c:pt>
                <c:pt idx="3">
                  <c:v>1</c:v>
                </c:pt>
                <c:pt idx="4">
                  <c:v>1</c:v>
                </c:pt>
                <c:pt idx="5">
                  <c:v>1</c:v>
                </c:pt>
                <c:pt idx="6">
                  <c:v>0</c:v>
                </c:pt>
                <c:pt idx="7">
                  <c:v>1</c:v>
                </c:pt>
                <c:pt idx="8">
                  <c:v>1</c:v>
                </c:pt>
              </c:numCache>
            </c:numRef>
          </c:val>
          <c:extLst>
            <c:ext xmlns:c16="http://schemas.microsoft.com/office/drawing/2014/chart" uri="{C3380CC4-5D6E-409C-BE32-E72D297353CC}">
              <c16:uniqueId val="{00000005-E0B4-9046-9774-21FEEA7E566D}"/>
            </c:ext>
          </c:extLst>
        </c:ser>
        <c:ser>
          <c:idx val="6"/>
          <c:order val="6"/>
          <c:tx>
            <c:strRef>
              <c:f>'2026-10-05'!$H$226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'2026-10-05'!$H$227:$H$235</c:f>
              <c:numCache>
                <c:formatCode>#,##0</c:formatCode>
                <c:ptCount val="9"/>
                <c:pt idx="0">
                  <c:v>2</c:v>
                </c:pt>
                <c:pt idx="1">
                  <c:v>8</c:v>
                </c:pt>
                <c:pt idx="2">
                  <c:v>9</c:v>
                </c:pt>
                <c:pt idx="3">
                  <c:v>4</c:v>
                </c:pt>
                <c:pt idx="4">
                  <c:v>8</c:v>
                </c:pt>
                <c:pt idx="5">
                  <c:v>7</c:v>
                </c:pt>
                <c:pt idx="6">
                  <c:v>9</c:v>
                </c:pt>
                <c:pt idx="7">
                  <c:v>7</c:v>
                </c:pt>
                <c:pt idx="8">
                  <c:v>4</c:v>
                </c:pt>
              </c:numCache>
            </c:numRef>
          </c:val>
          <c:extLst>
            <c:ext xmlns:c16="http://schemas.microsoft.com/office/drawing/2014/chart" uri="{C3380CC4-5D6E-409C-BE32-E72D297353CC}">
              <c16:uniqueId val="{00000006-E0B4-9046-9774-21FEEA7E566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'2026-10-05'!$B$262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'2026-10-05'!$B$263:$B$272</c:f>
              <c:numCache>
                <c:formatCode>#,##0</c:formatCode>
                <c:ptCount val="10"/>
                <c:pt idx="0">
                  <c:v>2</c:v>
                </c:pt>
                <c:pt idx="1">
                  <c:v>8</c:v>
                </c:pt>
                <c:pt idx="2">
                  <c:v>9</c:v>
                </c:pt>
                <c:pt idx="3">
                  <c:v>4</c:v>
                </c:pt>
                <c:pt idx="4">
                  <c:v>8</c:v>
                </c:pt>
                <c:pt idx="5">
                  <c:v>7</c:v>
                </c:pt>
                <c:pt idx="6">
                  <c:v>9</c:v>
                </c:pt>
                <c:pt idx="7">
                  <c:v>7</c:v>
                </c:pt>
                <c:pt idx="8">
                  <c:v>4</c:v>
                </c:pt>
                <c:pt idx="9">
                  <c:v>3</c:v>
                </c:pt>
              </c:numCache>
            </c:numRef>
          </c:val>
          <c:extLst>
            <c:ext xmlns:c16="http://schemas.microsoft.com/office/drawing/2014/chart" uri="{C3380CC4-5D6E-409C-BE32-E72D297353CC}">
              <c16:uniqueId val="{00000000-D8D7-9F41-8109-ACBB8B137B05}"/>
            </c:ext>
          </c:extLst>
        </c:ser>
        <c:ser>
          <c:idx val="1"/>
          <c:order val="1"/>
          <c:tx>
            <c:strRef>
              <c:f>'2026-10-05'!$C$262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'2026-10-05'!$C$263:$C$272</c:f>
              <c:numCache>
                <c:formatCode>#,##0</c:formatCode>
                <c:ptCount val="10"/>
                <c:pt idx="0">
                  <c:v>1</c:v>
                </c:pt>
                <c:pt idx="1">
                  <c:v>1</c:v>
                </c:pt>
                <c:pt idx="2">
                  <c:v>5</c:v>
                </c:pt>
                <c:pt idx="3">
                  <c:v>6</c:v>
                </c:pt>
                <c:pt idx="4">
                  <c:v>13</c:v>
                </c:pt>
                <c:pt idx="5">
                  <c:v>17</c:v>
                </c:pt>
                <c:pt idx="6">
                  <c:v>8</c:v>
                </c:pt>
                <c:pt idx="7">
                  <c:v>9</c:v>
                </c:pt>
                <c:pt idx="8">
                  <c:v>4</c:v>
                </c:pt>
                <c:pt idx="9">
                  <c:v>0</c:v>
                </c:pt>
              </c:numCache>
            </c:numRef>
          </c:val>
          <c:extLst>
            <c:ext xmlns:c16="http://schemas.microsoft.com/office/drawing/2014/chart" uri="{C3380CC4-5D6E-409C-BE32-E72D297353CC}">
              <c16:uniqueId val="{00000001-D8D7-9F41-8109-ACBB8B137B05}"/>
            </c:ext>
          </c:extLst>
        </c:ser>
        <c:ser>
          <c:idx val="2"/>
          <c:order val="2"/>
          <c:tx>
            <c:strRef>
              <c:f>'2026-10-05'!$D$262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'2026-10-05'!$A$263:$A$272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'2026-10-05'!$D$263:$D$272</c:f>
              <c:numCache>
                <c:formatCode>#,##0</c:formatCode>
                <c:ptCount val="10"/>
                <c:pt idx="0">
                  <c:v>1</c:v>
                </c:pt>
                <c:pt idx="1">
                  <c:v>0</c:v>
                </c:pt>
                <c:pt idx="2">
                  <c:v>3</c:v>
                </c:pt>
                <c:pt idx="3">
                  <c:v>1</c:v>
                </c:pt>
                <c:pt idx="4">
                  <c:v>2</c:v>
                </c:pt>
                <c:pt idx="5">
                  <c:v>2</c:v>
                </c:pt>
                <c:pt idx="6">
                  <c:v>0</c:v>
                </c:pt>
                <c:pt idx="7">
                  <c:v>2</c:v>
                </c:pt>
                <c:pt idx="8">
                  <c:v>3</c:v>
                </c:pt>
                <c:pt idx="9">
                  <c:v>2</c:v>
                </c:pt>
              </c:numCache>
            </c:numRef>
          </c:val>
          <c:extLst>
            <c:ext xmlns:c16="http://schemas.microsoft.com/office/drawing/2014/chart" uri="{C3380CC4-5D6E-409C-BE32-E72D297353CC}">
              <c16:uniqueId val="{00000002-D8D7-9F41-8109-ACBB8B137B05}"/>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'2026-10-06'!$B$226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'2026-10-06'!$B$227:$B$235</c:f>
              <c:numCache>
                <c:formatCode>#,##0</c:formatCode>
                <c:ptCount val="9"/>
                <c:pt idx="0">
                  <c:v>0</c:v>
                </c:pt>
                <c:pt idx="1">
                  <c:v>0</c:v>
                </c:pt>
                <c:pt idx="2">
                  <c:v>1</c:v>
                </c:pt>
                <c:pt idx="3">
                  <c:v>0</c:v>
                </c:pt>
                <c:pt idx="4">
                  <c:v>0</c:v>
                </c:pt>
                <c:pt idx="5">
                  <c:v>1</c:v>
                </c:pt>
                <c:pt idx="6">
                  <c:v>1</c:v>
                </c:pt>
                <c:pt idx="7">
                  <c:v>1</c:v>
                </c:pt>
                <c:pt idx="8">
                  <c:v>0</c:v>
                </c:pt>
              </c:numCache>
            </c:numRef>
          </c:val>
          <c:extLst>
            <c:ext xmlns:c16="http://schemas.microsoft.com/office/drawing/2014/chart" uri="{C3380CC4-5D6E-409C-BE32-E72D297353CC}">
              <c16:uniqueId val="{00000000-72F6-744A-AA70-B2C66C8098DD}"/>
            </c:ext>
          </c:extLst>
        </c:ser>
        <c:ser>
          <c:idx val="1"/>
          <c:order val="1"/>
          <c:tx>
            <c:strRef>
              <c:f>'2026-10-06'!$C$226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'2026-10-06'!$C$227:$C$235</c:f>
              <c:numCache>
                <c:formatCode>#,##0</c:formatCode>
                <c:ptCount val="9"/>
                <c:pt idx="0">
                  <c:v>1</c:v>
                </c:pt>
                <c:pt idx="1">
                  <c:v>1</c:v>
                </c:pt>
                <c:pt idx="2">
                  <c:v>2</c:v>
                </c:pt>
                <c:pt idx="3">
                  <c:v>5</c:v>
                </c:pt>
                <c:pt idx="4">
                  <c:v>4</c:v>
                </c:pt>
                <c:pt idx="5">
                  <c:v>4</c:v>
                </c:pt>
                <c:pt idx="6">
                  <c:v>5</c:v>
                </c:pt>
                <c:pt idx="7">
                  <c:v>1</c:v>
                </c:pt>
                <c:pt idx="8">
                  <c:v>1</c:v>
                </c:pt>
              </c:numCache>
            </c:numRef>
          </c:val>
          <c:extLst>
            <c:ext xmlns:c16="http://schemas.microsoft.com/office/drawing/2014/chart" uri="{C3380CC4-5D6E-409C-BE32-E72D297353CC}">
              <c16:uniqueId val="{00000001-72F6-744A-AA70-B2C66C8098DD}"/>
            </c:ext>
          </c:extLst>
        </c:ser>
        <c:ser>
          <c:idx val="2"/>
          <c:order val="2"/>
          <c:tx>
            <c:strRef>
              <c:f>'2026-10-06'!$D$226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72F6-744A-AA70-B2C66C8098DD}"/>
            </c:ext>
          </c:extLst>
        </c:ser>
        <c:ser>
          <c:idx val="3"/>
          <c:order val="3"/>
          <c:tx>
            <c:strRef>
              <c:f>'2026-10-06'!$E$226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'2026-10-06'!$E$227:$E$235</c:f>
              <c:numCache>
                <c:formatCode>#,##0</c:formatCode>
                <c:ptCount val="9"/>
                <c:pt idx="0">
                  <c:v>0</c:v>
                </c:pt>
                <c:pt idx="1">
                  <c:v>0</c:v>
                </c:pt>
                <c:pt idx="2">
                  <c:v>1</c:v>
                </c:pt>
                <c:pt idx="3">
                  <c:v>0</c:v>
                </c:pt>
                <c:pt idx="4">
                  <c:v>2</c:v>
                </c:pt>
                <c:pt idx="5">
                  <c:v>2</c:v>
                </c:pt>
                <c:pt idx="6">
                  <c:v>1</c:v>
                </c:pt>
                <c:pt idx="7">
                  <c:v>3</c:v>
                </c:pt>
                <c:pt idx="8">
                  <c:v>1</c:v>
                </c:pt>
              </c:numCache>
            </c:numRef>
          </c:val>
          <c:extLst>
            <c:ext xmlns:c16="http://schemas.microsoft.com/office/drawing/2014/chart" uri="{C3380CC4-5D6E-409C-BE32-E72D297353CC}">
              <c16:uniqueId val="{00000003-72F6-744A-AA70-B2C66C8098DD}"/>
            </c:ext>
          </c:extLst>
        </c:ser>
        <c:ser>
          <c:idx val="4"/>
          <c:order val="4"/>
          <c:tx>
            <c:strRef>
              <c:f>'2026-10-06'!$F$226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'2026-10-06'!$F$227:$F$235</c:f>
              <c:numCache>
                <c:formatCode>#,##0</c:formatCode>
                <c:ptCount val="9"/>
                <c:pt idx="0">
                  <c:v>0</c:v>
                </c:pt>
                <c:pt idx="1">
                  <c:v>1</c:v>
                </c:pt>
                <c:pt idx="2">
                  <c:v>3</c:v>
                </c:pt>
                <c:pt idx="3">
                  <c:v>2</c:v>
                </c:pt>
                <c:pt idx="4">
                  <c:v>5</c:v>
                </c:pt>
                <c:pt idx="5">
                  <c:v>6</c:v>
                </c:pt>
                <c:pt idx="6">
                  <c:v>2</c:v>
                </c:pt>
                <c:pt idx="7">
                  <c:v>3</c:v>
                </c:pt>
                <c:pt idx="8">
                  <c:v>1</c:v>
                </c:pt>
              </c:numCache>
            </c:numRef>
          </c:val>
          <c:extLst>
            <c:ext xmlns:c16="http://schemas.microsoft.com/office/drawing/2014/chart" uri="{C3380CC4-5D6E-409C-BE32-E72D297353CC}">
              <c16:uniqueId val="{00000004-72F6-744A-AA70-B2C66C8098DD}"/>
            </c:ext>
          </c:extLst>
        </c:ser>
        <c:ser>
          <c:idx val="5"/>
          <c:order val="5"/>
          <c:tx>
            <c:strRef>
              <c:f>'2026-10-06'!$G$226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'2026-10-06'!$G$227:$G$235</c:f>
              <c:numCache>
                <c:formatCode>#,##0</c:formatCode>
                <c:ptCount val="9"/>
                <c:pt idx="0">
                  <c:v>0</c:v>
                </c:pt>
                <c:pt idx="1">
                  <c:v>0</c:v>
                </c:pt>
                <c:pt idx="2">
                  <c:v>3</c:v>
                </c:pt>
                <c:pt idx="3">
                  <c:v>0</c:v>
                </c:pt>
                <c:pt idx="4">
                  <c:v>2</c:v>
                </c:pt>
                <c:pt idx="5">
                  <c:v>1</c:v>
                </c:pt>
                <c:pt idx="6">
                  <c:v>0</c:v>
                </c:pt>
                <c:pt idx="7">
                  <c:v>0</c:v>
                </c:pt>
                <c:pt idx="8">
                  <c:v>2</c:v>
                </c:pt>
              </c:numCache>
            </c:numRef>
          </c:val>
          <c:extLst>
            <c:ext xmlns:c16="http://schemas.microsoft.com/office/drawing/2014/chart" uri="{C3380CC4-5D6E-409C-BE32-E72D297353CC}">
              <c16:uniqueId val="{00000005-72F6-744A-AA70-B2C66C8098DD}"/>
            </c:ext>
          </c:extLst>
        </c:ser>
        <c:ser>
          <c:idx val="6"/>
          <c:order val="6"/>
          <c:tx>
            <c:strRef>
              <c:f>'2026-10-06'!$H$226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'2026-10-06'!$H$227:$H$235</c:f>
              <c:numCache>
                <c:formatCode>#,##0</c:formatCode>
                <c:ptCount val="9"/>
                <c:pt idx="0">
                  <c:v>1</c:v>
                </c:pt>
                <c:pt idx="1">
                  <c:v>7</c:v>
                </c:pt>
                <c:pt idx="2">
                  <c:v>9</c:v>
                </c:pt>
                <c:pt idx="3">
                  <c:v>4</c:v>
                </c:pt>
                <c:pt idx="4">
                  <c:v>6</c:v>
                </c:pt>
                <c:pt idx="5">
                  <c:v>9</c:v>
                </c:pt>
                <c:pt idx="6">
                  <c:v>9</c:v>
                </c:pt>
                <c:pt idx="7">
                  <c:v>5</c:v>
                </c:pt>
                <c:pt idx="8">
                  <c:v>3</c:v>
                </c:pt>
              </c:numCache>
            </c:numRef>
          </c:val>
          <c:extLst>
            <c:ext xmlns:c16="http://schemas.microsoft.com/office/drawing/2014/chart" uri="{C3380CC4-5D6E-409C-BE32-E72D297353CC}">
              <c16:uniqueId val="{00000006-72F6-744A-AA70-B2C66C8098DD}"/>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'2026-10-06'!$B$262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'2026-10-06'!$B$263:$B$272</c:f>
              <c:numCache>
                <c:formatCode>#,##0</c:formatCode>
                <c:ptCount val="10"/>
                <c:pt idx="0">
                  <c:v>1</c:v>
                </c:pt>
                <c:pt idx="1">
                  <c:v>7</c:v>
                </c:pt>
                <c:pt idx="2">
                  <c:v>9</c:v>
                </c:pt>
                <c:pt idx="3">
                  <c:v>4</c:v>
                </c:pt>
                <c:pt idx="4">
                  <c:v>6</c:v>
                </c:pt>
                <c:pt idx="5">
                  <c:v>9</c:v>
                </c:pt>
                <c:pt idx="6">
                  <c:v>9</c:v>
                </c:pt>
                <c:pt idx="7">
                  <c:v>5</c:v>
                </c:pt>
                <c:pt idx="8">
                  <c:v>3</c:v>
                </c:pt>
                <c:pt idx="9">
                  <c:v>0</c:v>
                </c:pt>
              </c:numCache>
            </c:numRef>
          </c:val>
          <c:extLst>
            <c:ext xmlns:c16="http://schemas.microsoft.com/office/drawing/2014/chart" uri="{C3380CC4-5D6E-409C-BE32-E72D297353CC}">
              <c16:uniqueId val="{00000000-47DB-5340-BAB8-28541167DC29}"/>
            </c:ext>
          </c:extLst>
        </c:ser>
        <c:ser>
          <c:idx val="1"/>
          <c:order val="1"/>
          <c:tx>
            <c:strRef>
              <c:f>'2026-10-06'!$C$262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'2026-10-06'!$C$263:$C$272</c:f>
              <c:numCache>
                <c:formatCode>#,##0</c:formatCode>
                <c:ptCount val="10"/>
                <c:pt idx="0">
                  <c:v>1</c:v>
                </c:pt>
                <c:pt idx="1">
                  <c:v>2</c:v>
                </c:pt>
                <c:pt idx="2">
                  <c:v>6</c:v>
                </c:pt>
                <c:pt idx="3">
                  <c:v>7</c:v>
                </c:pt>
                <c:pt idx="4">
                  <c:v>11</c:v>
                </c:pt>
                <c:pt idx="5">
                  <c:v>12</c:v>
                </c:pt>
                <c:pt idx="6">
                  <c:v>8</c:v>
                </c:pt>
                <c:pt idx="7">
                  <c:v>7</c:v>
                </c:pt>
                <c:pt idx="8">
                  <c:v>3</c:v>
                </c:pt>
                <c:pt idx="9">
                  <c:v>0</c:v>
                </c:pt>
              </c:numCache>
            </c:numRef>
          </c:val>
          <c:extLst>
            <c:ext xmlns:c16="http://schemas.microsoft.com/office/drawing/2014/chart" uri="{C3380CC4-5D6E-409C-BE32-E72D297353CC}">
              <c16:uniqueId val="{00000001-47DB-5340-BAB8-28541167DC29}"/>
            </c:ext>
          </c:extLst>
        </c:ser>
        <c:ser>
          <c:idx val="2"/>
          <c:order val="2"/>
          <c:tx>
            <c:strRef>
              <c:f>'2026-10-06'!$D$262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'2026-10-06'!$A$263:$A$272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'2026-10-06'!$D$263:$D$272</c:f>
              <c:numCache>
                <c:formatCode>#,##0</c:formatCode>
                <c:ptCount val="10"/>
                <c:pt idx="0">
                  <c:v>0</c:v>
                </c:pt>
                <c:pt idx="1">
                  <c:v>0</c:v>
                </c:pt>
                <c:pt idx="2">
                  <c:v>4</c:v>
                </c:pt>
                <c:pt idx="3">
                  <c:v>1</c:v>
                </c:pt>
                <c:pt idx="4">
                  <c:v>2</c:v>
                </c:pt>
                <c:pt idx="5">
                  <c:v>2</c:v>
                </c:pt>
                <c:pt idx="6">
                  <c:v>1</c:v>
                </c:pt>
                <c:pt idx="7">
                  <c:v>1</c:v>
                </c:pt>
                <c:pt idx="8">
                  <c:v>2</c:v>
                </c:pt>
                <c:pt idx="9">
                  <c:v>0</c:v>
                </c:pt>
              </c:numCache>
            </c:numRef>
          </c:val>
          <c:extLst>
            <c:ext xmlns:c16="http://schemas.microsoft.com/office/drawing/2014/chart" uri="{C3380CC4-5D6E-409C-BE32-E72D297353CC}">
              <c16:uniqueId val="{00000002-47DB-5340-BAB8-28541167DC2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'2026-10-07'!$B$226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'2026-10-07'!$B$227:$B$235</c:f>
              <c:numCache>
                <c:formatCode>#,##0</c:formatCode>
                <c:ptCount val="9"/>
                <c:pt idx="0">
                  <c:v>0</c:v>
                </c:pt>
                <c:pt idx="1">
                  <c:v>0</c:v>
                </c:pt>
                <c:pt idx="2">
                  <c:v>1</c:v>
                </c:pt>
                <c:pt idx="3">
                  <c:v>0</c:v>
                </c:pt>
                <c:pt idx="4">
                  <c:v>0</c:v>
                </c:pt>
                <c:pt idx="5">
                  <c:v>2</c:v>
                </c:pt>
                <c:pt idx="6">
                  <c:v>0</c:v>
                </c:pt>
                <c:pt idx="7">
                  <c:v>1</c:v>
                </c:pt>
                <c:pt idx="8">
                  <c:v>1</c:v>
                </c:pt>
              </c:numCache>
            </c:numRef>
          </c:val>
          <c:extLst>
            <c:ext xmlns:c16="http://schemas.microsoft.com/office/drawing/2014/chart" uri="{C3380CC4-5D6E-409C-BE32-E72D297353CC}">
              <c16:uniqueId val="{00000000-C2C1-9D42-BC49-67FD453C3F59}"/>
            </c:ext>
          </c:extLst>
        </c:ser>
        <c:ser>
          <c:idx val="1"/>
          <c:order val="1"/>
          <c:tx>
            <c:strRef>
              <c:f>'2026-10-07'!$C$226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'2026-10-07'!$C$227:$C$235</c:f>
              <c:numCache>
                <c:formatCode>#,##0</c:formatCode>
                <c:ptCount val="9"/>
                <c:pt idx="0">
                  <c:v>0</c:v>
                </c:pt>
                <c:pt idx="1">
                  <c:v>0</c:v>
                </c:pt>
                <c:pt idx="2">
                  <c:v>1</c:v>
                </c:pt>
                <c:pt idx="3">
                  <c:v>4</c:v>
                </c:pt>
                <c:pt idx="4">
                  <c:v>5</c:v>
                </c:pt>
                <c:pt idx="5">
                  <c:v>5</c:v>
                </c:pt>
                <c:pt idx="6">
                  <c:v>4</c:v>
                </c:pt>
                <c:pt idx="7">
                  <c:v>2</c:v>
                </c:pt>
                <c:pt idx="8">
                  <c:v>3</c:v>
                </c:pt>
              </c:numCache>
            </c:numRef>
          </c:val>
          <c:extLst>
            <c:ext xmlns:c16="http://schemas.microsoft.com/office/drawing/2014/chart" uri="{C3380CC4-5D6E-409C-BE32-E72D297353CC}">
              <c16:uniqueId val="{00000001-C2C1-9D42-BC49-67FD453C3F59}"/>
            </c:ext>
          </c:extLst>
        </c:ser>
        <c:ser>
          <c:idx val="2"/>
          <c:order val="2"/>
          <c:tx>
            <c:strRef>
              <c:f>'2026-10-07'!$D$226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'2026-10-07'!$D$227:$D$235</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C2C1-9D42-BC49-67FD453C3F59}"/>
            </c:ext>
          </c:extLst>
        </c:ser>
        <c:ser>
          <c:idx val="3"/>
          <c:order val="3"/>
          <c:tx>
            <c:strRef>
              <c:f>'2026-10-07'!$E$226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'2026-10-07'!$E$227:$E$235</c:f>
              <c:numCache>
                <c:formatCode>#,##0</c:formatCode>
                <c:ptCount val="9"/>
                <c:pt idx="0">
                  <c:v>1</c:v>
                </c:pt>
                <c:pt idx="1">
                  <c:v>0</c:v>
                </c:pt>
                <c:pt idx="2">
                  <c:v>1</c:v>
                </c:pt>
                <c:pt idx="3">
                  <c:v>0</c:v>
                </c:pt>
                <c:pt idx="4">
                  <c:v>0</c:v>
                </c:pt>
                <c:pt idx="5">
                  <c:v>2</c:v>
                </c:pt>
                <c:pt idx="6">
                  <c:v>2</c:v>
                </c:pt>
                <c:pt idx="7">
                  <c:v>2</c:v>
                </c:pt>
                <c:pt idx="8">
                  <c:v>0</c:v>
                </c:pt>
              </c:numCache>
            </c:numRef>
          </c:val>
          <c:extLst>
            <c:ext xmlns:c16="http://schemas.microsoft.com/office/drawing/2014/chart" uri="{C3380CC4-5D6E-409C-BE32-E72D297353CC}">
              <c16:uniqueId val="{00000003-C2C1-9D42-BC49-67FD453C3F59}"/>
            </c:ext>
          </c:extLst>
        </c:ser>
        <c:ser>
          <c:idx val="4"/>
          <c:order val="4"/>
          <c:tx>
            <c:strRef>
              <c:f>'2026-10-07'!$F$226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'2026-10-07'!$F$227:$F$235</c:f>
              <c:numCache>
                <c:formatCode>#,##0</c:formatCode>
                <c:ptCount val="9"/>
                <c:pt idx="0">
                  <c:v>0</c:v>
                </c:pt>
                <c:pt idx="1">
                  <c:v>2</c:v>
                </c:pt>
                <c:pt idx="2">
                  <c:v>3</c:v>
                </c:pt>
                <c:pt idx="3">
                  <c:v>2</c:v>
                </c:pt>
                <c:pt idx="4">
                  <c:v>5</c:v>
                </c:pt>
                <c:pt idx="5">
                  <c:v>4</c:v>
                </c:pt>
                <c:pt idx="6">
                  <c:v>4</c:v>
                </c:pt>
                <c:pt idx="7">
                  <c:v>2</c:v>
                </c:pt>
                <c:pt idx="8">
                  <c:v>0</c:v>
                </c:pt>
              </c:numCache>
            </c:numRef>
          </c:val>
          <c:extLst>
            <c:ext xmlns:c16="http://schemas.microsoft.com/office/drawing/2014/chart" uri="{C3380CC4-5D6E-409C-BE32-E72D297353CC}">
              <c16:uniqueId val="{00000004-C2C1-9D42-BC49-67FD453C3F59}"/>
            </c:ext>
          </c:extLst>
        </c:ser>
        <c:ser>
          <c:idx val="5"/>
          <c:order val="5"/>
          <c:tx>
            <c:strRef>
              <c:f>'2026-10-07'!$G$226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'2026-10-07'!$G$227:$G$235</c:f>
              <c:numCache>
                <c:formatCode>#,##0</c:formatCode>
                <c:ptCount val="9"/>
                <c:pt idx="0">
                  <c:v>0</c:v>
                </c:pt>
                <c:pt idx="1">
                  <c:v>0</c:v>
                </c:pt>
                <c:pt idx="2">
                  <c:v>1</c:v>
                </c:pt>
                <c:pt idx="3">
                  <c:v>1</c:v>
                </c:pt>
                <c:pt idx="4">
                  <c:v>2</c:v>
                </c:pt>
                <c:pt idx="5">
                  <c:v>1</c:v>
                </c:pt>
                <c:pt idx="6">
                  <c:v>0</c:v>
                </c:pt>
                <c:pt idx="7">
                  <c:v>1</c:v>
                </c:pt>
                <c:pt idx="8">
                  <c:v>1</c:v>
                </c:pt>
              </c:numCache>
            </c:numRef>
          </c:val>
          <c:extLst>
            <c:ext xmlns:c16="http://schemas.microsoft.com/office/drawing/2014/chart" uri="{C3380CC4-5D6E-409C-BE32-E72D297353CC}">
              <c16:uniqueId val="{00000005-C2C1-9D42-BC49-67FD453C3F59}"/>
            </c:ext>
          </c:extLst>
        </c:ser>
        <c:ser>
          <c:idx val="6"/>
          <c:order val="6"/>
          <c:tx>
            <c:strRef>
              <c:f>'2026-10-07'!$H$226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'2026-10-07'!$H$227:$H$235</c:f>
              <c:numCache>
                <c:formatCode>#,##0</c:formatCode>
                <c:ptCount val="9"/>
                <c:pt idx="0">
                  <c:v>1</c:v>
                </c:pt>
                <c:pt idx="1">
                  <c:v>8</c:v>
                </c:pt>
                <c:pt idx="2">
                  <c:v>6</c:v>
                </c:pt>
                <c:pt idx="3">
                  <c:v>4</c:v>
                </c:pt>
                <c:pt idx="4">
                  <c:v>7</c:v>
                </c:pt>
                <c:pt idx="5">
                  <c:v>7</c:v>
                </c:pt>
                <c:pt idx="6">
                  <c:v>10</c:v>
                </c:pt>
                <c:pt idx="7">
                  <c:v>9</c:v>
                </c:pt>
                <c:pt idx="8">
                  <c:v>3</c:v>
                </c:pt>
              </c:numCache>
            </c:numRef>
          </c:val>
          <c:extLst>
            <c:ext xmlns:c16="http://schemas.microsoft.com/office/drawing/2014/chart" uri="{C3380CC4-5D6E-409C-BE32-E72D297353CC}">
              <c16:uniqueId val="{00000006-C2C1-9D42-BC49-67FD453C3F59}"/>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'2026-10-07'!$B$262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'2026-10-07'!$B$263:$B$272</c:f>
              <c:numCache>
                <c:formatCode>#,##0</c:formatCode>
                <c:ptCount val="10"/>
                <c:pt idx="0">
                  <c:v>1</c:v>
                </c:pt>
                <c:pt idx="1">
                  <c:v>8</c:v>
                </c:pt>
                <c:pt idx="2">
                  <c:v>6</c:v>
                </c:pt>
                <c:pt idx="3">
                  <c:v>4</c:v>
                </c:pt>
                <c:pt idx="4">
                  <c:v>7</c:v>
                </c:pt>
                <c:pt idx="5">
                  <c:v>7</c:v>
                </c:pt>
                <c:pt idx="6">
                  <c:v>10</c:v>
                </c:pt>
                <c:pt idx="7">
                  <c:v>9</c:v>
                </c:pt>
                <c:pt idx="8">
                  <c:v>3</c:v>
                </c:pt>
                <c:pt idx="9">
                  <c:v>4</c:v>
                </c:pt>
              </c:numCache>
            </c:numRef>
          </c:val>
          <c:extLst>
            <c:ext xmlns:c16="http://schemas.microsoft.com/office/drawing/2014/chart" uri="{C3380CC4-5D6E-409C-BE32-E72D297353CC}">
              <c16:uniqueId val="{00000000-01B9-3A43-969E-E7B27B03AB49}"/>
            </c:ext>
          </c:extLst>
        </c:ser>
        <c:ser>
          <c:idx val="1"/>
          <c:order val="1"/>
          <c:tx>
            <c:strRef>
              <c:f>'2026-10-07'!$C$262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'2026-10-07'!$C$263:$C$272</c:f>
              <c:numCache>
                <c:formatCode>#,##0</c:formatCode>
                <c:ptCount val="10"/>
                <c:pt idx="0">
                  <c:v>1</c:v>
                </c:pt>
                <c:pt idx="1">
                  <c:v>2</c:v>
                </c:pt>
                <c:pt idx="2">
                  <c:v>5</c:v>
                </c:pt>
                <c:pt idx="3">
                  <c:v>6</c:v>
                </c:pt>
                <c:pt idx="4">
                  <c:v>10</c:v>
                </c:pt>
                <c:pt idx="5">
                  <c:v>11</c:v>
                </c:pt>
                <c:pt idx="6">
                  <c:v>10</c:v>
                </c:pt>
                <c:pt idx="7">
                  <c:v>6</c:v>
                </c:pt>
                <c:pt idx="8">
                  <c:v>3</c:v>
                </c:pt>
                <c:pt idx="9">
                  <c:v>2</c:v>
                </c:pt>
              </c:numCache>
            </c:numRef>
          </c:val>
          <c:extLst>
            <c:ext xmlns:c16="http://schemas.microsoft.com/office/drawing/2014/chart" uri="{C3380CC4-5D6E-409C-BE32-E72D297353CC}">
              <c16:uniqueId val="{00000001-01B9-3A43-969E-E7B27B03AB49}"/>
            </c:ext>
          </c:extLst>
        </c:ser>
        <c:ser>
          <c:idx val="2"/>
          <c:order val="2"/>
          <c:tx>
            <c:strRef>
              <c:f>'2026-10-07'!$D$262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'2026-10-07'!$A$263:$A$272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'2026-10-07'!$D$263:$D$272</c:f>
              <c:numCache>
                <c:formatCode>#,##0</c:formatCode>
                <c:ptCount val="10"/>
                <c:pt idx="0">
                  <c:v>0</c:v>
                </c:pt>
                <c:pt idx="1">
                  <c:v>0</c:v>
                </c:pt>
                <c:pt idx="2">
                  <c:v>2</c:v>
                </c:pt>
                <c:pt idx="3">
                  <c:v>1</c:v>
                </c:pt>
                <c:pt idx="4">
                  <c:v>2</c:v>
                </c:pt>
                <c:pt idx="5">
                  <c:v>3</c:v>
                </c:pt>
                <c:pt idx="6">
                  <c:v>0</c:v>
                </c:pt>
                <c:pt idx="7">
                  <c:v>3</c:v>
                </c:pt>
                <c:pt idx="8">
                  <c:v>2</c:v>
                </c:pt>
                <c:pt idx="9">
                  <c:v>1</c:v>
                </c:pt>
              </c:numCache>
            </c:numRef>
          </c:val>
          <c:extLst>
            <c:ext xmlns:c16="http://schemas.microsoft.com/office/drawing/2014/chart" uri="{C3380CC4-5D6E-409C-BE32-E72D297353CC}">
              <c16:uniqueId val="{00000002-01B9-3A43-969E-E7B27B03AB4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'2026-10-08'!$B$226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'2026-10-08'!$B$227:$B$235</c:f>
              <c:numCache>
                <c:formatCode>#,##0</c:formatCode>
                <c:ptCount val="9"/>
                <c:pt idx="0">
                  <c:v>0</c:v>
                </c:pt>
                <c:pt idx="1">
                  <c:v>1</c:v>
                </c:pt>
                <c:pt idx="2">
                  <c:v>2</c:v>
                </c:pt>
                <c:pt idx="3">
                  <c:v>0</c:v>
                </c:pt>
                <c:pt idx="4">
                  <c:v>1</c:v>
                </c:pt>
                <c:pt idx="5">
                  <c:v>0</c:v>
                </c:pt>
                <c:pt idx="6">
                  <c:v>0</c:v>
                </c:pt>
                <c:pt idx="7">
                  <c:v>2</c:v>
                </c:pt>
                <c:pt idx="8">
                  <c:v>0</c:v>
                </c:pt>
              </c:numCache>
            </c:numRef>
          </c:val>
          <c:extLst>
            <c:ext xmlns:c16="http://schemas.microsoft.com/office/drawing/2014/chart" uri="{C3380CC4-5D6E-409C-BE32-E72D297353CC}">
              <c16:uniqueId val="{00000000-2E8F-8F4D-880A-B4A1C0C54C4C}"/>
            </c:ext>
          </c:extLst>
        </c:ser>
        <c:ser>
          <c:idx val="1"/>
          <c:order val="1"/>
          <c:tx>
            <c:strRef>
              <c:f>'2026-10-08'!$C$226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'2026-10-08'!$C$227:$C$235</c:f>
              <c:numCache>
                <c:formatCode>#,##0</c:formatCode>
                <c:ptCount val="9"/>
                <c:pt idx="0">
                  <c:v>0</c:v>
                </c:pt>
                <c:pt idx="1">
                  <c:v>2</c:v>
                </c:pt>
                <c:pt idx="2">
                  <c:v>4</c:v>
                </c:pt>
                <c:pt idx="3">
                  <c:v>4</c:v>
                </c:pt>
                <c:pt idx="4">
                  <c:v>6</c:v>
                </c:pt>
                <c:pt idx="5">
                  <c:v>5</c:v>
                </c:pt>
                <c:pt idx="6">
                  <c:v>6</c:v>
                </c:pt>
                <c:pt idx="7">
                  <c:v>2</c:v>
                </c:pt>
                <c:pt idx="8">
                  <c:v>3</c:v>
                </c:pt>
              </c:numCache>
            </c:numRef>
          </c:val>
          <c:extLst>
            <c:ext xmlns:c16="http://schemas.microsoft.com/office/drawing/2014/chart" uri="{C3380CC4-5D6E-409C-BE32-E72D297353CC}">
              <c16:uniqueId val="{00000001-2E8F-8F4D-880A-B4A1C0C54C4C}"/>
            </c:ext>
          </c:extLst>
        </c:ser>
        <c:ser>
          <c:idx val="2"/>
          <c:order val="2"/>
          <c:tx>
            <c:strRef>
              <c:f>'2026-10-08'!$D$226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2E8F-8F4D-880A-B4A1C0C54C4C}"/>
            </c:ext>
          </c:extLst>
        </c:ser>
        <c:ser>
          <c:idx val="3"/>
          <c:order val="3"/>
          <c:tx>
            <c:strRef>
              <c:f>'2026-10-08'!$E$226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'2026-10-08'!$E$227:$E$235</c:f>
              <c:numCache>
                <c:formatCode>#,##0</c:formatCode>
                <c:ptCount val="9"/>
                <c:pt idx="0">
                  <c:v>0</c:v>
                </c:pt>
                <c:pt idx="1">
                  <c:v>2</c:v>
                </c:pt>
                <c:pt idx="2">
                  <c:v>0</c:v>
                </c:pt>
                <c:pt idx="3">
                  <c:v>2</c:v>
                </c:pt>
                <c:pt idx="4">
                  <c:v>0</c:v>
                </c:pt>
                <c:pt idx="5">
                  <c:v>3</c:v>
                </c:pt>
                <c:pt idx="6">
                  <c:v>0</c:v>
                </c:pt>
                <c:pt idx="7">
                  <c:v>4</c:v>
                </c:pt>
                <c:pt idx="8">
                  <c:v>0</c:v>
                </c:pt>
              </c:numCache>
            </c:numRef>
          </c:val>
          <c:extLst>
            <c:ext xmlns:c16="http://schemas.microsoft.com/office/drawing/2014/chart" uri="{C3380CC4-5D6E-409C-BE32-E72D297353CC}">
              <c16:uniqueId val="{00000003-2E8F-8F4D-880A-B4A1C0C54C4C}"/>
            </c:ext>
          </c:extLst>
        </c:ser>
        <c:ser>
          <c:idx val="4"/>
          <c:order val="4"/>
          <c:tx>
            <c:strRef>
              <c:f>'2026-10-08'!$F$226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'2026-10-08'!$F$227:$F$235</c:f>
              <c:numCache>
                <c:formatCode>#,##0</c:formatCode>
                <c:ptCount val="9"/>
                <c:pt idx="0">
                  <c:v>1</c:v>
                </c:pt>
                <c:pt idx="1">
                  <c:v>0</c:v>
                </c:pt>
                <c:pt idx="2">
                  <c:v>3</c:v>
                </c:pt>
                <c:pt idx="3">
                  <c:v>5</c:v>
                </c:pt>
                <c:pt idx="4">
                  <c:v>7</c:v>
                </c:pt>
                <c:pt idx="5">
                  <c:v>4</c:v>
                </c:pt>
                <c:pt idx="6">
                  <c:v>1</c:v>
                </c:pt>
                <c:pt idx="7">
                  <c:v>8</c:v>
                </c:pt>
                <c:pt idx="8">
                  <c:v>2</c:v>
                </c:pt>
              </c:numCache>
            </c:numRef>
          </c:val>
          <c:extLst>
            <c:ext xmlns:c16="http://schemas.microsoft.com/office/drawing/2014/chart" uri="{C3380CC4-5D6E-409C-BE32-E72D297353CC}">
              <c16:uniqueId val="{00000004-2E8F-8F4D-880A-B4A1C0C54C4C}"/>
            </c:ext>
          </c:extLst>
        </c:ser>
        <c:ser>
          <c:idx val="5"/>
          <c:order val="5"/>
          <c:tx>
            <c:strRef>
              <c:f>'2026-10-08'!$G$226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'2026-10-08'!$G$227:$G$235</c:f>
              <c:numCache>
                <c:formatCode>#,##0</c:formatCode>
                <c:ptCount val="9"/>
                <c:pt idx="0">
                  <c:v>0</c:v>
                </c:pt>
                <c:pt idx="1">
                  <c:v>0</c:v>
                </c:pt>
                <c:pt idx="2">
                  <c:v>1</c:v>
                </c:pt>
                <c:pt idx="3">
                  <c:v>2</c:v>
                </c:pt>
                <c:pt idx="4">
                  <c:v>2</c:v>
                </c:pt>
                <c:pt idx="5">
                  <c:v>1</c:v>
                </c:pt>
                <c:pt idx="6">
                  <c:v>0</c:v>
                </c:pt>
                <c:pt idx="7">
                  <c:v>0</c:v>
                </c:pt>
                <c:pt idx="8">
                  <c:v>2</c:v>
                </c:pt>
              </c:numCache>
            </c:numRef>
          </c:val>
          <c:extLst>
            <c:ext xmlns:c16="http://schemas.microsoft.com/office/drawing/2014/chart" uri="{C3380CC4-5D6E-409C-BE32-E72D297353CC}">
              <c16:uniqueId val="{00000005-2E8F-8F4D-880A-B4A1C0C54C4C}"/>
            </c:ext>
          </c:extLst>
        </c:ser>
        <c:ser>
          <c:idx val="6"/>
          <c:order val="6"/>
          <c:tx>
            <c:strRef>
              <c:f>'2026-10-08'!$H$226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'2026-10-08'!$H$227:$H$235</c:f>
              <c:numCache>
                <c:formatCode>#,##0</c:formatCode>
                <c:ptCount val="9"/>
                <c:pt idx="0">
                  <c:v>1</c:v>
                </c:pt>
                <c:pt idx="1">
                  <c:v>7</c:v>
                </c:pt>
                <c:pt idx="2">
                  <c:v>9</c:v>
                </c:pt>
                <c:pt idx="3">
                  <c:v>6</c:v>
                </c:pt>
                <c:pt idx="4">
                  <c:v>5</c:v>
                </c:pt>
                <c:pt idx="5">
                  <c:v>8</c:v>
                </c:pt>
                <c:pt idx="6">
                  <c:v>6</c:v>
                </c:pt>
                <c:pt idx="7">
                  <c:v>11</c:v>
                </c:pt>
                <c:pt idx="8">
                  <c:v>3</c:v>
                </c:pt>
              </c:numCache>
            </c:numRef>
          </c:val>
          <c:extLst>
            <c:ext xmlns:c16="http://schemas.microsoft.com/office/drawing/2014/chart" uri="{C3380CC4-5D6E-409C-BE32-E72D297353CC}">
              <c16:uniqueId val="{00000006-2E8F-8F4D-880A-B4A1C0C54C4C}"/>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'2026-10-08'!$B$262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'2026-10-08'!$B$263:$B$272</c:f>
              <c:numCache>
                <c:formatCode>#,##0</c:formatCode>
                <c:ptCount val="10"/>
                <c:pt idx="0">
                  <c:v>1</c:v>
                </c:pt>
                <c:pt idx="1">
                  <c:v>7</c:v>
                </c:pt>
                <c:pt idx="2">
                  <c:v>9</c:v>
                </c:pt>
                <c:pt idx="3">
                  <c:v>6</c:v>
                </c:pt>
                <c:pt idx="4">
                  <c:v>5</c:v>
                </c:pt>
                <c:pt idx="5">
                  <c:v>8</c:v>
                </c:pt>
                <c:pt idx="6">
                  <c:v>6</c:v>
                </c:pt>
                <c:pt idx="7">
                  <c:v>11</c:v>
                </c:pt>
                <c:pt idx="8">
                  <c:v>3</c:v>
                </c:pt>
                <c:pt idx="9">
                  <c:v>0</c:v>
                </c:pt>
              </c:numCache>
            </c:numRef>
          </c:val>
          <c:extLst>
            <c:ext xmlns:c16="http://schemas.microsoft.com/office/drawing/2014/chart" uri="{C3380CC4-5D6E-409C-BE32-E72D297353CC}">
              <c16:uniqueId val="{00000000-0AAA-6B4B-B304-9F10A9C75E7D}"/>
            </c:ext>
          </c:extLst>
        </c:ser>
        <c:ser>
          <c:idx val="1"/>
          <c:order val="1"/>
          <c:tx>
            <c:strRef>
              <c:f>'2026-10-08'!$C$262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'2026-10-08'!$C$263:$C$272</c:f>
              <c:numCache>
                <c:formatCode>#,##0</c:formatCode>
                <c:ptCount val="10"/>
                <c:pt idx="0">
                  <c:v>1</c:v>
                </c:pt>
                <c:pt idx="1">
                  <c:v>4</c:v>
                </c:pt>
                <c:pt idx="2">
                  <c:v>7</c:v>
                </c:pt>
                <c:pt idx="3">
                  <c:v>11</c:v>
                </c:pt>
                <c:pt idx="4">
                  <c:v>13</c:v>
                </c:pt>
                <c:pt idx="5">
                  <c:v>12</c:v>
                </c:pt>
                <c:pt idx="6">
                  <c:v>7</c:v>
                </c:pt>
                <c:pt idx="7">
                  <c:v>14</c:v>
                </c:pt>
                <c:pt idx="8">
                  <c:v>5</c:v>
                </c:pt>
                <c:pt idx="9">
                  <c:v>0</c:v>
                </c:pt>
              </c:numCache>
            </c:numRef>
          </c:val>
          <c:extLst>
            <c:ext xmlns:c16="http://schemas.microsoft.com/office/drawing/2014/chart" uri="{C3380CC4-5D6E-409C-BE32-E72D297353CC}">
              <c16:uniqueId val="{00000001-0AAA-6B4B-B304-9F10A9C75E7D}"/>
            </c:ext>
          </c:extLst>
        </c:ser>
        <c:ser>
          <c:idx val="2"/>
          <c:order val="2"/>
          <c:tx>
            <c:strRef>
              <c:f>'2026-10-08'!$D$262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'2026-10-08'!$A$263:$A$272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'2026-10-08'!$D$263:$D$272</c:f>
              <c:numCache>
                <c:formatCode>#,##0</c:formatCode>
                <c:ptCount val="10"/>
                <c:pt idx="0">
                  <c:v>0</c:v>
                </c:pt>
                <c:pt idx="1">
                  <c:v>1</c:v>
                </c:pt>
                <c:pt idx="2">
                  <c:v>3</c:v>
                </c:pt>
                <c:pt idx="3">
                  <c:v>3</c:v>
                </c:pt>
                <c:pt idx="4">
                  <c:v>3</c:v>
                </c:pt>
                <c:pt idx="5">
                  <c:v>1</c:v>
                </c:pt>
                <c:pt idx="6">
                  <c:v>0</c:v>
                </c:pt>
                <c:pt idx="7">
                  <c:v>2</c:v>
                </c:pt>
                <c:pt idx="8">
                  <c:v>2</c:v>
                </c:pt>
                <c:pt idx="9">
                  <c:v>1</c:v>
                </c:pt>
              </c:numCache>
            </c:numRef>
          </c:val>
          <c:extLst>
            <c:ext xmlns:c16="http://schemas.microsoft.com/office/drawing/2014/chart" uri="{C3380CC4-5D6E-409C-BE32-E72D297353CC}">
              <c16:uniqueId val="{00000002-0AAA-6B4B-B304-9F10A9C75E7D}"/>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'2026-10-09'!$B$226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'2026-10-09'!$B$227:$B$235</c:f>
              <c:numCache>
                <c:formatCode>#,##0</c:formatCode>
                <c:ptCount val="9"/>
                <c:pt idx="0">
                  <c:v>1</c:v>
                </c:pt>
                <c:pt idx="1">
                  <c:v>1</c:v>
                </c:pt>
                <c:pt idx="2">
                  <c:v>1</c:v>
                </c:pt>
                <c:pt idx="3">
                  <c:v>0</c:v>
                </c:pt>
                <c:pt idx="4">
                  <c:v>0</c:v>
                </c:pt>
                <c:pt idx="5">
                  <c:v>2</c:v>
                </c:pt>
                <c:pt idx="6">
                  <c:v>0</c:v>
                </c:pt>
                <c:pt idx="7">
                  <c:v>1</c:v>
                </c:pt>
                <c:pt idx="8">
                  <c:v>0</c:v>
                </c:pt>
              </c:numCache>
            </c:numRef>
          </c:val>
          <c:extLst>
            <c:ext xmlns:c16="http://schemas.microsoft.com/office/drawing/2014/chart" uri="{C3380CC4-5D6E-409C-BE32-E72D297353CC}">
              <c16:uniqueId val="{00000000-E960-2D4F-88CD-389CBE94DCA5}"/>
            </c:ext>
          </c:extLst>
        </c:ser>
        <c:ser>
          <c:idx val="1"/>
          <c:order val="1"/>
          <c:tx>
            <c:strRef>
              <c:f>'2026-10-09'!$C$226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'2026-10-09'!$C$227:$C$235</c:f>
              <c:numCache>
                <c:formatCode>#,##0</c:formatCode>
                <c:ptCount val="9"/>
                <c:pt idx="0">
                  <c:v>0</c:v>
                </c:pt>
                <c:pt idx="1">
                  <c:v>3</c:v>
                </c:pt>
                <c:pt idx="2">
                  <c:v>3</c:v>
                </c:pt>
                <c:pt idx="3">
                  <c:v>4</c:v>
                </c:pt>
                <c:pt idx="4">
                  <c:v>3</c:v>
                </c:pt>
                <c:pt idx="5">
                  <c:v>5</c:v>
                </c:pt>
                <c:pt idx="6">
                  <c:v>6</c:v>
                </c:pt>
                <c:pt idx="7">
                  <c:v>4</c:v>
                </c:pt>
                <c:pt idx="8">
                  <c:v>2</c:v>
                </c:pt>
              </c:numCache>
            </c:numRef>
          </c:val>
          <c:extLst>
            <c:ext xmlns:c16="http://schemas.microsoft.com/office/drawing/2014/chart" uri="{C3380CC4-5D6E-409C-BE32-E72D297353CC}">
              <c16:uniqueId val="{00000001-E960-2D4F-88CD-389CBE94DCA5}"/>
            </c:ext>
          </c:extLst>
        </c:ser>
        <c:ser>
          <c:idx val="2"/>
          <c:order val="2"/>
          <c:tx>
            <c:strRef>
              <c:f>'2026-10-09'!$D$226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'2026-10-09'!$D$227:$D$235</c:f>
              <c:numCache>
                <c:formatCode>#,##0</c:formatCode>
                <c:ptCount val="9"/>
                <c:pt idx="0">
                  <c:v>1</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E960-2D4F-88CD-389CBE94DCA5}"/>
            </c:ext>
          </c:extLst>
        </c:ser>
        <c:ser>
          <c:idx val="3"/>
          <c:order val="3"/>
          <c:tx>
            <c:strRef>
              <c:f>'2026-10-09'!$E$226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'2026-10-09'!$E$227:$E$235</c:f>
              <c:numCache>
                <c:formatCode>#,##0</c:formatCode>
                <c:ptCount val="9"/>
                <c:pt idx="0">
                  <c:v>0</c:v>
                </c:pt>
                <c:pt idx="1">
                  <c:v>0</c:v>
                </c:pt>
                <c:pt idx="2">
                  <c:v>1</c:v>
                </c:pt>
                <c:pt idx="3">
                  <c:v>1</c:v>
                </c:pt>
                <c:pt idx="4">
                  <c:v>1</c:v>
                </c:pt>
                <c:pt idx="5">
                  <c:v>4</c:v>
                </c:pt>
                <c:pt idx="6">
                  <c:v>0</c:v>
                </c:pt>
                <c:pt idx="7">
                  <c:v>2</c:v>
                </c:pt>
                <c:pt idx="8">
                  <c:v>1</c:v>
                </c:pt>
              </c:numCache>
            </c:numRef>
          </c:val>
          <c:extLst>
            <c:ext xmlns:c16="http://schemas.microsoft.com/office/drawing/2014/chart" uri="{C3380CC4-5D6E-409C-BE32-E72D297353CC}">
              <c16:uniqueId val="{00000003-E960-2D4F-88CD-389CBE94DCA5}"/>
            </c:ext>
          </c:extLst>
        </c:ser>
        <c:ser>
          <c:idx val="4"/>
          <c:order val="4"/>
          <c:tx>
            <c:strRef>
              <c:f>'2026-10-09'!$F$226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'2026-10-09'!$F$227:$F$235</c:f>
              <c:numCache>
                <c:formatCode>#,##0</c:formatCode>
                <c:ptCount val="9"/>
                <c:pt idx="0">
                  <c:v>0</c:v>
                </c:pt>
                <c:pt idx="1">
                  <c:v>0</c:v>
                </c:pt>
                <c:pt idx="2">
                  <c:v>3</c:v>
                </c:pt>
                <c:pt idx="3">
                  <c:v>1</c:v>
                </c:pt>
                <c:pt idx="4">
                  <c:v>10</c:v>
                </c:pt>
                <c:pt idx="5">
                  <c:v>3</c:v>
                </c:pt>
                <c:pt idx="6">
                  <c:v>2</c:v>
                </c:pt>
                <c:pt idx="7">
                  <c:v>5</c:v>
                </c:pt>
                <c:pt idx="8">
                  <c:v>3</c:v>
                </c:pt>
              </c:numCache>
            </c:numRef>
          </c:val>
          <c:extLst>
            <c:ext xmlns:c16="http://schemas.microsoft.com/office/drawing/2014/chart" uri="{C3380CC4-5D6E-409C-BE32-E72D297353CC}">
              <c16:uniqueId val="{00000004-E960-2D4F-88CD-389CBE94DCA5}"/>
            </c:ext>
          </c:extLst>
        </c:ser>
        <c:ser>
          <c:idx val="5"/>
          <c:order val="5"/>
          <c:tx>
            <c:strRef>
              <c:f>'2026-10-09'!$G$226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'2026-10-09'!$G$227:$G$235</c:f>
              <c:numCache>
                <c:formatCode>#,##0</c:formatCode>
                <c:ptCount val="9"/>
                <c:pt idx="0">
                  <c:v>0</c:v>
                </c:pt>
                <c:pt idx="1">
                  <c:v>0</c:v>
                </c:pt>
                <c:pt idx="2">
                  <c:v>2</c:v>
                </c:pt>
                <c:pt idx="3">
                  <c:v>1</c:v>
                </c:pt>
                <c:pt idx="4">
                  <c:v>2</c:v>
                </c:pt>
                <c:pt idx="5">
                  <c:v>0</c:v>
                </c:pt>
                <c:pt idx="6">
                  <c:v>0</c:v>
                </c:pt>
                <c:pt idx="7">
                  <c:v>0</c:v>
                </c:pt>
                <c:pt idx="8">
                  <c:v>1</c:v>
                </c:pt>
              </c:numCache>
            </c:numRef>
          </c:val>
          <c:extLst>
            <c:ext xmlns:c16="http://schemas.microsoft.com/office/drawing/2014/chart" uri="{C3380CC4-5D6E-409C-BE32-E72D297353CC}">
              <c16:uniqueId val="{00000005-E960-2D4F-88CD-389CBE94DCA5}"/>
            </c:ext>
          </c:extLst>
        </c:ser>
        <c:ser>
          <c:idx val="6"/>
          <c:order val="6"/>
          <c:tx>
            <c:strRef>
              <c:f>'2026-10-09'!$H$226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'2026-10-09'!$H$227:$H$235</c:f>
              <c:numCache>
                <c:formatCode>#,##0</c:formatCode>
                <c:ptCount val="9"/>
                <c:pt idx="0">
                  <c:v>1</c:v>
                </c:pt>
                <c:pt idx="1">
                  <c:v>7</c:v>
                </c:pt>
                <c:pt idx="2">
                  <c:v>12</c:v>
                </c:pt>
                <c:pt idx="3">
                  <c:v>5</c:v>
                </c:pt>
                <c:pt idx="4">
                  <c:v>6</c:v>
                </c:pt>
                <c:pt idx="5">
                  <c:v>10</c:v>
                </c:pt>
                <c:pt idx="6">
                  <c:v>7</c:v>
                </c:pt>
                <c:pt idx="7">
                  <c:v>12</c:v>
                </c:pt>
                <c:pt idx="8">
                  <c:v>4</c:v>
                </c:pt>
              </c:numCache>
            </c:numRef>
          </c:val>
          <c:extLst>
            <c:ext xmlns:c16="http://schemas.microsoft.com/office/drawing/2014/chart" uri="{C3380CC4-5D6E-409C-BE32-E72D297353CC}">
              <c16:uniqueId val="{00000006-E960-2D4F-88CD-389CBE94DCA5}"/>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'2026-10-09'!$B$262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'2026-10-09'!$B$263:$B$272</c:f>
              <c:numCache>
                <c:formatCode>#,##0</c:formatCode>
                <c:ptCount val="10"/>
                <c:pt idx="0">
                  <c:v>1</c:v>
                </c:pt>
                <c:pt idx="1">
                  <c:v>7</c:v>
                </c:pt>
                <c:pt idx="2">
                  <c:v>12</c:v>
                </c:pt>
                <c:pt idx="3">
                  <c:v>5</c:v>
                </c:pt>
                <c:pt idx="4">
                  <c:v>6</c:v>
                </c:pt>
                <c:pt idx="5">
                  <c:v>10</c:v>
                </c:pt>
                <c:pt idx="6">
                  <c:v>7</c:v>
                </c:pt>
                <c:pt idx="7">
                  <c:v>12</c:v>
                </c:pt>
                <c:pt idx="8">
                  <c:v>4</c:v>
                </c:pt>
                <c:pt idx="9">
                  <c:v>3</c:v>
                </c:pt>
              </c:numCache>
            </c:numRef>
          </c:val>
          <c:extLst>
            <c:ext xmlns:c16="http://schemas.microsoft.com/office/drawing/2014/chart" uri="{C3380CC4-5D6E-409C-BE32-E72D297353CC}">
              <c16:uniqueId val="{00000000-03F0-1740-807F-6AA5712FB3C2}"/>
            </c:ext>
          </c:extLst>
        </c:ser>
        <c:ser>
          <c:idx val="1"/>
          <c:order val="1"/>
          <c:tx>
            <c:strRef>
              <c:f>'2026-10-09'!$C$262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'2026-10-09'!$C$263:$C$272</c:f>
              <c:numCache>
                <c:formatCode>#,##0</c:formatCode>
                <c:ptCount val="10"/>
                <c:pt idx="0">
                  <c:v>0</c:v>
                </c:pt>
                <c:pt idx="1">
                  <c:v>3</c:v>
                </c:pt>
                <c:pt idx="2">
                  <c:v>7</c:v>
                </c:pt>
                <c:pt idx="3">
                  <c:v>6</c:v>
                </c:pt>
                <c:pt idx="4">
                  <c:v>14</c:v>
                </c:pt>
                <c:pt idx="5">
                  <c:v>12</c:v>
                </c:pt>
                <c:pt idx="6">
                  <c:v>8</c:v>
                </c:pt>
                <c:pt idx="7">
                  <c:v>11</c:v>
                </c:pt>
                <c:pt idx="8">
                  <c:v>6</c:v>
                </c:pt>
                <c:pt idx="9">
                  <c:v>1</c:v>
                </c:pt>
              </c:numCache>
            </c:numRef>
          </c:val>
          <c:extLst>
            <c:ext xmlns:c16="http://schemas.microsoft.com/office/drawing/2014/chart" uri="{C3380CC4-5D6E-409C-BE32-E72D297353CC}">
              <c16:uniqueId val="{00000001-03F0-1740-807F-6AA5712FB3C2}"/>
            </c:ext>
          </c:extLst>
        </c:ser>
        <c:ser>
          <c:idx val="2"/>
          <c:order val="2"/>
          <c:tx>
            <c:strRef>
              <c:f>'2026-10-09'!$D$262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'2026-10-09'!$A$263:$A$272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'2026-10-09'!$D$263:$D$272</c:f>
              <c:numCache>
                <c:formatCode>#,##0</c:formatCode>
                <c:ptCount val="10"/>
                <c:pt idx="0">
                  <c:v>2</c:v>
                </c:pt>
                <c:pt idx="1">
                  <c:v>1</c:v>
                </c:pt>
                <c:pt idx="2">
                  <c:v>3</c:v>
                </c:pt>
                <c:pt idx="3">
                  <c:v>1</c:v>
                </c:pt>
                <c:pt idx="4">
                  <c:v>2</c:v>
                </c:pt>
                <c:pt idx="5">
                  <c:v>2</c:v>
                </c:pt>
                <c:pt idx="6">
                  <c:v>0</c:v>
                </c:pt>
                <c:pt idx="7">
                  <c:v>1</c:v>
                </c:pt>
                <c:pt idx="8">
                  <c:v>1</c:v>
                </c:pt>
                <c:pt idx="9">
                  <c:v>1</c:v>
                </c:pt>
              </c:numCache>
            </c:numRef>
          </c:val>
          <c:extLst>
            <c:ext xmlns:c16="http://schemas.microsoft.com/office/drawing/2014/chart" uri="{C3380CC4-5D6E-409C-BE32-E72D297353CC}">
              <c16:uniqueId val="{00000002-03F0-1740-807F-6AA5712FB3C2}"/>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'2026-10-10'!$B$226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'2026-10-10'!$B$227:$B$235</c:f>
              <c:numCache>
                <c:formatCode>#,##0</c:formatCode>
                <c:ptCount val="9"/>
                <c:pt idx="0">
                  <c:v>0</c:v>
                </c:pt>
                <c:pt idx="1">
                  <c:v>0</c:v>
                </c:pt>
                <c:pt idx="2">
                  <c:v>1</c:v>
                </c:pt>
                <c:pt idx="3">
                  <c:v>0</c:v>
                </c:pt>
                <c:pt idx="4">
                  <c:v>2</c:v>
                </c:pt>
                <c:pt idx="5">
                  <c:v>0</c:v>
                </c:pt>
                <c:pt idx="6">
                  <c:v>1</c:v>
                </c:pt>
                <c:pt idx="7">
                  <c:v>2</c:v>
                </c:pt>
                <c:pt idx="8">
                  <c:v>0</c:v>
                </c:pt>
              </c:numCache>
            </c:numRef>
          </c:val>
          <c:extLst>
            <c:ext xmlns:c16="http://schemas.microsoft.com/office/drawing/2014/chart" uri="{C3380CC4-5D6E-409C-BE32-E72D297353CC}">
              <c16:uniqueId val="{00000000-A9C8-8D4F-A4AA-F84DA618414F}"/>
            </c:ext>
          </c:extLst>
        </c:ser>
        <c:ser>
          <c:idx val="1"/>
          <c:order val="1"/>
          <c:tx>
            <c:strRef>
              <c:f>'2026-10-10'!$C$226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'2026-10-10'!$C$227:$C$235</c:f>
              <c:numCache>
                <c:formatCode>#,##0</c:formatCode>
                <c:ptCount val="9"/>
                <c:pt idx="0">
                  <c:v>0</c:v>
                </c:pt>
                <c:pt idx="1">
                  <c:v>2</c:v>
                </c:pt>
                <c:pt idx="2">
                  <c:v>5</c:v>
                </c:pt>
                <c:pt idx="3">
                  <c:v>5</c:v>
                </c:pt>
                <c:pt idx="4">
                  <c:v>7</c:v>
                </c:pt>
                <c:pt idx="5">
                  <c:v>4</c:v>
                </c:pt>
                <c:pt idx="6">
                  <c:v>7</c:v>
                </c:pt>
                <c:pt idx="7">
                  <c:v>6</c:v>
                </c:pt>
                <c:pt idx="8">
                  <c:v>4</c:v>
                </c:pt>
              </c:numCache>
            </c:numRef>
          </c:val>
          <c:extLst>
            <c:ext xmlns:c16="http://schemas.microsoft.com/office/drawing/2014/chart" uri="{C3380CC4-5D6E-409C-BE32-E72D297353CC}">
              <c16:uniqueId val="{00000001-A9C8-8D4F-A4AA-F84DA618414F}"/>
            </c:ext>
          </c:extLst>
        </c:ser>
        <c:ser>
          <c:idx val="2"/>
          <c:order val="2"/>
          <c:tx>
            <c:strRef>
              <c:f>'2026-10-10'!$D$226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'2026-10-10'!$D$227:$D$235</c:f>
              <c:numCache>
                <c:formatCode>#,##0</c:formatCode>
                <c:ptCount val="9"/>
                <c:pt idx="0">
                  <c:v>0</c:v>
                </c:pt>
                <c:pt idx="1">
                  <c:v>0</c:v>
                </c:pt>
                <c:pt idx="2">
                  <c:v>0</c:v>
                </c:pt>
                <c:pt idx="3">
                  <c:v>1</c:v>
                </c:pt>
                <c:pt idx="4">
                  <c:v>0</c:v>
                </c:pt>
                <c:pt idx="5">
                  <c:v>0</c:v>
                </c:pt>
                <c:pt idx="6">
                  <c:v>0</c:v>
                </c:pt>
                <c:pt idx="7">
                  <c:v>0</c:v>
                </c:pt>
                <c:pt idx="8">
                  <c:v>0</c:v>
                </c:pt>
              </c:numCache>
            </c:numRef>
          </c:val>
          <c:extLst>
            <c:ext xmlns:c16="http://schemas.microsoft.com/office/drawing/2014/chart" uri="{C3380CC4-5D6E-409C-BE32-E72D297353CC}">
              <c16:uniqueId val="{00000002-A9C8-8D4F-A4AA-F84DA618414F}"/>
            </c:ext>
          </c:extLst>
        </c:ser>
        <c:ser>
          <c:idx val="3"/>
          <c:order val="3"/>
          <c:tx>
            <c:strRef>
              <c:f>'2026-10-10'!$E$226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'2026-10-10'!$E$227:$E$235</c:f>
              <c:numCache>
                <c:formatCode>#,##0</c:formatCode>
                <c:ptCount val="9"/>
                <c:pt idx="0">
                  <c:v>1</c:v>
                </c:pt>
                <c:pt idx="1">
                  <c:v>0</c:v>
                </c:pt>
                <c:pt idx="2">
                  <c:v>0</c:v>
                </c:pt>
                <c:pt idx="3">
                  <c:v>2</c:v>
                </c:pt>
                <c:pt idx="4">
                  <c:v>0</c:v>
                </c:pt>
                <c:pt idx="5">
                  <c:v>3</c:v>
                </c:pt>
                <c:pt idx="6">
                  <c:v>1</c:v>
                </c:pt>
                <c:pt idx="7">
                  <c:v>1</c:v>
                </c:pt>
                <c:pt idx="8">
                  <c:v>1</c:v>
                </c:pt>
              </c:numCache>
            </c:numRef>
          </c:val>
          <c:extLst>
            <c:ext xmlns:c16="http://schemas.microsoft.com/office/drawing/2014/chart" uri="{C3380CC4-5D6E-409C-BE32-E72D297353CC}">
              <c16:uniqueId val="{00000003-A9C8-8D4F-A4AA-F84DA618414F}"/>
            </c:ext>
          </c:extLst>
        </c:ser>
        <c:ser>
          <c:idx val="4"/>
          <c:order val="4"/>
          <c:tx>
            <c:strRef>
              <c:f>'2026-10-10'!$F$226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'2026-10-10'!$F$227:$F$235</c:f>
              <c:numCache>
                <c:formatCode>#,##0</c:formatCode>
                <c:ptCount val="9"/>
                <c:pt idx="0">
                  <c:v>0</c:v>
                </c:pt>
                <c:pt idx="1">
                  <c:v>1</c:v>
                </c:pt>
                <c:pt idx="2">
                  <c:v>4</c:v>
                </c:pt>
                <c:pt idx="3">
                  <c:v>3</c:v>
                </c:pt>
                <c:pt idx="4">
                  <c:v>9</c:v>
                </c:pt>
                <c:pt idx="5">
                  <c:v>7</c:v>
                </c:pt>
                <c:pt idx="6">
                  <c:v>2</c:v>
                </c:pt>
                <c:pt idx="7">
                  <c:v>7</c:v>
                </c:pt>
                <c:pt idx="8">
                  <c:v>5</c:v>
                </c:pt>
              </c:numCache>
            </c:numRef>
          </c:val>
          <c:extLst>
            <c:ext xmlns:c16="http://schemas.microsoft.com/office/drawing/2014/chart" uri="{C3380CC4-5D6E-409C-BE32-E72D297353CC}">
              <c16:uniqueId val="{00000004-A9C8-8D4F-A4AA-F84DA618414F}"/>
            </c:ext>
          </c:extLst>
        </c:ser>
        <c:ser>
          <c:idx val="5"/>
          <c:order val="5"/>
          <c:tx>
            <c:strRef>
              <c:f>'2026-10-10'!$G$226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'2026-10-10'!$G$227:$G$235</c:f>
              <c:numCache>
                <c:formatCode>#,##0</c:formatCode>
                <c:ptCount val="9"/>
                <c:pt idx="0">
                  <c:v>0</c:v>
                </c:pt>
                <c:pt idx="1">
                  <c:v>0</c:v>
                </c:pt>
                <c:pt idx="2">
                  <c:v>0</c:v>
                </c:pt>
                <c:pt idx="3">
                  <c:v>1</c:v>
                </c:pt>
                <c:pt idx="4">
                  <c:v>2</c:v>
                </c:pt>
                <c:pt idx="5">
                  <c:v>0</c:v>
                </c:pt>
                <c:pt idx="6">
                  <c:v>1</c:v>
                </c:pt>
                <c:pt idx="7">
                  <c:v>1</c:v>
                </c:pt>
                <c:pt idx="8">
                  <c:v>1</c:v>
                </c:pt>
              </c:numCache>
            </c:numRef>
          </c:val>
          <c:extLst>
            <c:ext xmlns:c16="http://schemas.microsoft.com/office/drawing/2014/chart" uri="{C3380CC4-5D6E-409C-BE32-E72D297353CC}">
              <c16:uniqueId val="{00000005-A9C8-8D4F-A4AA-F84DA618414F}"/>
            </c:ext>
          </c:extLst>
        </c:ser>
        <c:ser>
          <c:idx val="6"/>
          <c:order val="6"/>
          <c:tx>
            <c:strRef>
              <c:f>'2026-10-10'!$H$226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'2026-10-10'!$H$227:$H$235</c:f>
              <c:numCache>
                <c:formatCode>#,##0</c:formatCode>
                <c:ptCount val="9"/>
                <c:pt idx="0">
                  <c:v>1</c:v>
                </c:pt>
                <c:pt idx="1">
                  <c:v>8</c:v>
                </c:pt>
                <c:pt idx="2">
                  <c:v>8</c:v>
                </c:pt>
                <c:pt idx="3">
                  <c:v>6</c:v>
                </c:pt>
                <c:pt idx="4">
                  <c:v>9</c:v>
                </c:pt>
                <c:pt idx="5">
                  <c:v>10</c:v>
                </c:pt>
                <c:pt idx="6">
                  <c:v>4</c:v>
                </c:pt>
                <c:pt idx="7">
                  <c:v>2</c:v>
                </c:pt>
                <c:pt idx="8">
                  <c:v>5</c:v>
                </c:pt>
              </c:numCache>
            </c:numRef>
          </c:val>
          <c:extLst>
            <c:ext xmlns:c16="http://schemas.microsoft.com/office/drawing/2014/chart" uri="{C3380CC4-5D6E-409C-BE32-E72D297353CC}">
              <c16:uniqueId val="{00000006-A9C8-8D4F-A4AA-F84DA618414F}"/>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'2026-10-10'!$B$262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'2026-10-10'!$B$263:$B$272</c:f>
              <c:numCache>
                <c:formatCode>#,##0</c:formatCode>
                <c:ptCount val="10"/>
                <c:pt idx="0">
                  <c:v>1</c:v>
                </c:pt>
                <c:pt idx="1">
                  <c:v>8</c:v>
                </c:pt>
                <c:pt idx="2">
                  <c:v>8</c:v>
                </c:pt>
                <c:pt idx="3">
                  <c:v>6</c:v>
                </c:pt>
                <c:pt idx="4">
                  <c:v>9</c:v>
                </c:pt>
                <c:pt idx="5">
                  <c:v>10</c:v>
                </c:pt>
                <c:pt idx="6">
                  <c:v>4</c:v>
                </c:pt>
                <c:pt idx="7">
                  <c:v>2</c:v>
                </c:pt>
                <c:pt idx="8">
                  <c:v>5</c:v>
                </c:pt>
                <c:pt idx="9">
                  <c:v>5</c:v>
                </c:pt>
              </c:numCache>
            </c:numRef>
          </c:val>
          <c:extLst>
            <c:ext xmlns:c16="http://schemas.microsoft.com/office/drawing/2014/chart" uri="{C3380CC4-5D6E-409C-BE32-E72D297353CC}">
              <c16:uniqueId val="{00000000-8D31-7543-BDD2-367F91CC945F}"/>
            </c:ext>
          </c:extLst>
        </c:ser>
        <c:ser>
          <c:idx val="1"/>
          <c:order val="1"/>
          <c:tx>
            <c:strRef>
              <c:f>'2026-10-10'!$C$262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'2026-10-10'!$C$263:$C$272</c:f>
              <c:numCache>
                <c:formatCode>#,##0</c:formatCode>
                <c:ptCount val="10"/>
                <c:pt idx="0">
                  <c:v>1</c:v>
                </c:pt>
                <c:pt idx="1">
                  <c:v>3</c:v>
                </c:pt>
                <c:pt idx="2">
                  <c:v>9</c:v>
                </c:pt>
                <c:pt idx="3">
                  <c:v>10</c:v>
                </c:pt>
                <c:pt idx="4">
                  <c:v>16</c:v>
                </c:pt>
                <c:pt idx="5">
                  <c:v>14</c:v>
                </c:pt>
                <c:pt idx="6">
                  <c:v>10</c:v>
                </c:pt>
                <c:pt idx="7">
                  <c:v>14</c:v>
                </c:pt>
                <c:pt idx="8">
                  <c:v>10</c:v>
                </c:pt>
                <c:pt idx="9">
                  <c:v>1</c:v>
                </c:pt>
              </c:numCache>
            </c:numRef>
          </c:val>
          <c:extLst>
            <c:ext xmlns:c16="http://schemas.microsoft.com/office/drawing/2014/chart" uri="{C3380CC4-5D6E-409C-BE32-E72D297353CC}">
              <c16:uniqueId val="{00000001-8D31-7543-BDD2-367F91CC945F}"/>
            </c:ext>
          </c:extLst>
        </c:ser>
        <c:ser>
          <c:idx val="2"/>
          <c:order val="2"/>
          <c:tx>
            <c:strRef>
              <c:f>'2026-10-10'!$D$262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'2026-10-10'!$A$263:$A$272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'2026-10-10'!$D$263:$D$272</c:f>
              <c:numCache>
                <c:formatCode>#,##0</c:formatCode>
                <c:ptCount val="10"/>
                <c:pt idx="0">
                  <c:v>0</c:v>
                </c:pt>
                <c:pt idx="1">
                  <c:v>0</c:v>
                </c:pt>
                <c:pt idx="2">
                  <c:v>1</c:v>
                </c:pt>
                <c:pt idx="3">
                  <c:v>2</c:v>
                </c:pt>
                <c:pt idx="4">
                  <c:v>4</c:v>
                </c:pt>
                <c:pt idx="5">
                  <c:v>0</c:v>
                </c:pt>
                <c:pt idx="6">
                  <c:v>2</c:v>
                </c:pt>
                <c:pt idx="7">
                  <c:v>3</c:v>
                </c:pt>
                <c:pt idx="8">
                  <c:v>1</c:v>
                </c:pt>
                <c:pt idx="9">
                  <c:v>1</c:v>
                </c:pt>
              </c:numCache>
            </c:numRef>
          </c:val>
          <c:extLst>
            <c:ext xmlns:c16="http://schemas.microsoft.com/office/drawing/2014/chart" uri="{C3380CC4-5D6E-409C-BE32-E72D297353CC}">
              <c16:uniqueId val="{00000002-8D31-7543-BDD2-367F91CC945F}"/>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'2026-10-11'!$B$226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'2026-10-11'!$B$227:$B$235</c:f>
              <c:numCache>
                <c:formatCode>#,##0</c:formatCode>
                <c:ptCount val="9"/>
                <c:pt idx="0">
                  <c:v>0</c:v>
                </c:pt>
                <c:pt idx="1">
                  <c:v>0</c:v>
                </c:pt>
                <c:pt idx="2">
                  <c:v>2</c:v>
                </c:pt>
                <c:pt idx="3">
                  <c:v>1</c:v>
                </c:pt>
                <c:pt idx="4">
                  <c:v>0</c:v>
                </c:pt>
                <c:pt idx="5">
                  <c:v>2</c:v>
                </c:pt>
                <c:pt idx="6">
                  <c:v>0</c:v>
                </c:pt>
                <c:pt idx="7">
                  <c:v>1</c:v>
                </c:pt>
                <c:pt idx="8">
                  <c:v>0</c:v>
                </c:pt>
              </c:numCache>
            </c:numRef>
          </c:val>
          <c:extLst>
            <c:ext xmlns:c16="http://schemas.microsoft.com/office/drawing/2014/chart" uri="{C3380CC4-5D6E-409C-BE32-E72D297353CC}">
              <c16:uniqueId val="{00000000-E9E9-694E-86BA-9B40DC91EF62}"/>
            </c:ext>
          </c:extLst>
        </c:ser>
        <c:ser>
          <c:idx val="1"/>
          <c:order val="1"/>
          <c:tx>
            <c:strRef>
              <c:f>'2026-10-11'!$C$226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'2026-10-11'!$C$227:$C$235</c:f>
              <c:numCache>
                <c:formatCode>#,##0</c:formatCode>
                <c:ptCount val="9"/>
                <c:pt idx="0">
                  <c:v>0</c:v>
                </c:pt>
                <c:pt idx="1">
                  <c:v>2</c:v>
                </c:pt>
                <c:pt idx="2">
                  <c:v>4</c:v>
                </c:pt>
                <c:pt idx="3">
                  <c:v>3</c:v>
                </c:pt>
                <c:pt idx="4">
                  <c:v>6</c:v>
                </c:pt>
                <c:pt idx="5">
                  <c:v>8</c:v>
                </c:pt>
                <c:pt idx="6">
                  <c:v>4</c:v>
                </c:pt>
                <c:pt idx="7">
                  <c:v>3</c:v>
                </c:pt>
                <c:pt idx="8">
                  <c:v>4</c:v>
                </c:pt>
              </c:numCache>
            </c:numRef>
          </c:val>
          <c:extLst>
            <c:ext xmlns:c16="http://schemas.microsoft.com/office/drawing/2014/chart" uri="{C3380CC4-5D6E-409C-BE32-E72D297353CC}">
              <c16:uniqueId val="{00000001-E9E9-694E-86BA-9B40DC91EF62}"/>
            </c:ext>
          </c:extLst>
        </c:ser>
        <c:ser>
          <c:idx val="2"/>
          <c:order val="2"/>
          <c:tx>
            <c:strRef>
              <c:f>'2026-10-11'!$D$226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'2026-10-11'!$D$227:$D$235</c:f>
              <c:numCache>
                <c:formatCode>#,##0</c:formatCode>
                <c:ptCount val="9"/>
                <c:pt idx="0">
                  <c:v>0</c:v>
                </c:pt>
                <c:pt idx="1">
                  <c:v>0</c:v>
                </c:pt>
                <c:pt idx="2">
                  <c:v>0</c:v>
                </c:pt>
                <c:pt idx="3">
                  <c:v>0</c:v>
                </c:pt>
                <c:pt idx="4">
                  <c:v>0</c:v>
                </c:pt>
                <c:pt idx="5">
                  <c:v>0</c:v>
                </c:pt>
                <c:pt idx="6">
                  <c:v>0</c:v>
                </c:pt>
                <c:pt idx="7">
                  <c:v>1</c:v>
                </c:pt>
                <c:pt idx="8">
                  <c:v>0</c:v>
                </c:pt>
              </c:numCache>
            </c:numRef>
          </c:val>
          <c:extLst>
            <c:ext xmlns:c16="http://schemas.microsoft.com/office/drawing/2014/chart" uri="{C3380CC4-5D6E-409C-BE32-E72D297353CC}">
              <c16:uniqueId val="{00000002-E9E9-694E-86BA-9B40DC91EF62}"/>
            </c:ext>
          </c:extLst>
        </c:ser>
        <c:ser>
          <c:idx val="3"/>
          <c:order val="3"/>
          <c:tx>
            <c:strRef>
              <c:f>'2026-10-11'!$E$226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'2026-10-11'!$E$227:$E$235</c:f>
              <c:numCache>
                <c:formatCode>#,##0</c:formatCode>
                <c:ptCount val="9"/>
                <c:pt idx="0">
                  <c:v>0</c:v>
                </c:pt>
                <c:pt idx="1">
                  <c:v>0</c:v>
                </c:pt>
                <c:pt idx="2">
                  <c:v>0</c:v>
                </c:pt>
                <c:pt idx="3">
                  <c:v>2</c:v>
                </c:pt>
                <c:pt idx="4">
                  <c:v>1</c:v>
                </c:pt>
                <c:pt idx="5">
                  <c:v>3</c:v>
                </c:pt>
                <c:pt idx="6">
                  <c:v>0</c:v>
                </c:pt>
                <c:pt idx="7">
                  <c:v>3</c:v>
                </c:pt>
                <c:pt idx="8">
                  <c:v>2</c:v>
                </c:pt>
              </c:numCache>
            </c:numRef>
          </c:val>
          <c:extLst>
            <c:ext xmlns:c16="http://schemas.microsoft.com/office/drawing/2014/chart" uri="{C3380CC4-5D6E-409C-BE32-E72D297353CC}">
              <c16:uniqueId val="{00000003-E9E9-694E-86BA-9B40DC91EF62}"/>
            </c:ext>
          </c:extLst>
        </c:ser>
        <c:ser>
          <c:idx val="4"/>
          <c:order val="4"/>
          <c:tx>
            <c:strRef>
              <c:f>'2026-10-11'!$F$226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'2026-10-11'!$F$227:$F$235</c:f>
              <c:numCache>
                <c:formatCode>#,##0</c:formatCode>
                <c:ptCount val="9"/>
                <c:pt idx="0">
                  <c:v>0</c:v>
                </c:pt>
                <c:pt idx="1">
                  <c:v>0</c:v>
                </c:pt>
                <c:pt idx="2">
                  <c:v>3</c:v>
                </c:pt>
                <c:pt idx="3">
                  <c:v>4</c:v>
                </c:pt>
                <c:pt idx="4">
                  <c:v>5</c:v>
                </c:pt>
                <c:pt idx="5">
                  <c:v>5</c:v>
                </c:pt>
                <c:pt idx="6">
                  <c:v>4</c:v>
                </c:pt>
                <c:pt idx="7">
                  <c:v>7</c:v>
                </c:pt>
                <c:pt idx="8">
                  <c:v>0</c:v>
                </c:pt>
              </c:numCache>
            </c:numRef>
          </c:val>
          <c:extLst>
            <c:ext xmlns:c16="http://schemas.microsoft.com/office/drawing/2014/chart" uri="{C3380CC4-5D6E-409C-BE32-E72D297353CC}">
              <c16:uniqueId val="{00000004-E9E9-694E-86BA-9B40DC91EF62}"/>
            </c:ext>
          </c:extLst>
        </c:ser>
        <c:ser>
          <c:idx val="5"/>
          <c:order val="5"/>
          <c:tx>
            <c:strRef>
              <c:f>'2026-10-11'!$G$226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'2026-10-11'!$G$227:$G$235</c:f>
              <c:numCache>
                <c:formatCode>#,##0</c:formatCode>
                <c:ptCount val="9"/>
                <c:pt idx="0">
                  <c:v>0</c:v>
                </c:pt>
                <c:pt idx="1">
                  <c:v>0</c:v>
                </c:pt>
                <c:pt idx="2">
                  <c:v>3</c:v>
                </c:pt>
                <c:pt idx="3">
                  <c:v>1</c:v>
                </c:pt>
                <c:pt idx="4">
                  <c:v>1</c:v>
                </c:pt>
                <c:pt idx="5">
                  <c:v>0</c:v>
                </c:pt>
                <c:pt idx="6">
                  <c:v>1</c:v>
                </c:pt>
                <c:pt idx="7">
                  <c:v>0</c:v>
                </c:pt>
                <c:pt idx="8">
                  <c:v>2</c:v>
                </c:pt>
              </c:numCache>
            </c:numRef>
          </c:val>
          <c:extLst>
            <c:ext xmlns:c16="http://schemas.microsoft.com/office/drawing/2014/chart" uri="{C3380CC4-5D6E-409C-BE32-E72D297353CC}">
              <c16:uniqueId val="{00000005-E9E9-694E-86BA-9B40DC91EF62}"/>
            </c:ext>
          </c:extLst>
        </c:ser>
        <c:ser>
          <c:idx val="6"/>
          <c:order val="6"/>
          <c:tx>
            <c:strRef>
              <c:f>'2026-10-11'!$H$226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'2026-10-11'!$H$227:$H$235</c:f>
              <c:numCache>
                <c:formatCode>#,##0</c:formatCode>
                <c:ptCount val="9"/>
                <c:pt idx="0">
                  <c:v>4</c:v>
                </c:pt>
                <c:pt idx="1">
                  <c:v>6</c:v>
                </c:pt>
                <c:pt idx="2">
                  <c:v>9</c:v>
                </c:pt>
                <c:pt idx="3">
                  <c:v>6</c:v>
                </c:pt>
                <c:pt idx="4">
                  <c:v>4</c:v>
                </c:pt>
                <c:pt idx="5">
                  <c:v>9</c:v>
                </c:pt>
                <c:pt idx="6">
                  <c:v>9</c:v>
                </c:pt>
                <c:pt idx="7">
                  <c:v>8</c:v>
                </c:pt>
                <c:pt idx="8">
                  <c:v>6</c:v>
                </c:pt>
              </c:numCache>
            </c:numRef>
          </c:val>
          <c:extLst>
            <c:ext xmlns:c16="http://schemas.microsoft.com/office/drawing/2014/chart" uri="{C3380CC4-5D6E-409C-BE32-E72D297353CC}">
              <c16:uniqueId val="{00000006-E9E9-694E-86BA-9B40DC91EF62}"/>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'2026-10-11'!$B$262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'2026-10-11'!$B$263:$B$272</c:f>
              <c:numCache>
                <c:formatCode>#,##0</c:formatCode>
                <c:ptCount val="10"/>
                <c:pt idx="0">
                  <c:v>4</c:v>
                </c:pt>
                <c:pt idx="1">
                  <c:v>6</c:v>
                </c:pt>
                <c:pt idx="2">
                  <c:v>9</c:v>
                </c:pt>
                <c:pt idx="3">
                  <c:v>6</c:v>
                </c:pt>
                <c:pt idx="4">
                  <c:v>4</c:v>
                </c:pt>
                <c:pt idx="5">
                  <c:v>9</c:v>
                </c:pt>
                <c:pt idx="6">
                  <c:v>9</c:v>
                </c:pt>
                <c:pt idx="7">
                  <c:v>8</c:v>
                </c:pt>
                <c:pt idx="8">
                  <c:v>6</c:v>
                </c:pt>
                <c:pt idx="9">
                  <c:v>1</c:v>
                </c:pt>
              </c:numCache>
            </c:numRef>
          </c:val>
          <c:extLst>
            <c:ext xmlns:c16="http://schemas.microsoft.com/office/drawing/2014/chart" uri="{C3380CC4-5D6E-409C-BE32-E72D297353CC}">
              <c16:uniqueId val="{00000000-A03D-AE4E-B683-EF9C714169D9}"/>
            </c:ext>
          </c:extLst>
        </c:ser>
        <c:ser>
          <c:idx val="1"/>
          <c:order val="1"/>
          <c:tx>
            <c:strRef>
              <c:f>'2026-10-11'!$C$262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'2026-10-11'!$C$263:$C$272</c:f>
              <c:numCache>
                <c:formatCode>#,##0</c:formatCode>
                <c:ptCount val="10"/>
                <c:pt idx="0">
                  <c:v>0</c:v>
                </c:pt>
                <c:pt idx="1">
                  <c:v>2</c:v>
                </c:pt>
                <c:pt idx="2">
                  <c:v>7</c:v>
                </c:pt>
                <c:pt idx="3">
                  <c:v>9</c:v>
                </c:pt>
                <c:pt idx="4">
                  <c:v>12</c:v>
                </c:pt>
                <c:pt idx="5">
                  <c:v>16</c:v>
                </c:pt>
                <c:pt idx="6">
                  <c:v>8</c:v>
                </c:pt>
                <c:pt idx="7">
                  <c:v>13</c:v>
                </c:pt>
                <c:pt idx="8">
                  <c:v>6</c:v>
                </c:pt>
                <c:pt idx="9">
                  <c:v>1</c:v>
                </c:pt>
              </c:numCache>
            </c:numRef>
          </c:val>
          <c:extLst>
            <c:ext xmlns:c16="http://schemas.microsoft.com/office/drawing/2014/chart" uri="{C3380CC4-5D6E-409C-BE32-E72D297353CC}">
              <c16:uniqueId val="{00000001-A03D-AE4E-B683-EF9C714169D9}"/>
            </c:ext>
          </c:extLst>
        </c:ser>
        <c:ser>
          <c:idx val="2"/>
          <c:order val="2"/>
          <c:tx>
            <c:strRef>
              <c:f>'2026-10-11'!$D$262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'2026-10-11'!$A$263:$A$272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'2026-10-11'!$D$263:$D$272</c:f>
              <c:numCache>
                <c:formatCode>#,##0</c:formatCode>
                <c:ptCount val="10"/>
                <c:pt idx="0">
                  <c:v>0</c:v>
                </c:pt>
                <c:pt idx="1">
                  <c:v>0</c:v>
                </c:pt>
                <c:pt idx="2">
                  <c:v>5</c:v>
                </c:pt>
                <c:pt idx="3">
                  <c:v>2</c:v>
                </c:pt>
                <c:pt idx="4">
                  <c:v>1</c:v>
                </c:pt>
                <c:pt idx="5">
                  <c:v>2</c:v>
                </c:pt>
                <c:pt idx="6">
                  <c:v>1</c:v>
                </c:pt>
                <c:pt idx="7">
                  <c:v>2</c:v>
                </c:pt>
                <c:pt idx="8">
                  <c:v>2</c:v>
                </c:pt>
                <c:pt idx="9">
                  <c:v>1</c:v>
                </c:pt>
              </c:numCache>
            </c:numRef>
          </c:val>
          <c:extLst>
            <c:ext xmlns:c16="http://schemas.microsoft.com/office/drawing/2014/chart" uri="{C3380CC4-5D6E-409C-BE32-E72D297353CC}">
              <c16:uniqueId val="{00000002-A03D-AE4E-B683-EF9C714169D9}"/>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'2026-10-12'!$B$226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'2026-10-12'!$B$227:$B$235</c:f>
              <c:numCache>
                <c:formatCode>#,##0</c:formatCode>
                <c:ptCount val="9"/>
                <c:pt idx="0">
                  <c:v>0</c:v>
                </c:pt>
                <c:pt idx="1">
                  <c:v>0</c:v>
                </c:pt>
                <c:pt idx="2">
                  <c:v>2</c:v>
                </c:pt>
                <c:pt idx="3">
                  <c:v>0</c:v>
                </c:pt>
                <c:pt idx="4">
                  <c:v>0</c:v>
                </c:pt>
                <c:pt idx="5">
                  <c:v>2</c:v>
                </c:pt>
                <c:pt idx="6">
                  <c:v>0</c:v>
                </c:pt>
                <c:pt idx="7">
                  <c:v>1</c:v>
                </c:pt>
                <c:pt idx="8">
                  <c:v>1</c:v>
                </c:pt>
              </c:numCache>
            </c:numRef>
          </c:val>
          <c:extLst>
            <c:ext xmlns:c16="http://schemas.microsoft.com/office/drawing/2014/chart" uri="{C3380CC4-5D6E-409C-BE32-E72D297353CC}">
              <c16:uniqueId val="{00000000-F73B-614D-8E51-D5BF3D65BD86}"/>
            </c:ext>
          </c:extLst>
        </c:ser>
        <c:ser>
          <c:idx val="1"/>
          <c:order val="1"/>
          <c:tx>
            <c:strRef>
              <c:f>'2026-10-12'!$C$226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'2026-10-12'!$C$227:$C$235</c:f>
              <c:numCache>
                <c:formatCode>#,##0</c:formatCode>
                <c:ptCount val="9"/>
                <c:pt idx="0">
                  <c:v>0</c:v>
                </c:pt>
                <c:pt idx="1">
                  <c:v>2</c:v>
                </c:pt>
                <c:pt idx="2">
                  <c:v>4</c:v>
                </c:pt>
                <c:pt idx="3">
                  <c:v>4</c:v>
                </c:pt>
                <c:pt idx="4">
                  <c:v>5</c:v>
                </c:pt>
                <c:pt idx="5">
                  <c:v>4</c:v>
                </c:pt>
                <c:pt idx="6">
                  <c:v>7</c:v>
                </c:pt>
                <c:pt idx="7">
                  <c:v>2</c:v>
                </c:pt>
                <c:pt idx="8">
                  <c:v>3</c:v>
                </c:pt>
              </c:numCache>
            </c:numRef>
          </c:val>
          <c:extLst>
            <c:ext xmlns:c16="http://schemas.microsoft.com/office/drawing/2014/chart" uri="{C3380CC4-5D6E-409C-BE32-E72D297353CC}">
              <c16:uniqueId val="{00000001-F73B-614D-8E51-D5BF3D65BD86}"/>
            </c:ext>
          </c:extLst>
        </c:ser>
        <c:ser>
          <c:idx val="2"/>
          <c:order val="2"/>
          <c:tx>
            <c:strRef>
              <c:f>'2026-10-12'!$D$226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73B-614D-8E51-D5BF3D65BD86}"/>
            </c:ext>
          </c:extLst>
        </c:ser>
        <c:ser>
          <c:idx val="3"/>
          <c:order val="3"/>
          <c:tx>
            <c:strRef>
              <c:f>'2026-10-12'!$E$226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'2026-10-12'!$E$227:$E$235</c:f>
              <c:numCache>
                <c:formatCode>#,##0</c:formatCode>
                <c:ptCount val="9"/>
                <c:pt idx="0">
                  <c:v>0</c:v>
                </c:pt>
                <c:pt idx="1">
                  <c:v>1</c:v>
                </c:pt>
                <c:pt idx="2">
                  <c:v>0</c:v>
                </c:pt>
                <c:pt idx="3">
                  <c:v>1</c:v>
                </c:pt>
                <c:pt idx="4">
                  <c:v>1</c:v>
                </c:pt>
                <c:pt idx="5">
                  <c:v>3</c:v>
                </c:pt>
                <c:pt idx="6">
                  <c:v>0</c:v>
                </c:pt>
                <c:pt idx="7">
                  <c:v>3</c:v>
                </c:pt>
                <c:pt idx="8">
                  <c:v>1</c:v>
                </c:pt>
              </c:numCache>
            </c:numRef>
          </c:val>
          <c:extLst>
            <c:ext xmlns:c16="http://schemas.microsoft.com/office/drawing/2014/chart" uri="{C3380CC4-5D6E-409C-BE32-E72D297353CC}">
              <c16:uniqueId val="{00000003-F73B-614D-8E51-D5BF3D65BD86}"/>
            </c:ext>
          </c:extLst>
        </c:ser>
        <c:ser>
          <c:idx val="4"/>
          <c:order val="4"/>
          <c:tx>
            <c:strRef>
              <c:f>'2026-10-12'!$F$226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'2026-10-12'!$F$227:$F$235</c:f>
              <c:numCache>
                <c:formatCode>#,##0</c:formatCode>
                <c:ptCount val="9"/>
                <c:pt idx="0">
                  <c:v>0</c:v>
                </c:pt>
                <c:pt idx="1">
                  <c:v>0</c:v>
                </c:pt>
                <c:pt idx="2">
                  <c:v>4</c:v>
                </c:pt>
                <c:pt idx="3">
                  <c:v>2</c:v>
                </c:pt>
                <c:pt idx="4">
                  <c:v>9</c:v>
                </c:pt>
                <c:pt idx="5">
                  <c:v>6</c:v>
                </c:pt>
                <c:pt idx="6">
                  <c:v>3</c:v>
                </c:pt>
                <c:pt idx="7">
                  <c:v>3</c:v>
                </c:pt>
                <c:pt idx="8">
                  <c:v>2</c:v>
                </c:pt>
              </c:numCache>
            </c:numRef>
          </c:val>
          <c:extLst>
            <c:ext xmlns:c16="http://schemas.microsoft.com/office/drawing/2014/chart" uri="{C3380CC4-5D6E-409C-BE32-E72D297353CC}">
              <c16:uniqueId val="{00000004-F73B-614D-8E51-D5BF3D65BD86}"/>
            </c:ext>
          </c:extLst>
        </c:ser>
        <c:ser>
          <c:idx val="5"/>
          <c:order val="5"/>
          <c:tx>
            <c:strRef>
              <c:f>'2026-10-12'!$G$226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'2026-10-12'!$G$227:$G$235</c:f>
              <c:numCache>
                <c:formatCode>#,##0</c:formatCode>
                <c:ptCount val="9"/>
                <c:pt idx="0">
                  <c:v>0</c:v>
                </c:pt>
                <c:pt idx="1">
                  <c:v>0</c:v>
                </c:pt>
                <c:pt idx="2">
                  <c:v>1</c:v>
                </c:pt>
                <c:pt idx="3">
                  <c:v>2</c:v>
                </c:pt>
                <c:pt idx="4">
                  <c:v>1</c:v>
                </c:pt>
                <c:pt idx="5">
                  <c:v>1</c:v>
                </c:pt>
                <c:pt idx="6">
                  <c:v>0</c:v>
                </c:pt>
                <c:pt idx="7">
                  <c:v>1</c:v>
                </c:pt>
                <c:pt idx="8">
                  <c:v>1</c:v>
                </c:pt>
              </c:numCache>
            </c:numRef>
          </c:val>
          <c:extLst>
            <c:ext xmlns:c16="http://schemas.microsoft.com/office/drawing/2014/chart" uri="{C3380CC4-5D6E-409C-BE32-E72D297353CC}">
              <c16:uniqueId val="{00000005-F73B-614D-8E51-D5BF3D65BD86}"/>
            </c:ext>
          </c:extLst>
        </c:ser>
        <c:ser>
          <c:idx val="6"/>
          <c:order val="6"/>
          <c:tx>
            <c:strRef>
              <c:f>'2026-10-12'!$H$226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'2026-10-12'!$H$227:$H$235</c:f>
              <c:numCache>
                <c:formatCode>#,##0</c:formatCode>
                <c:ptCount val="9"/>
                <c:pt idx="0">
                  <c:v>1</c:v>
                </c:pt>
                <c:pt idx="1">
                  <c:v>9</c:v>
                </c:pt>
                <c:pt idx="2">
                  <c:v>12</c:v>
                </c:pt>
                <c:pt idx="3">
                  <c:v>5</c:v>
                </c:pt>
                <c:pt idx="4">
                  <c:v>6</c:v>
                </c:pt>
                <c:pt idx="5">
                  <c:v>14</c:v>
                </c:pt>
                <c:pt idx="6">
                  <c:v>10</c:v>
                </c:pt>
                <c:pt idx="7">
                  <c:v>7</c:v>
                </c:pt>
                <c:pt idx="8">
                  <c:v>4</c:v>
                </c:pt>
              </c:numCache>
            </c:numRef>
          </c:val>
          <c:extLst>
            <c:ext xmlns:c16="http://schemas.microsoft.com/office/drawing/2014/chart" uri="{C3380CC4-5D6E-409C-BE32-E72D297353CC}">
              <c16:uniqueId val="{00000006-F73B-614D-8E51-D5BF3D65BD86}"/>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'2026-10-12'!$B$262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'2026-10-12'!$B$263:$B$272</c:f>
              <c:numCache>
                <c:formatCode>#,##0</c:formatCode>
                <c:ptCount val="10"/>
                <c:pt idx="0">
                  <c:v>1</c:v>
                </c:pt>
                <c:pt idx="1">
                  <c:v>9</c:v>
                </c:pt>
                <c:pt idx="2">
                  <c:v>12</c:v>
                </c:pt>
                <c:pt idx="3">
                  <c:v>5</c:v>
                </c:pt>
                <c:pt idx="4">
                  <c:v>6</c:v>
                </c:pt>
                <c:pt idx="5">
                  <c:v>14</c:v>
                </c:pt>
                <c:pt idx="6">
                  <c:v>10</c:v>
                </c:pt>
                <c:pt idx="7">
                  <c:v>7</c:v>
                </c:pt>
                <c:pt idx="8">
                  <c:v>4</c:v>
                </c:pt>
                <c:pt idx="9">
                  <c:v>4</c:v>
                </c:pt>
              </c:numCache>
            </c:numRef>
          </c:val>
          <c:extLst>
            <c:ext xmlns:c16="http://schemas.microsoft.com/office/drawing/2014/chart" uri="{C3380CC4-5D6E-409C-BE32-E72D297353CC}">
              <c16:uniqueId val="{00000000-19B9-8D4A-BA8A-44C8B47A96D3}"/>
            </c:ext>
          </c:extLst>
        </c:ser>
        <c:ser>
          <c:idx val="1"/>
          <c:order val="1"/>
          <c:tx>
            <c:strRef>
              <c:f>'2026-10-12'!$C$262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'2026-10-12'!$C$263:$C$272</c:f>
              <c:numCache>
                <c:formatCode>#,##0</c:formatCode>
                <c:ptCount val="10"/>
                <c:pt idx="0">
                  <c:v>0</c:v>
                </c:pt>
                <c:pt idx="1">
                  <c:v>3</c:v>
                </c:pt>
                <c:pt idx="2">
                  <c:v>8</c:v>
                </c:pt>
                <c:pt idx="3">
                  <c:v>7</c:v>
                </c:pt>
                <c:pt idx="4">
                  <c:v>15</c:v>
                </c:pt>
                <c:pt idx="5">
                  <c:v>13</c:v>
                </c:pt>
                <c:pt idx="6">
                  <c:v>10</c:v>
                </c:pt>
                <c:pt idx="7">
                  <c:v>8</c:v>
                </c:pt>
                <c:pt idx="8">
                  <c:v>6</c:v>
                </c:pt>
                <c:pt idx="9">
                  <c:v>0</c:v>
                </c:pt>
              </c:numCache>
            </c:numRef>
          </c:val>
          <c:extLst>
            <c:ext xmlns:c16="http://schemas.microsoft.com/office/drawing/2014/chart" uri="{C3380CC4-5D6E-409C-BE32-E72D297353CC}">
              <c16:uniqueId val="{00000001-19B9-8D4A-BA8A-44C8B47A96D3}"/>
            </c:ext>
          </c:extLst>
        </c:ser>
        <c:ser>
          <c:idx val="2"/>
          <c:order val="2"/>
          <c:tx>
            <c:strRef>
              <c:f>'2026-10-12'!$D$262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'2026-10-12'!$A$263:$A$272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'2026-10-12'!$D$263:$D$272</c:f>
              <c:numCache>
                <c:formatCode>#,##0</c:formatCode>
                <c:ptCount val="10"/>
                <c:pt idx="0">
                  <c:v>0</c:v>
                </c:pt>
                <c:pt idx="1">
                  <c:v>0</c:v>
                </c:pt>
                <c:pt idx="2">
                  <c:v>3</c:v>
                </c:pt>
                <c:pt idx="3">
                  <c:v>2</c:v>
                </c:pt>
                <c:pt idx="4">
                  <c:v>1</c:v>
                </c:pt>
                <c:pt idx="5">
                  <c:v>3</c:v>
                </c:pt>
                <c:pt idx="6">
                  <c:v>0</c:v>
                </c:pt>
                <c:pt idx="7">
                  <c:v>2</c:v>
                </c:pt>
                <c:pt idx="8">
                  <c:v>2</c:v>
                </c:pt>
                <c:pt idx="9">
                  <c:v>3</c:v>
                </c:pt>
              </c:numCache>
            </c:numRef>
          </c:val>
          <c:extLst>
            <c:ext xmlns:c16="http://schemas.microsoft.com/office/drawing/2014/chart" uri="{C3380CC4-5D6E-409C-BE32-E72D297353CC}">
              <c16:uniqueId val="{00000002-19B9-8D4A-BA8A-44C8B47A96D3}"/>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'2026-10-13'!$B$226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'2026-10-13'!$B$227:$B$235</c:f>
              <c:numCache>
                <c:formatCode>#,##0</c:formatCode>
                <c:ptCount val="9"/>
                <c:pt idx="0">
                  <c:v>0</c:v>
                </c:pt>
                <c:pt idx="1">
                  <c:v>0</c:v>
                </c:pt>
                <c:pt idx="2">
                  <c:v>1</c:v>
                </c:pt>
                <c:pt idx="3">
                  <c:v>0</c:v>
                </c:pt>
                <c:pt idx="4">
                  <c:v>1</c:v>
                </c:pt>
                <c:pt idx="5">
                  <c:v>1</c:v>
                </c:pt>
                <c:pt idx="6">
                  <c:v>1</c:v>
                </c:pt>
                <c:pt idx="7">
                  <c:v>1</c:v>
                </c:pt>
                <c:pt idx="8">
                  <c:v>0</c:v>
                </c:pt>
              </c:numCache>
            </c:numRef>
          </c:val>
          <c:extLst>
            <c:ext xmlns:c16="http://schemas.microsoft.com/office/drawing/2014/chart" uri="{C3380CC4-5D6E-409C-BE32-E72D297353CC}">
              <c16:uniqueId val="{00000000-0E44-C54B-A983-2BB2B95D52C6}"/>
            </c:ext>
          </c:extLst>
        </c:ser>
        <c:ser>
          <c:idx val="1"/>
          <c:order val="1"/>
          <c:tx>
            <c:strRef>
              <c:f>'2026-10-13'!$C$226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'2026-10-13'!$C$227:$C$235</c:f>
              <c:numCache>
                <c:formatCode>#,##0</c:formatCode>
                <c:ptCount val="9"/>
                <c:pt idx="0">
                  <c:v>0</c:v>
                </c:pt>
                <c:pt idx="1">
                  <c:v>1</c:v>
                </c:pt>
                <c:pt idx="2">
                  <c:v>2</c:v>
                </c:pt>
                <c:pt idx="3">
                  <c:v>4</c:v>
                </c:pt>
                <c:pt idx="4">
                  <c:v>7</c:v>
                </c:pt>
                <c:pt idx="5">
                  <c:v>2</c:v>
                </c:pt>
                <c:pt idx="6">
                  <c:v>4</c:v>
                </c:pt>
                <c:pt idx="7">
                  <c:v>1</c:v>
                </c:pt>
                <c:pt idx="8">
                  <c:v>1</c:v>
                </c:pt>
              </c:numCache>
            </c:numRef>
          </c:val>
          <c:extLst>
            <c:ext xmlns:c16="http://schemas.microsoft.com/office/drawing/2014/chart" uri="{C3380CC4-5D6E-409C-BE32-E72D297353CC}">
              <c16:uniqueId val="{00000001-0E44-C54B-A983-2BB2B95D52C6}"/>
            </c:ext>
          </c:extLst>
        </c:ser>
        <c:ser>
          <c:idx val="2"/>
          <c:order val="2"/>
          <c:tx>
            <c:strRef>
              <c:f>'2026-10-13'!$D$226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'2026-10-13'!$D$227:$D$235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0E44-C54B-A983-2BB2B95D52C6}"/>
            </c:ext>
          </c:extLst>
        </c:ser>
        <c:ser>
          <c:idx val="3"/>
          <c:order val="3"/>
          <c:tx>
            <c:strRef>
              <c:f>'2026-10-13'!$E$226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'2026-10-13'!$E$227:$E$235</c:f>
              <c:numCache>
                <c:formatCode>#,##0</c:formatCode>
                <c:ptCount val="9"/>
                <c:pt idx="0">
                  <c:v>0</c:v>
                </c:pt>
                <c:pt idx="1">
                  <c:v>0</c:v>
                </c:pt>
                <c:pt idx="2">
                  <c:v>0</c:v>
                </c:pt>
                <c:pt idx="3">
                  <c:v>2</c:v>
                </c:pt>
                <c:pt idx="4">
                  <c:v>0</c:v>
                </c:pt>
                <c:pt idx="5">
                  <c:v>3</c:v>
                </c:pt>
                <c:pt idx="6">
                  <c:v>1</c:v>
                </c:pt>
                <c:pt idx="7">
                  <c:v>3</c:v>
                </c:pt>
                <c:pt idx="8">
                  <c:v>0</c:v>
                </c:pt>
              </c:numCache>
            </c:numRef>
          </c:val>
          <c:extLst>
            <c:ext xmlns:c16="http://schemas.microsoft.com/office/drawing/2014/chart" uri="{C3380CC4-5D6E-409C-BE32-E72D297353CC}">
              <c16:uniqueId val="{00000003-0E44-C54B-A983-2BB2B95D52C6}"/>
            </c:ext>
          </c:extLst>
        </c:ser>
        <c:ser>
          <c:idx val="4"/>
          <c:order val="4"/>
          <c:tx>
            <c:strRef>
              <c:f>'2026-10-13'!$F$226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'2026-10-13'!$F$227:$F$235</c:f>
              <c:numCache>
                <c:formatCode>#,##0</c:formatCode>
                <c:ptCount val="9"/>
                <c:pt idx="0">
                  <c:v>0</c:v>
                </c:pt>
                <c:pt idx="1">
                  <c:v>1</c:v>
                </c:pt>
                <c:pt idx="2">
                  <c:v>3</c:v>
                </c:pt>
                <c:pt idx="3">
                  <c:v>1</c:v>
                </c:pt>
                <c:pt idx="4">
                  <c:v>7</c:v>
                </c:pt>
                <c:pt idx="5">
                  <c:v>2</c:v>
                </c:pt>
                <c:pt idx="6">
                  <c:v>5</c:v>
                </c:pt>
                <c:pt idx="7">
                  <c:v>2</c:v>
                </c:pt>
                <c:pt idx="8">
                  <c:v>0</c:v>
                </c:pt>
              </c:numCache>
            </c:numRef>
          </c:val>
          <c:extLst>
            <c:ext xmlns:c16="http://schemas.microsoft.com/office/drawing/2014/chart" uri="{C3380CC4-5D6E-409C-BE32-E72D297353CC}">
              <c16:uniqueId val="{00000004-0E44-C54B-A983-2BB2B95D52C6}"/>
            </c:ext>
          </c:extLst>
        </c:ser>
        <c:ser>
          <c:idx val="5"/>
          <c:order val="5"/>
          <c:tx>
            <c:strRef>
              <c:f>'2026-10-13'!$G$226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'2026-10-13'!$G$227:$G$235</c:f>
              <c:numCache>
                <c:formatCode>#,##0</c:formatCode>
                <c:ptCount val="9"/>
                <c:pt idx="0">
                  <c:v>0</c:v>
                </c:pt>
                <c:pt idx="1">
                  <c:v>0</c:v>
                </c:pt>
                <c:pt idx="2">
                  <c:v>4</c:v>
                </c:pt>
                <c:pt idx="3">
                  <c:v>1</c:v>
                </c:pt>
                <c:pt idx="4">
                  <c:v>1</c:v>
                </c:pt>
                <c:pt idx="5">
                  <c:v>1</c:v>
                </c:pt>
                <c:pt idx="6">
                  <c:v>0</c:v>
                </c:pt>
                <c:pt idx="7">
                  <c:v>1</c:v>
                </c:pt>
                <c:pt idx="8">
                  <c:v>1</c:v>
                </c:pt>
              </c:numCache>
            </c:numRef>
          </c:val>
          <c:extLst>
            <c:ext xmlns:c16="http://schemas.microsoft.com/office/drawing/2014/chart" uri="{C3380CC4-5D6E-409C-BE32-E72D297353CC}">
              <c16:uniqueId val="{00000005-0E44-C54B-A983-2BB2B95D52C6}"/>
            </c:ext>
          </c:extLst>
        </c:ser>
        <c:ser>
          <c:idx val="6"/>
          <c:order val="6"/>
          <c:tx>
            <c:strRef>
              <c:f>'2026-10-13'!$H$226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'2026-10-13'!$H$227:$H$235</c:f>
              <c:numCache>
                <c:formatCode>#,##0</c:formatCode>
                <c:ptCount val="9"/>
                <c:pt idx="0">
                  <c:v>1</c:v>
                </c:pt>
                <c:pt idx="1">
                  <c:v>6</c:v>
                </c:pt>
                <c:pt idx="2">
                  <c:v>6</c:v>
                </c:pt>
                <c:pt idx="3">
                  <c:v>5</c:v>
                </c:pt>
                <c:pt idx="4">
                  <c:v>5</c:v>
                </c:pt>
                <c:pt idx="5">
                  <c:v>8</c:v>
                </c:pt>
                <c:pt idx="6">
                  <c:v>5</c:v>
                </c:pt>
                <c:pt idx="7">
                  <c:v>9</c:v>
                </c:pt>
                <c:pt idx="8">
                  <c:v>7</c:v>
                </c:pt>
              </c:numCache>
            </c:numRef>
          </c:val>
          <c:extLst>
            <c:ext xmlns:c16="http://schemas.microsoft.com/office/drawing/2014/chart" uri="{C3380CC4-5D6E-409C-BE32-E72D297353CC}">
              <c16:uniqueId val="{00000006-0E44-C54B-A983-2BB2B95D52C6}"/>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'2026-10-13'!$B$262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'2026-10-13'!$B$263:$B$272</c:f>
              <c:numCache>
                <c:formatCode>#,##0</c:formatCode>
                <c:ptCount val="10"/>
                <c:pt idx="0">
                  <c:v>1</c:v>
                </c:pt>
                <c:pt idx="1">
                  <c:v>6</c:v>
                </c:pt>
                <c:pt idx="2">
                  <c:v>6</c:v>
                </c:pt>
                <c:pt idx="3">
                  <c:v>5</c:v>
                </c:pt>
                <c:pt idx="4">
                  <c:v>5</c:v>
                </c:pt>
                <c:pt idx="5">
                  <c:v>8</c:v>
                </c:pt>
                <c:pt idx="6">
                  <c:v>5</c:v>
                </c:pt>
                <c:pt idx="7">
                  <c:v>9</c:v>
                </c:pt>
                <c:pt idx="8">
                  <c:v>7</c:v>
                </c:pt>
                <c:pt idx="9">
                  <c:v>4</c:v>
                </c:pt>
              </c:numCache>
            </c:numRef>
          </c:val>
          <c:extLst>
            <c:ext xmlns:c16="http://schemas.microsoft.com/office/drawing/2014/chart" uri="{C3380CC4-5D6E-409C-BE32-E72D297353CC}">
              <c16:uniqueId val="{00000000-00F6-D447-9A2E-0F0FDAC230E8}"/>
            </c:ext>
          </c:extLst>
        </c:ser>
        <c:ser>
          <c:idx val="1"/>
          <c:order val="1"/>
          <c:tx>
            <c:strRef>
              <c:f>'2026-10-13'!$C$262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'2026-10-13'!$C$263:$C$272</c:f>
              <c:numCache>
                <c:formatCode>#,##0</c:formatCode>
                <c:ptCount val="10"/>
                <c:pt idx="0">
                  <c:v>0</c:v>
                </c:pt>
                <c:pt idx="1">
                  <c:v>2</c:v>
                </c:pt>
                <c:pt idx="2">
                  <c:v>5</c:v>
                </c:pt>
                <c:pt idx="3">
                  <c:v>7</c:v>
                </c:pt>
                <c:pt idx="4">
                  <c:v>14</c:v>
                </c:pt>
                <c:pt idx="5">
                  <c:v>7</c:v>
                </c:pt>
                <c:pt idx="6">
                  <c:v>10</c:v>
                </c:pt>
                <c:pt idx="7">
                  <c:v>6</c:v>
                </c:pt>
                <c:pt idx="8">
                  <c:v>1</c:v>
                </c:pt>
                <c:pt idx="9">
                  <c:v>3</c:v>
                </c:pt>
              </c:numCache>
            </c:numRef>
          </c:val>
          <c:extLst>
            <c:ext xmlns:c16="http://schemas.microsoft.com/office/drawing/2014/chart" uri="{C3380CC4-5D6E-409C-BE32-E72D297353CC}">
              <c16:uniqueId val="{00000001-00F6-D447-9A2E-0F0FDAC230E8}"/>
            </c:ext>
          </c:extLst>
        </c:ser>
        <c:ser>
          <c:idx val="2"/>
          <c:order val="2"/>
          <c:tx>
            <c:strRef>
              <c:f>'2026-10-13'!$D$262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'2026-10-13'!$A$263:$A$272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'2026-10-13'!$D$263:$D$272</c:f>
              <c:numCache>
                <c:formatCode>#,##0</c:formatCode>
                <c:ptCount val="10"/>
                <c:pt idx="0">
                  <c:v>0</c:v>
                </c:pt>
                <c:pt idx="1">
                  <c:v>0</c:v>
                </c:pt>
                <c:pt idx="2">
                  <c:v>5</c:v>
                </c:pt>
                <c:pt idx="3">
                  <c:v>1</c:v>
                </c:pt>
                <c:pt idx="4">
                  <c:v>2</c:v>
                </c:pt>
                <c:pt idx="5">
                  <c:v>2</c:v>
                </c:pt>
                <c:pt idx="6">
                  <c:v>1</c:v>
                </c:pt>
                <c:pt idx="7">
                  <c:v>2</c:v>
                </c:pt>
                <c:pt idx="8">
                  <c:v>1</c:v>
                </c:pt>
                <c:pt idx="9">
                  <c:v>1</c:v>
                </c:pt>
              </c:numCache>
            </c:numRef>
          </c:val>
          <c:extLst>
            <c:ext xmlns:c16="http://schemas.microsoft.com/office/drawing/2014/chart" uri="{C3380CC4-5D6E-409C-BE32-E72D297353CC}">
              <c16:uniqueId val="{00000002-00F6-D447-9A2E-0F0FDAC230E8}"/>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2: CANCUN DEPARTURES BY HOUR AND SID</a:t>
            </a:r>
          </a:p>
          <a:p>
            <a:pPr>
              <a:defRPr b="1"/>
            </a:pPr>
            <a:r>
              <a:rPr lang="en-US"/>
              <a:t>SUN OCT 4,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'2026-10-14'!$B$226</c:f>
              <c:strCache>
                <c:ptCount val="1"/>
                <c:pt idx="0">
                  <c:v>CZM</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'2026-10-14'!$B$227:$B$235</c:f>
              <c:numCache>
                <c:formatCode>#,##0</c:formatCode>
                <c:ptCount val="9"/>
                <c:pt idx="0">
                  <c:v>1</c:v>
                </c:pt>
                <c:pt idx="1">
                  <c:v>0</c:v>
                </c:pt>
                <c:pt idx="2">
                  <c:v>2</c:v>
                </c:pt>
                <c:pt idx="3">
                  <c:v>0</c:v>
                </c:pt>
                <c:pt idx="4">
                  <c:v>0</c:v>
                </c:pt>
                <c:pt idx="5">
                  <c:v>2</c:v>
                </c:pt>
                <c:pt idx="6">
                  <c:v>0</c:v>
                </c:pt>
                <c:pt idx="7">
                  <c:v>1</c:v>
                </c:pt>
                <c:pt idx="8">
                  <c:v>0</c:v>
                </c:pt>
              </c:numCache>
            </c:numRef>
          </c:val>
          <c:extLst>
            <c:ext xmlns:c16="http://schemas.microsoft.com/office/drawing/2014/chart" uri="{C3380CC4-5D6E-409C-BE32-E72D297353CC}">
              <c16:uniqueId val="{00000000-26A7-AC4A-BE47-06F7FD84403B}"/>
            </c:ext>
          </c:extLst>
        </c:ser>
        <c:ser>
          <c:idx val="1"/>
          <c:order val="1"/>
          <c:tx>
            <c:strRef>
              <c:f>'2026-10-14'!$C$226</c:f>
              <c:strCache>
                <c:ptCount val="1"/>
                <c:pt idx="0">
                  <c:v>ENEBA</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'2026-10-14'!$C$227:$C$235</c:f>
              <c:numCache>
                <c:formatCode>#,##0</c:formatCode>
                <c:ptCount val="9"/>
                <c:pt idx="0">
                  <c:v>0</c:v>
                </c:pt>
                <c:pt idx="1">
                  <c:v>0</c:v>
                </c:pt>
                <c:pt idx="2">
                  <c:v>4</c:v>
                </c:pt>
                <c:pt idx="3">
                  <c:v>5</c:v>
                </c:pt>
                <c:pt idx="4">
                  <c:v>4</c:v>
                </c:pt>
                <c:pt idx="5">
                  <c:v>7</c:v>
                </c:pt>
                <c:pt idx="6">
                  <c:v>3</c:v>
                </c:pt>
                <c:pt idx="7">
                  <c:v>3</c:v>
                </c:pt>
                <c:pt idx="8">
                  <c:v>2</c:v>
                </c:pt>
              </c:numCache>
            </c:numRef>
          </c:val>
          <c:extLst>
            <c:ext xmlns:c16="http://schemas.microsoft.com/office/drawing/2014/chart" uri="{C3380CC4-5D6E-409C-BE32-E72D297353CC}">
              <c16:uniqueId val="{00000001-26A7-AC4A-BE47-06F7FD84403B}"/>
            </c:ext>
          </c:extLst>
        </c:ser>
        <c:ser>
          <c:idx val="2"/>
          <c:order val="2"/>
          <c:tx>
            <c:strRef>
              <c:f>'2026-10-14'!$D$226</c:f>
              <c:strCache>
                <c:ptCount val="1"/>
                <c:pt idx="0">
                  <c:v>HECAT</c:v>
                </c:pt>
              </c:strCache>
            </c:strRef>
          </c:tx>
          <c:spPr>
            <a:solidFill>
              <a:srgbClr val="A5A5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'2026-10-14'!$D$227:$D$235</c:f>
              <c:numCache>
                <c:formatCode>#,##0</c:formatCode>
                <c:ptCount val="9"/>
                <c:pt idx="0">
                  <c:v>0</c:v>
                </c:pt>
                <c:pt idx="1">
                  <c:v>0</c:v>
                </c:pt>
                <c:pt idx="2">
                  <c:v>0</c:v>
                </c:pt>
                <c:pt idx="3">
                  <c:v>0</c:v>
                </c:pt>
                <c:pt idx="4">
                  <c:v>0</c:v>
                </c:pt>
                <c:pt idx="5">
                  <c:v>0</c:v>
                </c:pt>
                <c:pt idx="6">
                  <c:v>0</c:v>
                </c:pt>
                <c:pt idx="7">
                  <c:v>0</c:v>
                </c:pt>
                <c:pt idx="8">
                  <c:v>1</c:v>
                </c:pt>
              </c:numCache>
            </c:numRef>
          </c:val>
          <c:extLst>
            <c:ext xmlns:c16="http://schemas.microsoft.com/office/drawing/2014/chart" uri="{C3380CC4-5D6E-409C-BE32-E72D297353CC}">
              <c16:uniqueId val="{00000002-26A7-AC4A-BE47-06F7FD84403B}"/>
            </c:ext>
          </c:extLst>
        </c:ser>
        <c:ser>
          <c:idx val="3"/>
          <c:order val="3"/>
          <c:tx>
            <c:strRef>
              <c:f>'2026-10-14'!$E$226</c:f>
              <c:strCache>
                <c:ptCount val="1"/>
                <c:pt idx="0">
                  <c:v>NUDAL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'2026-10-14'!$E$227:$E$235</c:f>
              <c:numCache>
                <c:formatCode>#,##0</c:formatCode>
                <c:ptCount val="9"/>
                <c:pt idx="0">
                  <c:v>0</c:v>
                </c:pt>
                <c:pt idx="1">
                  <c:v>1</c:v>
                </c:pt>
                <c:pt idx="2">
                  <c:v>0</c:v>
                </c:pt>
                <c:pt idx="3">
                  <c:v>2</c:v>
                </c:pt>
                <c:pt idx="4">
                  <c:v>0</c:v>
                </c:pt>
                <c:pt idx="5">
                  <c:v>3</c:v>
                </c:pt>
                <c:pt idx="6">
                  <c:v>0</c:v>
                </c:pt>
                <c:pt idx="7">
                  <c:v>3</c:v>
                </c:pt>
                <c:pt idx="8">
                  <c:v>1</c:v>
                </c:pt>
              </c:numCache>
            </c:numRef>
          </c:val>
          <c:extLst>
            <c:ext xmlns:c16="http://schemas.microsoft.com/office/drawing/2014/chart" uri="{C3380CC4-5D6E-409C-BE32-E72D297353CC}">
              <c16:uniqueId val="{00000003-26A7-AC4A-BE47-06F7FD84403B}"/>
            </c:ext>
          </c:extLst>
        </c:ser>
        <c:ser>
          <c:idx val="4"/>
          <c:order val="4"/>
          <c:tx>
            <c:strRef>
              <c:f>'2026-10-14'!$F$226</c:f>
              <c:strCache>
                <c:ptCount val="1"/>
                <c:pt idx="0">
                  <c:v>OMSUK</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'2026-10-14'!$F$227:$F$235</c:f>
              <c:numCache>
                <c:formatCode>#,##0</c:formatCode>
                <c:ptCount val="9"/>
                <c:pt idx="0">
                  <c:v>1</c:v>
                </c:pt>
                <c:pt idx="1">
                  <c:v>2</c:v>
                </c:pt>
                <c:pt idx="2">
                  <c:v>2</c:v>
                </c:pt>
                <c:pt idx="3">
                  <c:v>3</c:v>
                </c:pt>
                <c:pt idx="4">
                  <c:v>5</c:v>
                </c:pt>
                <c:pt idx="5">
                  <c:v>4</c:v>
                </c:pt>
                <c:pt idx="6">
                  <c:v>2</c:v>
                </c:pt>
                <c:pt idx="7">
                  <c:v>3</c:v>
                </c:pt>
                <c:pt idx="8">
                  <c:v>1</c:v>
                </c:pt>
              </c:numCache>
            </c:numRef>
          </c:val>
          <c:extLst>
            <c:ext xmlns:c16="http://schemas.microsoft.com/office/drawing/2014/chart" uri="{C3380CC4-5D6E-409C-BE32-E72D297353CC}">
              <c16:uniqueId val="{00000004-26A7-AC4A-BE47-06F7FD84403B}"/>
            </c:ext>
          </c:extLst>
        </c:ser>
        <c:ser>
          <c:idx val="5"/>
          <c:order val="5"/>
          <c:tx>
            <c:strRef>
              <c:f>'2026-10-14'!$G$226</c:f>
              <c:strCache>
                <c:ptCount val="1"/>
                <c:pt idx="0">
                  <c:v>TAKUX</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'2026-10-14'!$G$227:$G$235</c:f>
              <c:numCache>
                <c:formatCode>#,##0</c:formatCode>
                <c:ptCount val="9"/>
                <c:pt idx="0">
                  <c:v>0</c:v>
                </c:pt>
                <c:pt idx="1">
                  <c:v>0</c:v>
                </c:pt>
                <c:pt idx="2">
                  <c:v>2</c:v>
                </c:pt>
                <c:pt idx="3">
                  <c:v>1</c:v>
                </c:pt>
                <c:pt idx="4">
                  <c:v>1</c:v>
                </c:pt>
                <c:pt idx="5">
                  <c:v>1</c:v>
                </c:pt>
                <c:pt idx="6">
                  <c:v>0</c:v>
                </c:pt>
                <c:pt idx="7">
                  <c:v>1</c:v>
                </c:pt>
                <c:pt idx="8">
                  <c:v>1</c:v>
                </c:pt>
              </c:numCache>
            </c:numRef>
          </c:val>
          <c:extLst>
            <c:ext xmlns:c16="http://schemas.microsoft.com/office/drawing/2014/chart" uri="{C3380CC4-5D6E-409C-BE32-E72D297353CC}">
              <c16:uniqueId val="{00000005-26A7-AC4A-BE47-06F7FD84403B}"/>
            </c:ext>
          </c:extLst>
        </c:ser>
        <c:ser>
          <c:idx val="6"/>
          <c:order val="6"/>
          <c:tx>
            <c:strRef>
              <c:f>'2026-10-14'!$H$226</c:f>
              <c:strCache>
                <c:ptCount val="1"/>
                <c:pt idx="0">
                  <c:v>UDGUV</c:v>
                </c:pt>
              </c:strCache>
            </c:strRef>
          </c:tx>
          <c:spPr>
            <a:solidFill>
              <a:srgbClr val="2644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'2026-10-14'!$A$227:$A$235</c:f>
              <c:numCache>
                <c:formatCode>00":00"</c:formatCode>
                <c:ptCount val="9"/>
                <c:pt idx="0">
                  <c:v>14</c:v>
                </c:pt>
                <c:pt idx="1">
                  <c:v>15</c:v>
                </c:pt>
                <c:pt idx="2">
                  <c:v>16</c:v>
                </c:pt>
                <c:pt idx="3">
                  <c:v>17</c:v>
                </c:pt>
                <c:pt idx="4">
                  <c:v>18</c:v>
                </c:pt>
                <c:pt idx="5">
                  <c:v>19</c:v>
                </c:pt>
                <c:pt idx="6">
                  <c:v>20</c:v>
                </c:pt>
                <c:pt idx="7">
                  <c:v>21</c:v>
                </c:pt>
                <c:pt idx="8">
                  <c:v>22</c:v>
                </c:pt>
              </c:numCache>
            </c:numRef>
          </c:cat>
          <c:val>
            <c:numRef>
              <c:f>'2026-10-14'!$H$227:$H$235</c:f>
              <c:numCache>
                <c:formatCode>#,##0</c:formatCode>
                <c:ptCount val="9"/>
                <c:pt idx="0">
                  <c:v>2</c:v>
                </c:pt>
                <c:pt idx="1">
                  <c:v>7</c:v>
                </c:pt>
                <c:pt idx="2">
                  <c:v>7</c:v>
                </c:pt>
                <c:pt idx="3">
                  <c:v>5</c:v>
                </c:pt>
                <c:pt idx="4">
                  <c:v>7</c:v>
                </c:pt>
                <c:pt idx="5">
                  <c:v>7</c:v>
                </c:pt>
                <c:pt idx="6">
                  <c:v>11</c:v>
                </c:pt>
                <c:pt idx="7">
                  <c:v>7</c:v>
                </c:pt>
                <c:pt idx="8">
                  <c:v>4</c:v>
                </c:pt>
              </c:numCache>
            </c:numRef>
          </c:val>
          <c:extLst>
            <c:ext xmlns:c16="http://schemas.microsoft.com/office/drawing/2014/chart" uri="{C3380CC4-5D6E-409C-BE32-E72D297353CC}">
              <c16:uniqueId val="{00000006-26A7-AC4A-BE47-06F7FD84403B}"/>
            </c:ext>
          </c:extLst>
        </c:ser>
        <c:dLbls>
          <c:showLegendKey val="0"/>
          <c:showVal val="0"/>
          <c:showCatName val="0"/>
          <c:showSerName val="0"/>
          <c:showPercent val="0"/>
          <c:showBubbleSize val="0"/>
        </c:dLbls>
        <c:gapWidth val="219"/>
        <c:overlap val="-27"/>
        <c:axId val="757660095"/>
        <c:axId val="757648447"/>
      </c:barChart>
      <c:catAx>
        <c:axId val="757660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48447"/>
        <c:crosses val="autoZero"/>
        <c:auto val="1"/>
        <c:lblAlgn val="ctr"/>
        <c:lblOffset val="100"/>
        <c:noMultiLvlLbl val="0"/>
      </c:catAx>
      <c:valAx>
        <c:axId val="7576484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s-MX" sz="1200"/>
                  <a:t>Number of Flights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66009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GRAPHIC 1: CANCUN DEPARTURES BY HOUR AND SECTOR</a:t>
            </a:r>
          </a:p>
          <a:p>
            <a:pPr>
              <a:defRPr b="1"/>
            </a:pPr>
            <a:r>
              <a:rPr lang="en-US" baseline="0"/>
              <a:t>SUN OCT 4</a:t>
            </a:r>
            <a:r>
              <a:rPr lang="en-US"/>
              <a:t>, 2026</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'2026-10-14'!$B$262</c:f>
              <c:strCache>
                <c:ptCount val="1"/>
                <c:pt idx="0">
                  <c:v>Sector 2</c:v>
                </c:pt>
              </c:strCache>
            </c:strRef>
          </c:tx>
          <c:spPr>
            <a:solidFill>
              <a:srgbClr val="264478"/>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'2026-10-14'!$B$263:$B$272</c:f>
              <c:numCache>
                <c:formatCode>#,##0</c:formatCode>
                <c:ptCount val="10"/>
                <c:pt idx="0">
                  <c:v>2</c:v>
                </c:pt>
                <c:pt idx="1">
                  <c:v>7</c:v>
                </c:pt>
                <c:pt idx="2">
                  <c:v>7</c:v>
                </c:pt>
                <c:pt idx="3">
                  <c:v>5</c:v>
                </c:pt>
                <c:pt idx="4">
                  <c:v>7</c:v>
                </c:pt>
                <c:pt idx="5">
                  <c:v>7</c:v>
                </c:pt>
                <c:pt idx="6">
                  <c:v>11</c:v>
                </c:pt>
                <c:pt idx="7">
                  <c:v>7</c:v>
                </c:pt>
                <c:pt idx="8">
                  <c:v>4</c:v>
                </c:pt>
                <c:pt idx="9">
                  <c:v>0</c:v>
                </c:pt>
              </c:numCache>
            </c:numRef>
          </c:val>
          <c:extLst>
            <c:ext xmlns:c16="http://schemas.microsoft.com/office/drawing/2014/chart" uri="{C3380CC4-5D6E-409C-BE32-E72D297353CC}">
              <c16:uniqueId val="{00000000-B54E-5A42-A5AD-D9A40B30D2A7}"/>
            </c:ext>
          </c:extLst>
        </c:ser>
        <c:ser>
          <c:idx val="1"/>
          <c:order val="1"/>
          <c:tx>
            <c:strRef>
              <c:f>'2026-10-14'!$C$262</c:f>
              <c:strCache>
                <c:ptCount val="1"/>
                <c:pt idx="0">
                  <c:v>Sector 3</c:v>
                </c:pt>
              </c:strCache>
            </c:strRef>
          </c:tx>
          <c:spPr>
            <a:solidFill>
              <a:srgbClr val="D86ECC"/>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'2026-10-14'!$C$263:$C$272</c:f>
              <c:numCache>
                <c:formatCode>#,##0</c:formatCode>
                <c:ptCount val="10"/>
                <c:pt idx="0">
                  <c:v>1</c:v>
                </c:pt>
                <c:pt idx="1">
                  <c:v>3</c:v>
                </c:pt>
                <c:pt idx="2">
                  <c:v>6</c:v>
                </c:pt>
                <c:pt idx="3">
                  <c:v>10</c:v>
                </c:pt>
                <c:pt idx="4">
                  <c:v>9</c:v>
                </c:pt>
                <c:pt idx="5">
                  <c:v>14</c:v>
                </c:pt>
                <c:pt idx="6">
                  <c:v>5</c:v>
                </c:pt>
                <c:pt idx="7">
                  <c:v>9</c:v>
                </c:pt>
                <c:pt idx="8">
                  <c:v>4</c:v>
                </c:pt>
                <c:pt idx="9">
                  <c:v>0</c:v>
                </c:pt>
              </c:numCache>
            </c:numRef>
          </c:val>
          <c:extLst>
            <c:ext xmlns:c16="http://schemas.microsoft.com/office/drawing/2014/chart" uri="{C3380CC4-5D6E-409C-BE32-E72D297353CC}">
              <c16:uniqueId val="{00000001-B54E-5A42-A5AD-D9A40B30D2A7}"/>
            </c:ext>
          </c:extLst>
        </c:ser>
        <c:ser>
          <c:idx val="2"/>
          <c:order val="2"/>
          <c:tx>
            <c:strRef>
              <c:f>'2026-10-14'!$D$262</c:f>
              <c:strCache>
                <c:ptCount val="1"/>
                <c:pt idx="0">
                  <c:v>Sector 7</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'2026-10-14'!$A$263:$A$272</c:f>
              <c:numCache>
                <c:formatCode>00":00"</c:formatCode>
                <c:ptCount val="10"/>
                <c:pt idx="0">
                  <c:v>14</c:v>
                </c:pt>
                <c:pt idx="1">
                  <c:v>15</c:v>
                </c:pt>
                <c:pt idx="2">
                  <c:v>16</c:v>
                </c:pt>
                <c:pt idx="3">
                  <c:v>17</c:v>
                </c:pt>
                <c:pt idx="4">
                  <c:v>18</c:v>
                </c:pt>
                <c:pt idx="5">
                  <c:v>19</c:v>
                </c:pt>
                <c:pt idx="6">
                  <c:v>20</c:v>
                </c:pt>
                <c:pt idx="7">
                  <c:v>21</c:v>
                </c:pt>
                <c:pt idx="8">
                  <c:v>22</c:v>
                </c:pt>
                <c:pt idx="9">
                  <c:v>23</c:v>
                </c:pt>
              </c:numCache>
            </c:numRef>
          </c:cat>
          <c:val>
            <c:numRef>
              <c:f>'2026-10-14'!$D$263:$D$272</c:f>
              <c:numCache>
                <c:formatCode>#,##0</c:formatCode>
                <c:ptCount val="10"/>
                <c:pt idx="0">
                  <c:v>1</c:v>
                </c:pt>
                <c:pt idx="1">
                  <c:v>0</c:v>
                </c:pt>
                <c:pt idx="2">
                  <c:v>4</c:v>
                </c:pt>
                <c:pt idx="3">
                  <c:v>1</c:v>
                </c:pt>
                <c:pt idx="4">
                  <c:v>1</c:v>
                </c:pt>
                <c:pt idx="5">
                  <c:v>3</c:v>
                </c:pt>
                <c:pt idx="6">
                  <c:v>0</c:v>
                </c:pt>
                <c:pt idx="7">
                  <c:v>2</c:v>
                </c:pt>
                <c:pt idx="8">
                  <c:v>2</c:v>
                </c:pt>
                <c:pt idx="9">
                  <c:v>2</c:v>
                </c:pt>
              </c:numCache>
            </c:numRef>
          </c:val>
          <c:extLst>
            <c:ext xmlns:c16="http://schemas.microsoft.com/office/drawing/2014/chart" uri="{C3380CC4-5D6E-409C-BE32-E72D297353CC}">
              <c16:uniqueId val="{00000002-B54E-5A42-A5AD-D9A40B30D2A7}"/>
            </c:ext>
          </c:extLst>
        </c:ser>
        <c:dLbls>
          <c:showLegendKey val="0"/>
          <c:showVal val="0"/>
          <c:showCatName val="0"/>
          <c:showSerName val="0"/>
          <c:showPercent val="0"/>
          <c:showBubbleSize val="0"/>
        </c:dLbls>
        <c:gapWidth val="219"/>
        <c:overlap val="-27"/>
        <c:axId val="757122815"/>
        <c:axId val="757127295"/>
      </c:barChart>
      <c:catAx>
        <c:axId val="75712281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UTC Hour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0&quot;:00&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7295"/>
        <c:crosses val="autoZero"/>
        <c:auto val="1"/>
        <c:lblAlgn val="ctr"/>
        <c:lblOffset val="100"/>
        <c:noMultiLvlLbl val="0"/>
      </c:catAx>
      <c:valAx>
        <c:axId val="757127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MX"/>
                  <a:t>Number of Flights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s-MX"/>
          </a:p>
        </c:txPr>
        <c:crossAx val="757122815"/>
        <c:crosses val="autoZero"/>
        <c:crossBetween val="between"/>
        <c:maj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65384426-40B9-3B4D-BD7A-A7B3898A5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B4A7CA21-E5EF-C44C-AD2C-B5F3446F1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64C1A466-FFBF-4847-8E15-C9DF3B277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E51E98CB-29A4-C542-B560-00A28FF86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F87D73C5-5238-B14E-8882-C559C1562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31DCADA5-557B-8D41-85D2-E049852A5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4A1AFBAF-5D44-B643-AC4D-FE60876E9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80803502-0988-6C4F-A479-7E7F0D50F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DECC0B55-647C-334E-B682-0153EFC32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5530683D-8AD8-2A4F-A9E7-8E9044ADC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2CDFB5F9-8DFA-CA45-9D35-7904D96A3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A22C5DAC-B18D-A543-8FAE-4E2DC4727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F5873803-99A9-C444-917B-0C8AD7380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A5DBC33B-DE95-704B-B4B6-161CF4D6F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C42481CF-B2CA-044D-8791-600A44575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5188444F-F4A8-B642-B195-CDDBD0EDC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E8E72988-3C9A-0440-9F7B-A17BDBF25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93630203-8176-8544-9C66-210028521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56320BE9-AF38-9745-84ED-E482772BC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0E63345F-2A32-DE43-BA76-45D821A87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10289972-B6E1-964B-B03B-AFE2DA790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35772D7C-DBA9-7341-B89A-595305F08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10B01E29-0179-9449-B84C-2BA99479D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0CA05834-8D9D-6242-8717-B67503C87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53793DC2-1BA4-1647-814C-A0AB0063B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18611008-19E5-0E49-8FE8-07EE5AE62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236</xdr:row>
      <xdr:rowOff>0</xdr:rowOff>
    </xdr:from>
    <xdr:to>
      <xdr:col>9</xdr:col>
      <xdr:colOff>0</xdr:colOff>
      <xdr:row>255</xdr:row>
      <xdr:rowOff>0</xdr:rowOff>
    </xdr:to>
    <xdr:graphicFrame macro="">
      <xdr:nvGraphicFramePr>
        <xdr:cNvPr id="2" name="Graphic 1: Departures by Hour and SID">
          <a:extLst>
            <a:ext uri="{FF2B5EF4-FFF2-40B4-BE49-F238E27FC236}">
              <a16:creationId xmlns:a16="http://schemas.microsoft.com/office/drawing/2014/main" id="{257D9515-B916-7A40-B274-9B89C9663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273</xdr:row>
      <xdr:rowOff>0</xdr:rowOff>
    </xdr:from>
    <xdr:to>
      <xdr:col>9</xdr:col>
      <xdr:colOff>0</xdr:colOff>
      <xdr:row>292</xdr:row>
      <xdr:rowOff>0</xdr:rowOff>
    </xdr:to>
    <xdr:graphicFrame macro="">
      <xdr:nvGraphicFramePr>
        <xdr:cNvPr id="3" name="Graphic 2: Departures by Hour and Sector">
          <a:extLst>
            <a:ext uri="{FF2B5EF4-FFF2-40B4-BE49-F238E27FC236}">
              <a16:creationId xmlns:a16="http://schemas.microsoft.com/office/drawing/2014/main" id="{40F709C9-4026-1447-AB9F-D7942F4E1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AF4510D-943D-E548-AFFC-CFAF34F8B683}" name="Tabla42" displayName="Tabla42" ref="A1:E217" totalsRowShown="0">
  <autoFilter ref="A1:E217" xr:uid="{D5062528-1500-E94C-97D3-C8A343119A1E}"/>
  <tableColumns count="5">
    <tableColumn id="1" xr3:uid="{CD1B4D2D-C365-584B-8E5C-9988102407B0}" name="ADEP"/>
    <tableColumn id="2" xr3:uid="{15A91F1D-089F-544A-86F4-DF93C7A1CBD3}" name="SID 12R"/>
    <tableColumn id="7" xr3:uid="{247DECD8-8E8D-C74D-AAEA-6F7A39A0687E}" name="SID 30L">
      <calculatedColumnFormula array="1">_xlfn.SWITCH(Tabla42[[#This Row],[SID 12R]],"UDGUV","UDGUV","OMSUK","ROTGI","ENEBA","NOSUG","NUDAL","NUDAL","TAKUX","CZM","HECAT","CZM","CZM","CZM","")</calculatedColumnFormula>
    </tableColumn>
    <tableColumn id="3" xr3:uid="{194E71CE-FBBB-7C49-8EDD-3D502B1E5867}" name="Sector">
      <calculatedColumnFormula array="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calculatedColumnFormula>
    </tableColumn>
    <tableColumn id="4" xr3:uid="{138FA27E-D4B6-3C44-AD17-A7FE1B2D37C6}" name="ACC_Adyacente"/>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9D2C8EE-BD62-7A4B-A959-511E09C66215}" name="Tabla134567181920212223242589101112131415161726272829303133" displayName="Tabla134567181920212223242589101112131415161726272829303133" ref="A1:T220" totalsRowShown="0" headerRowDxfId="285" dataDxfId="284">
  <autoFilter ref="A1:T220" xr:uid="{FCBB0081-F5A0-9F4A-8223-2324497988BF}"/>
  <tableColumns count="20">
    <tableColumn id="1" xr3:uid="{AA15F19A-1230-A844-99D7-6A66CB64FD3E}" name="callsign" dataDxfId="283"/>
    <tableColumn id="2" xr3:uid="{379E1025-0AB4-F04F-91CB-FB94B874A542}" name="adep" dataDxfId="282"/>
    <tableColumn id="3" xr3:uid="{F39E2B71-0326-074E-93B7-510D2EEDA14E}" name="ades" dataDxfId="281"/>
    <tableColumn id="4" xr3:uid="{97984C0C-D377-8B43-92C8-0AEA27B7F421}" name="aircraft_type" dataDxfId="280"/>
    <tableColumn id="5" xr3:uid="{367B20B7-789D-F541-9512-E2927413C167}" name="aircraft_registration" dataDxfId="279"/>
    <tableColumn id="6" xr3:uid="{787C15AD-A1AC-E84C-A145-1F4794D1FCB8}" name="atd" dataDxfId="278"/>
    <tableColumn id="7" xr3:uid="{4B135E7C-23F3-2D41-870C-BB0C8FF006FC}" name="dep_runway" dataDxfId="277"/>
    <tableColumn id="8" xr3:uid="{8B3FE941-04EE-FE44-B031-3BD3CE8714DF}" name="route" dataDxfId="276"/>
    <tableColumn id="9" xr3:uid="{BFD5A352-AAC5-D541-BBC0-3B0C9613F4E2}" name="rfl" dataDxfId="275"/>
    <tableColumn id="10" xr3:uid="{FCCB3AE1-A311-3B49-BEC3-B7D51C62702E}" name="flight_rule" dataDxfId="274"/>
    <tableColumn id="11" xr3:uid="{F276E583-E74E-8A48-92DB-316045D0B41E}" name="flight_type" dataDxfId="273"/>
    <tableColumn id="12" xr3:uid="{444652FA-C7BE-4449-8AEC-A140B345FDE0}" name="distance_flown_in_fir" dataDxfId="272"/>
    <tableColumn id="13" xr3:uid="{AF4AB888-224D-8B4E-AF25-A099775FAB4B}" name="exit_point" dataDxfId="271"/>
    <tableColumn id="14" xr3:uid="{E9C02F85-BAE6-734B-9F63-C63D042C4B93}" name="exit_hour" dataDxfId="270"/>
    <tableColumn id="15" xr3:uid="{5B0102E5-443C-0D43-B805-8F6C35E17A45}" name="exit_level" dataDxfId="269"/>
    <tableColumn id="16" xr3:uid="{49DB6382-9BA3-4C44-9320-C8F7C1D3B8E2}" name="wtc" dataDxfId="268"/>
    <tableColumn id="17" xr3:uid="{1E159126-93C0-1E4E-87E1-4CAEE8547784}" name="nfl" dataDxfId="267"/>
    <tableColumn id="18" xr3:uid="{C43BFACE-52E4-8040-93EA-CA1B111472B4}" name="SID_resuelto" dataDxfId="266">
      <calculatedColumnFormula>IF(OR(G2="12R",G2="12L"),_xlfn.XLOOKUP(C2,Tabla42[ADEP],Tabla42[SID 12R],""),IF(OR(G2="30L",G2="30R"),_xlfn.XLOOKUP(C2,Tabla42[ADEP],Tabla42[SID 30L],""),""))</calculatedColumnFormula>
    </tableColumn>
    <tableColumn id="19" xr3:uid="{D640DF06-832D-9B41-BD9A-B30B3BDD90A6}" name="Hora_UTC" dataDxfId="265">
      <calculatedColumnFormula>HOUR(F2)</calculatedColumnFormula>
    </tableColumn>
    <tableColumn id="20" xr3:uid="{3F7ECEB1-E76A-B64D-8AC8-AB2DEF093A45}" name="Sector_resuelto" dataDxfId="264">
      <calculatedColumnFormula>_xlfn.XLOOKUP(C2,Tabla42[ADEP],Tabla42[Sector],"")</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65D3C6C-CD40-9743-AE8E-9D2B24207EE0}" name="Tabla13456718192021222324258910111213141516172627282930313334" displayName="Tabla13456718192021222324258910111213141516172627282930313334" ref="A1:T220" totalsRowShown="0" headerRowDxfId="263" dataDxfId="262">
  <autoFilter ref="A1:T220" xr:uid="{FCBB0081-F5A0-9F4A-8223-2324497988BF}"/>
  <tableColumns count="20">
    <tableColumn id="1" xr3:uid="{B0D93802-F4F3-8F4C-B9FE-7FD41B5D7A0B}" name="callsign" dataDxfId="261"/>
    <tableColumn id="2" xr3:uid="{31731452-9A17-2549-A869-F3695D4EC7FA}" name="adep" dataDxfId="260"/>
    <tableColumn id="3" xr3:uid="{58F8DD46-70BE-4E43-9DF5-3CF191E3B8D1}" name="ades" dataDxfId="259"/>
    <tableColumn id="4" xr3:uid="{2AA9FD45-512E-5F41-A169-D381D0D10DD7}" name="aircraft_type" dataDxfId="258"/>
    <tableColumn id="5" xr3:uid="{F17003E5-3C97-E040-A794-325E6C38D8F9}" name="aircraft_registration" dataDxfId="257"/>
    <tableColumn id="6" xr3:uid="{1CB917E0-61A4-8947-9155-51C40AE81630}" name="atd" dataDxfId="256"/>
    <tableColumn id="7" xr3:uid="{DF19D775-FF3A-5E4C-BCE7-C2575745DD2E}" name="dep_runway" dataDxfId="255"/>
    <tableColumn id="8" xr3:uid="{8735B992-C886-9245-B01A-2DA7D60581D9}" name="route" dataDxfId="254"/>
    <tableColumn id="9" xr3:uid="{CF37BB26-FB0A-9944-9359-D363482BB0F6}" name="rfl" dataDxfId="253"/>
    <tableColumn id="10" xr3:uid="{49DB81EA-F859-8848-957D-D5FC05A545DD}" name="flight_rule" dataDxfId="252"/>
    <tableColumn id="11" xr3:uid="{4C623F45-2067-D941-89D1-A559F8F2C7DE}" name="flight_type" dataDxfId="251"/>
    <tableColumn id="12" xr3:uid="{2AF685D4-DA35-9D46-B2AA-FC43986801E9}" name="distance_flown_in_fir" dataDxfId="250"/>
    <tableColumn id="13" xr3:uid="{3CE47885-DAD0-7A4D-8ED6-96A15A25AB82}" name="exit_point" dataDxfId="249"/>
    <tableColumn id="14" xr3:uid="{2098C18D-519D-D949-BA0F-0D56C2A1E29B}" name="exit_hour" dataDxfId="248"/>
    <tableColumn id="15" xr3:uid="{8E42906B-31F9-DE45-9006-C0B29428AA58}" name="exit_level" dataDxfId="247"/>
    <tableColumn id="16" xr3:uid="{99DC063C-19C3-FD41-A134-B084D26B6DD7}" name="wtc" dataDxfId="246"/>
    <tableColumn id="17" xr3:uid="{F1B6F698-9901-E34C-B1BD-030CF4378D08}" name="nfl" dataDxfId="245"/>
    <tableColumn id="18" xr3:uid="{2EE4238C-E82C-B14C-918D-DC2EE6B06813}" name="SID_resuelto" dataDxfId="244">
      <calculatedColumnFormula>IF(OR(G2="12R",G2="12L"),_xlfn.XLOOKUP(C2,Tabla42[ADEP],Tabla42[SID 12R],""),IF(OR(G2="30L",G2="30R"),_xlfn.XLOOKUP(C2,Tabla42[ADEP],Tabla42[SID 30L],""),""))</calculatedColumnFormula>
    </tableColumn>
    <tableColumn id="19" xr3:uid="{C0C67A36-EB70-4542-8C5E-2EAFCF51C563}" name="Hora_UTC" dataDxfId="243">
      <calculatedColumnFormula>HOUR(F2)</calculatedColumnFormula>
    </tableColumn>
    <tableColumn id="20" xr3:uid="{77FFC553-8044-A848-960D-B8344BE4BB8E}" name="Sector_resuelto" dataDxfId="242">
      <calculatedColumnFormula>_xlfn.XLOOKUP(C2,Tabla42[ADEP],Tabla42[Sector],"")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ED7CAB0-32EE-5741-89F4-FFEC924B901F}" name="Tabla1345671819202122232425891011121314151617262728293031333435" displayName="Tabla1345671819202122232425891011121314151617262728293031333435" ref="A1:T220" totalsRowShown="0" headerRowDxfId="241" dataDxfId="240">
  <autoFilter ref="A1:T220" xr:uid="{FCBB0081-F5A0-9F4A-8223-2324497988BF}"/>
  <tableColumns count="20">
    <tableColumn id="1" xr3:uid="{B573D54B-0525-8645-A1F6-033E57AAD396}" name="callsign" dataDxfId="239"/>
    <tableColumn id="2" xr3:uid="{1CDFEAC8-6A5D-4847-BA63-CCF7787E4FBF}" name="adep" dataDxfId="238"/>
    <tableColumn id="3" xr3:uid="{982DCD1E-5765-2B4F-B4D7-0DEDBA27E1FC}" name="ades" dataDxfId="237"/>
    <tableColumn id="4" xr3:uid="{B59864C9-3C4C-614A-868A-82BA0F7BACAF}" name="aircraft_type" dataDxfId="236"/>
    <tableColumn id="5" xr3:uid="{843504D1-D648-1F46-9511-1D2A725493BF}" name="aircraft_registration" dataDxfId="235"/>
    <tableColumn id="6" xr3:uid="{47661E29-B658-124D-B5A4-BF1392EE6C51}" name="atd" dataDxfId="234"/>
    <tableColumn id="7" xr3:uid="{43E8B17B-B34B-C249-9022-C629D2B148FF}" name="dep_runway" dataDxfId="233"/>
    <tableColumn id="8" xr3:uid="{7BEE5B89-6154-EC45-8B70-3B53130895F3}" name="route" dataDxfId="232"/>
    <tableColumn id="9" xr3:uid="{D162738D-3C1D-4B46-990C-A8B588E0238C}" name="rfl" dataDxfId="231"/>
    <tableColumn id="10" xr3:uid="{24EBD1CA-764B-1247-B57E-478D50A0A676}" name="flight_rule" dataDxfId="230"/>
    <tableColumn id="11" xr3:uid="{62193199-E2C4-7541-9956-93E71EAFFC10}" name="flight_type" dataDxfId="229"/>
    <tableColumn id="12" xr3:uid="{655309F1-9939-6346-A85B-7987ECA89253}" name="distance_flown_in_fir" dataDxfId="228"/>
    <tableColumn id="13" xr3:uid="{97F48898-AF64-7C46-97FC-AAF373E0A185}" name="exit_point" dataDxfId="227"/>
    <tableColumn id="14" xr3:uid="{27BB2A19-F0EC-2F41-8657-BD585B09584D}" name="exit_hour" dataDxfId="226"/>
    <tableColumn id="15" xr3:uid="{D5AB1FC6-208D-6149-96D2-E1D952E04911}" name="exit_level" dataDxfId="225"/>
    <tableColumn id="16" xr3:uid="{D89A0AB2-FF40-CB4E-A0EC-4946CC573693}" name="wtc" dataDxfId="224"/>
    <tableColumn id="17" xr3:uid="{D3EB761A-DF6D-8A4C-909A-A584986A24F6}" name="nfl" dataDxfId="223"/>
    <tableColumn id="18" xr3:uid="{20A29621-D163-B046-8F3A-A644571F7DD3}" name="SID_resuelto" dataDxfId="222">
      <calculatedColumnFormula>IF(OR(G2="12R",G2="12L"),_xlfn.XLOOKUP(C2,Tabla42[ADEP],Tabla42[SID 12R],""),IF(OR(G2="30L",G2="30R"),_xlfn.XLOOKUP(C2,Tabla42[ADEP],Tabla42[SID 30L],""),""))</calculatedColumnFormula>
    </tableColumn>
    <tableColumn id="19" xr3:uid="{0D6017BA-66C6-EB47-8D1A-35B823DCF79A}" name="Hora_UTC" dataDxfId="221">
      <calculatedColumnFormula>HOUR(F2)</calculatedColumnFormula>
    </tableColumn>
    <tableColumn id="20" xr3:uid="{137AC57F-80BC-7C46-997F-941BA999DE00}" name="Sector_resuelto" dataDxfId="220">
      <calculatedColumnFormula>_xlfn.XLOOKUP(C2,Tabla42[ADEP],Tabla42[Sector],"")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01CB48B-EAFF-C344-A652-06E9C0DF8429}" name="Tabla134567181920212223242589101112131415161726272829303133343536" displayName="Tabla134567181920212223242589101112131415161726272829303133343536" ref="A1:T220" totalsRowShown="0" headerRowDxfId="219" dataDxfId="218">
  <autoFilter ref="A1:T220" xr:uid="{FCBB0081-F5A0-9F4A-8223-2324497988BF}"/>
  <tableColumns count="20">
    <tableColumn id="1" xr3:uid="{71C8670D-2FE1-7A4D-BF75-7DF8EB7C66EB}" name="callsign" dataDxfId="217"/>
    <tableColumn id="2" xr3:uid="{2FC58636-8223-4C43-9740-444B7050E58E}" name="adep" dataDxfId="216"/>
    <tableColumn id="3" xr3:uid="{7E4524D6-52E0-4944-9E4E-3C5828276E10}" name="ades" dataDxfId="215"/>
    <tableColumn id="4" xr3:uid="{A7F6C380-F4CF-4C48-ACB9-1D4B0D3E5EB9}" name="aircraft_type" dataDxfId="214"/>
    <tableColumn id="5" xr3:uid="{8658C291-1728-5D48-8858-160EBE3AEED6}" name="aircraft_registration" dataDxfId="213"/>
    <tableColumn id="6" xr3:uid="{ED5E011F-3EB4-414C-A462-2DCEAA410CE1}" name="atd" dataDxfId="212"/>
    <tableColumn id="7" xr3:uid="{8F2B1EC5-2910-1142-98CD-C7F35B136473}" name="dep_runway" dataDxfId="211"/>
    <tableColumn id="8" xr3:uid="{08E748AD-0206-7B4F-9F5A-756A379D238C}" name="route" dataDxfId="210"/>
    <tableColumn id="9" xr3:uid="{EC1A9EC9-4A6E-544C-AFCF-921163B1C18A}" name="rfl" dataDxfId="209"/>
    <tableColumn id="10" xr3:uid="{3B702BA9-6E7D-B74D-A191-DF89487A58ED}" name="flight_rule" dataDxfId="208"/>
    <tableColumn id="11" xr3:uid="{51B68F01-B15D-1340-A460-46C6D755F831}" name="flight_type" dataDxfId="207"/>
    <tableColumn id="12" xr3:uid="{C66C2432-631A-8B4B-9CF6-C91B8A05B923}" name="distance_flown_in_fir" dataDxfId="206"/>
    <tableColumn id="13" xr3:uid="{73D3917B-5ED6-D64E-8384-12385D467E99}" name="exit_point" dataDxfId="205"/>
    <tableColumn id="14" xr3:uid="{015CEC9D-2C28-4148-B5CB-13C9A7AAD6C9}" name="exit_hour" dataDxfId="204"/>
    <tableColumn id="15" xr3:uid="{F1F80FC5-2B05-4548-B76C-C2C478A995E9}" name="exit_level" dataDxfId="203"/>
    <tableColumn id="16" xr3:uid="{04F5CA50-0655-FD40-8DBC-68E090956856}" name="wtc" dataDxfId="202"/>
    <tableColumn id="17" xr3:uid="{CEDF47B1-B8DD-8647-BFC1-E1E61558E257}" name="nfl" dataDxfId="201"/>
    <tableColumn id="18" xr3:uid="{B622AD4B-141A-EE46-AE62-1ADB17FF653C}" name="SID_resuelto" dataDxfId="200">
      <calculatedColumnFormula>IF(OR(G2="12R",G2="12L"),_xlfn.XLOOKUP(C2,Tabla42[ADEP],Tabla42[SID 12R],""),IF(OR(G2="30L",G2="30R"),_xlfn.XLOOKUP(C2,Tabla42[ADEP],Tabla42[SID 30L],""),""))</calculatedColumnFormula>
    </tableColumn>
    <tableColumn id="19" xr3:uid="{A1195C63-3B2A-B147-8C0D-30EE4BB50695}" name="Hora_UTC" dataDxfId="199">
      <calculatedColumnFormula>HOUR(F2)</calculatedColumnFormula>
    </tableColumn>
    <tableColumn id="20" xr3:uid="{BB6D298B-DF59-884F-BE75-96783224ABEF}" name="Sector_resuelto" dataDxfId="198">
      <calculatedColumnFormula>_xlfn.XLOOKUP(C2,Tabla42[ADEP],Tabla42[Sector],"")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F6A28F-3060-E546-B4B3-593157BB15BA}" name="Tabla1345671819202122232425891011121314151617262728293031333435362" displayName="Tabla1345671819202122232425891011121314151617262728293031333435362" ref="A1:T220" totalsRowShown="0" headerRowDxfId="197" dataDxfId="196">
  <autoFilter ref="A1:T220" xr:uid="{FCBB0081-F5A0-9F4A-8223-2324497988BF}"/>
  <tableColumns count="20">
    <tableColumn id="1" xr3:uid="{2F6D9C06-0D3F-064B-BE0B-0BD55FD9B4D7}" name="callsign" dataDxfId="195"/>
    <tableColumn id="2" xr3:uid="{64E4E9F9-71B3-EE4F-97F9-E6C87EFEF923}" name="adep" dataDxfId="194"/>
    <tableColumn id="3" xr3:uid="{C50FF457-9F77-9C4C-A6C7-84BA4E79989C}" name="ades" dataDxfId="193"/>
    <tableColumn id="4" xr3:uid="{4E6191D2-2701-7644-A420-BF40D7781E99}" name="aircraft_type" dataDxfId="192"/>
    <tableColumn id="5" xr3:uid="{4CB511F5-5512-0949-BE10-17C6C9084178}" name="aircraft_registration" dataDxfId="191"/>
    <tableColumn id="6" xr3:uid="{567BD978-C8C4-7148-A1E7-0225CC934D94}" name="atd" dataDxfId="190"/>
    <tableColumn id="7" xr3:uid="{04439AB2-C5EB-2C4E-81E1-A3D0C870923D}" name="dep_runway" dataDxfId="189"/>
    <tableColumn id="8" xr3:uid="{6E4729B7-BCA9-2D44-85DD-0FC6C0F0EAE2}" name="route" dataDxfId="188"/>
    <tableColumn id="9" xr3:uid="{359A98D3-6E20-824D-898A-73A36067ABEF}" name="rfl" dataDxfId="187"/>
    <tableColumn id="10" xr3:uid="{4ED0338D-9361-4643-A538-5D27CDDD547B}" name="flight_rule" dataDxfId="186"/>
    <tableColumn id="11" xr3:uid="{8D27525A-E785-E641-ABC3-EA95D5EDA871}" name="flight_type" dataDxfId="185"/>
    <tableColumn id="12" xr3:uid="{13E64633-5BDC-3E4C-8D87-8DFAE48722B6}" name="distance_flown_in_fir" dataDxfId="184"/>
    <tableColumn id="13" xr3:uid="{15C1897E-A93C-B34D-8F62-DB98FF9BB76D}" name="exit_point" dataDxfId="183"/>
    <tableColumn id="14" xr3:uid="{3840A547-14B6-824B-B069-F468A79BE59F}" name="exit_hour" dataDxfId="182"/>
    <tableColumn id="15" xr3:uid="{8181BC76-8EE5-CC46-934A-998B42D0CF67}" name="exit_level" dataDxfId="181"/>
    <tableColumn id="16" xr3:uid="{37366C50-DB0B-944B-BE83-DC740F25F33E}" name="wtc" dataDxfId="180"/>
    <tableColumn id="17" xr3:uid="{88611D11-18CD-BA41-85B5-8782754F1EC2}" name="nfl" dataDxfId="179"/>
    <tableColumn id="18" xr3:uid="{8A92FD66-26AE-E94E-958A-14376C231586}" name="SID_resuelto" dataDxfId="178">
      <calculatedColumnFormula>IF(OR(G2="12R",G2="12L"),_xlfn.XLOOKUP(C2,Tabla42[ADEP],Tabla42[SID 12R],""),IF(OR(G2="30L",G2="30R"),_xlfn.XLOOKUP(C2,Tabla42[ADEP],Tabla42[SID 30L],""),""))</calculatedColumnFormula>
    </tableColumn>
    <tableColumn id="19" xr3:uid="{7BD3BE53-1F83-C348-9774-B5C97B238B26}" name="Hora_UTC" dataDxfId="177">
      <calculatedColumnFormula>HOUR(F2)</calculatedColumnFormula>
    </tableColumn>
    <tableColumn id="20" xr3:uid="{5391389B-5CAE-FF45-84C3-EF51DEE8FC00}" name="Sector_resuelto" dataDxfId="176">
      <calculatedColumnFormula>_xlfn.XLOOKUP(C2,Tabla42[ADEP],Tabla42[Sector],"")</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9F6D52-177F-B744-B6E0-1E8D1FDDBBC0}" name="Tabla13456718192021222324258910111213141516172627282930313334353623" displayName="Tabla13456718192021222324258910111213141516172627282930313334353623" ref="A1:T220" totalsRowShown="0" headerRowDxfId="175" dataDxfId="174">
  <autoFilter ref="A1:T220" xr:uid="{FCBB0081-F5A0-9F4A-8223-2324497988BF}"/>
  <tableColumns count="20">
    <tableColumn id="1" xr3:uid="{2A4E7005-8E6D-DE47-BC42-526D8285D300}" name="callsign" dataDxfId="173"/>
    <tableColumn id="2" xr3:uid="{CA84A045-B693-544C-80FD-76D90CBF2FC9}" name="adep" dataDxfId="172"/>
    <tableColumn id="3" xr3:uid="{CC19DF9C-D8DB-3B42-A316-A0A4A51B7502}" name="ades" dataDxfId="171"/>
    <tableColumn id="4" xr3:uid="{C7024C62-67BA-0F4F-8F49-6CD6885232F9}" name="aircraft_type" dataDxfId="170"/>
    <tableColumn id="5" xr3:uid="{8D85AC2F-4A0A-5C44-BCC9-8AC214A1A9E4}" name="aircraft_registration" dataDxfId="169"/>
    <tableColumn id="6" xr3:uid="{B7A66464-037C-824C-8553-13208DE296D7}" name="atd" dataDxfId="168"/>
    <tableColumn id="7" xr3:uid="{FC1FB3BD-CE6D-B74C-AD4C-4CFF7F4782A2}" name="dep_runway" dataDxfId="167"/>
    <tableColumn id="8" xr3:uid="{5B215DF6-A98A-A641-946E-DB602C606C46}" name="route" dataDxfId="166"/>
    <tableColumn id="9" xr3:uid="{7C9F91A6-E9DB-E540-A060-A6E4D9C00A0D}" name="rfl" dataDxfId="165"/>
    <tableColumn id="10" xr3:uid="{02EA38DF-A453-514B-BD8F-C0C769217315}" name="flight_rule" dataDxfId="164"/>
    <tableColumn id="11" xr3:uid="{90BEBC83-04B9-EA43-A513-656985572A1C}" name="flight_type" dataDxfId="163"/>
    <tableColumn id="12" xr3:uid="{E7B655D7-72ED-F240-94C0-0752D49F49A5}" name="distance_flown_in_fir" dataDxfId="162"/>
    <tableColumn id="13" xr3:uid="{7ADFFB7E-06B6-7E4B-AFBF-470E41261947}" name="exit_point" dataDxfId="161"/>
    <tableColumn id="14" xr3:uid="{E43744EE-0EA3-F444-A5D2-C3C1E81A9316}" name="exit_hour" dataDxfId="160"/>
    <tableColumn id="15" xr3:uid="{14BF443E-2923-AE4F-B3C9-7983536C9EED}" name="exit_level" dataDxfId="159"/>
    <tableColumn id="16" xr3:uid="{E0F8C3A9-C91F-F34D-A822-228BD4658614}" name="wtc" dataDxfId="158"/>
    <tableColumn id="17" xr3:uid="{2C287DD1-B651-EA4C-AD9C-43AA0BDF16EA}" name="nfl" dataDxfId="157"/>
    <tableColumn id="18" xr3:uid="{28D5FB19-A713-DB40-9C9F-F483C41CD449}" name="SID_resuelto" dataDxfId="156">
      <calculatedColumnFormula>IF(OR(G2="12R",G2="12L"),_xlfn.XLOOKUP(C2,Tabla42[ADEP],Tabla42[SID 12R],""),IF(OR(G2="30L",G2="30R"),_xlfn.XLOOKUP(C2,Tabla42[ADEP],Tabla42[SID 30L],""),""))</calculatedColumnFormula>
    </tableColumn>
    <tableColumn id="19" xr3:uid="{8C895A1C-BC07-E048-AA7C-7F7BFD5A26EA}" name="Hora_UTC" dataDxfId="155">
      <calculatedColumnFormula>HOUR(F2)</calculatedColumnFormula>
    </tableColumn>
    <tableColumn id="20" xr3:uid="{27BFBADF-BF46-EB46-A1FC-485324957EA1}" name="Sector_resuelto" dataDxfId="154">
      <calculatedColumnFormula>_xlfn.XLOOKUP(C2,Tabla42[ADEP],Tabla42[Sector],"")</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5269DC-BF13-8548-8106-D69D66C9C65A}" name="Tabla134567181920212223242589101112131415161726272829303133343536234" displayName="Tabla134567181920212223242589101112131415161726272829303133343536234" ref="A1:T220" totalsRowShown="0" headerRowDxfId="153" dataDxfId="152">
  <autoFilter ref="A1:T220" xr:uid="{FCBB0081-F5A0-9F4A-8223-2324497988BF}"/>
  <tableColumns count="20">
    <tableColumn id="1" xr3:uid="{09D22023-F402-5B4E-9508-65C2A5BF95DB}" name="callsign" dataDxfId="151"/>
    <tableColumn id="2" xr3:uid="{A1EDBB63-9CD5-8B41-86F3-99BF7D327E2E}" name="adep" dataDxfId="150"/>
    <tableColumn id="3" xr3:uid="{C24903BF-CF50-5A42-BE4F-C26E57BD1100}" name="ades" dataDxfId="149"/>
    <tableColumn id="4" xr3:uid="{9C99226C-9370-364C-A195-27C302E52F93}" name="aircraft_type" dataDxfId="148"/>
    <tableColumn id="5" xr3:uid="{3FDD863B-D1B2-A640-8CA9-9750F03567DD}" name="aircraft_registration" dataDxfId="147"/>
    <tableColumn id="6" xr3:uid="{85DA116A-D22F-6141-AF66-CD2FF214A787}" name="atd" dataDxfId="146"/>
    <tableColumn id="7" xr3:uid="{3AA2099B-53B5-5042-8084-C12A7F8C0644}" name="dep_runway" dataDxfId="145"/>
    <tableColumn id="8" xr3:uid="{C68E6117-C0E1-DE48-AADF-B688D3097BE6}" name="route" dataDxfId="144"/>
    <tableColumn id="9" xr3:uid="{8743AD59-D520-FB4F-AD38-BDB622AC7160}" name="rfl" dataDxfId="143"/>
    <tableColumn id="10" xr3:uid="{2C3D39B3-7011-1C49-9719-DE9C89485EEF}" name="flight_rule" dataDxfId="142"/>
    <tableColumn id="11" xr3:uid="{26CB81F2-0702-0949-B168-EA7917632CA8}" name="flight_type" dataDxfId="141"/>
    <tableColumn id="12" xr3:uid="{8F2C114F-9DEA-9646-894E-B591DB806122}" name="distance_flown_in_fir" dataDxfId="140"/>
    <tableColumn id="13" xr3:uid="{15787CE7-7935-A044-817E-788FEF931E5C}" name="exit_point" dataDxfId="139"/>
    <tableColumn id="14" xr3:uid="{5F51A6B6-7E15-0C46-9A8E-975F0860A68F}" name="exit_hour" dataDxfId="138"/>
    <tableColumn id="15" xr3:uid="{4808F036-30AD-774F-8337-25AE868D12E4}" name="exit_level" dataDxfId="137"/>
    <tableColumn id="16" xr3:uid="{A68643A5-47A5-1548-979C-A5C7D1C33993}" name="wtc" dataDxfId="136"/>
    <tableColumn id="17" xr3:uid="{72C60EDA-C953-EB4B-AAC2-0AAF6F7BD74C}" name="nfl" dataDxfId="135"/>
    <tableColumn id="18" xr3:uid="{2537FBBF-5489-7B41-A627-1ECFF3FB524B}" name="SID_resuelto" dataDxfId="134">
      <calculatedColumnFormula>IF(OR(G2="12R",G2="12L"),_xlfn.XLOOKUP(C2,Tabla42[ADEP],Tabla42[SID 12R],""),IF(OR(G2="30L",G2="30R"),_xlfn.XLOOKUP(C2,Tabla42[ADEP],Tabla42[SID 30L],""),""))</calculatedColumnFormula>
    </tableColumn>
    <tableColumn id="19" xr3:uid="{E7622AC6-E2EE-1A42-917B-E447D18031B7}" name="Hora_UTC" dataDxfId="133">
      <calculatedColumnFormula>HOUR(F2)</calculatedColumnFormula>
    </tableColumn>
    <tableColumn id="20" xr3:uid="{6C279320-AA09-EE48-A718-0B4EC347EB6C}" name="Sector_resuelto" dataDxfId="132">
      <calculatedColumnFormula>_xlfn.XLOOKUP(C2,Tabla42[ADEP],Tabla42[Sector],"")</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95F184-362B-1F48-B5D3-FC796FDB6E78}" name="Tabla1345671819202122232425891011121314151617262728293031333435362345" displayName="Tabla1345671819202122232425891011121314151617262728293031333435362345" ref="A1:T220" totalsRowShown="0" headerRowDxfId="131" dataDxfId="130">
  <autoFilter ref="A1:T220" xr:uid="{FCBB0081-F5A0-9F4A-8223-2324497988BF}"/>
  <tableColumns count="20">
    <tableColumn id="1" xr3:uid="{49635853-050C-A741-8447-F7EE12EC2E9F}" name="callsign" dataDxfId="129"/>
    <tableColumn id="2" xr3:uid="{F0E1066D-B3EB-0947-A653-1E8576BD3870}" name="adep" dataDxfId="128"/>
    <tableColumn id="3" xr3:uid="{45602844-952E-D445-A2DE-773EFE05B7F8}" name="ades" dataDxfId="127"/>
    <tableColumn id="4" xr3:uid="{184A367A-AD5A-FE47-B698-B871730EB564}" name="aircraft_type" dataDxfId="126"/>
    <tableColumn id="5" xr3:uid="{8A8763A2-BA23-1C44-8D0C-E78A61FC790A}" name="aircraft_registration" dataDxfId="125"/>
    <tableColumn id="6" xr3:uid="{B4B8B10C-B870-A74F-9B42-E3D6EDEE12D1}" name="atd" dataDxfId="124"/>
    <tableColumn id="7" xr3:uid="{64EC430E-112A-D241-B7E3-59404D1E5F67}" name="dep_runway" dataDxfId="123"/>
    <tableColumn id="8" xr3:uid="{4E01CCB8-44A3-5343-9525-02D5F40A42E5}" name="route" dataDxfId="122"/>
    <tableColumn id="9" xr3:uid="{0F0B333E-2008-F143-ACD0-42944D57BE2E}" name="rfl" dataDxfId="121"/>
    <tableColumn id="10" xr3:uid="{7C9698F1-DC00-174F-B2EC-8E63EEF9F484}" name="flight_rule" dataDxfId="120"/>
    <tableColumn id="11" xr3:uid="{3C220D2D-4E6A-BC4B-B44B-0FDF1C9F063B}" name="flight_type" dataDxfId="119"/>
    <tableColumn id="12" xr3:uid="{4FCDBE94-104E-3141-B590-651A4B8763A9}" name="distance_flown_in_fir" dataDxfId="118"/>
    <tableColumn id="13" xr3:uid="{4B0F5D09-A005-DC49-BC20-2F0653DC5A5E}" name="exit_point" dataDxfId="117"/>
    <tableColumn id="14" xr3:uid="{1D0BB2F1-A950-2B47-8F46-B8E596543FD8}" name="exit_hour" dataDxfId="116"/>
    <tableColumn id="15" xr3:uid="{BF02565A-F435-7A48-8677-115677926935}" name="exit_level" dataDxfId="115"/>
    <tableColumn id="16" xr3:uid="{BC67707B-1D49-B546-9918-4304FD913C97}" name="wtc" dataDxfId="114"/>
    <tableColumn id="17" xr3:uid="{27433FB2-8027-B741-89C3-9D5F5B90D862}" name="nfl" dataDxfId="113"/>
    <tableColumn id="18" xr3:uid="{6211E8A0-72BA-2249-9284-D35EBB5A2CC2}" name="SID_resuelto" dataDxfId="112">
      <calculatedColumnFormula>IF(OR(G2="12R",G2="12L"),_xlfn.XLOOKUP(C2,Tabla42[ADEP],Tabla42[SID 12R],""),IF(OR(G2="30L",G2="30R"),_xlfn.XLOOKUP(C2,Tabla42[ADEP],Tabla42[SID 30L],""),""))</calculatedColumnFormula>
    </tableColumn>
    <tableColumn id="19" xr3:uid="{7F6204E8-8E6C-CE42-BEA9-07F3568EC194}" name="Hora_UTC" dataDxfId="111">
      <calculatedColumnFormula>HOUR(F2)</calculatedColumnFormula>
    </tableColumn>
    <tableColumn id="20" xr3:uid="{5D214D24-283B-F144-8924-DA41E2D7B6F6}" name="Sector_resuelto" dataDxfId="110">
      <calculatedColumnFormula>_xlfn.XLOOKUP(C2,Tabla42[ADEP],Tabla42[Sector],"")</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1E6000-4C09-C048-95F5-099E96A2532C}" name="Tabla13456718192021222324258910111213141516172627282930313334353623456" displayName="Tabla13456718192021222324258910111213141516172627282930313334353623456" ref="A1:T220" totalsRowShown="0" headerRowDxfId="109" dataDxfId="108">
  <autoFilter ref="A1:T220" xr:uid="{FCBB0081-F5A0-9F4A-8223-2324497988BF}"/>
  <tableColumns count="20">
    <tableColumn id="1" xr3:uid="{5BF0B805-58BA-2D4E-B255-E4EA71B18746}" name="callsign" dataDxfId="107"/>
    <tableColumn id="2" xr3:uid="{CB399924-BC47-3A42-AAC4-47ECE09C921E}" name="adep" dataDxfId="106"/>
    <tableColumn id="3" xr3:uid="{E604126C-903E-844A-8DC3-EE6F04EE692C}" name="ades" dataDxfId="105"/>
    <tableColumn id="4" xr3:uid="{68E5BCF3-8D71-AE4B-808E-354F6EA83890}" name="aircraft_type" dataDxfId="104"/>
    <tableColumn id="5" xr3:uid="{25353E19-07C7-5D4C-8B03-EA8E7AE7117B}" name="aircraft_registration" dataDxfId="103"/>
    <tableColumn id="6" xr3:uid="{329442E0-CA07-BB4A-B24C-AA17E91CA077}" name="atd" dataDxfId="102"/>
    <tableColumn id="7" xr3:uid="{481AE027-EC25-C24C-A279-70FC47FC636D}" name="dep_runway" dataDxfId="101"/>
    <tableColumn id="8" xr3:uid="{214CB529-AEB9-C14B-ADF7-C2FD4DD47292}" name="route" dataDxfId="100"/>
    <tableColumn id="9" xr3:uid="{9D39F2FF-3B83-384E-87ED-D72C2F5374A6}" name="rfl" dataDxfId="99"/>
    <tableColumn id="10" xr3:uid="{1A8F67F5-CE0F-8144-91EA-A719E8873AD3}" name="flight_rule" dataDxfId="98"/>
    <tableColumn id="11" xr3:uid="{F5C621F2-C094-4344-934C-B73043EFCC32}" name="flight_type" dataDxfId="97"/>
    <tableColumn id="12" xr3:uid="{120B1768-8800-6F46-B384-C4DFFAAA8004}" name="distance_flown_in_fir" dataDxfId="96"/>
    <tableColumn id="13" xr3:uid="{F4D9D457-55ED-A243-841B-6962FF614C33}" name="exit_point" dataDxfId="95"/>
    <tableColumn id="14" xr3:uid="{3CB6765C-1D46-3143-86D6-CE2CB38A34EC}" name="exit_hour" dataDxfId="94"/>
    <tableColumn id="15" xr3:uid="{AEFCD27E-184E-0249-BCD9-A71082650F4D}" name="exit_level" dataDxfId="93"/>
    <tableColumn id="16" xr3:uid="{8D39681E-B5FE-4242-89E1-76D5F5A2F650}" name="wtc" dataDxfId="92"/>
    <tableColumn id="17" xr3:uid="{563FEB7A-85E2-6A4A-888A-4EC125BCC173}" name="nfl" dataDxfId="91"/>
    <tableColumn id="18" xr3:uid="{1603EFCD-9F2E-B943-B42B-F544ECA32AE5}" name="SID_resuelto" dataDxfId="90">
      <calculatedColumnFormula>IF(OR(G2="12R",G2="12L"),_xlfn.XLOOKUP(C2,Tabla42[ADEP],Tabla42[SID 12R],""),IF(OR(G2="30L",G2="30R"),_xlfn.XLOOKUP(C2,Tabla42[ADEP],Tabla42[SID 30L],""),""))</calculatedColumnFormula>
    </tableColumn>
    <tableColumn id="19" xr3:uid="{30ACAA7D-2BE8-D641-B9AD-8391E6D78334}" name="Hora_UTC" dataDxfId="89">
      <calculatedColumnFormula>HOUR(F2)</calculatedColumnFormula>
    </tableColumn>
    <tableColumn id="20" xr3:uid="{71EE58EE-4145-2B44-83DF-DE6284920350}" name="Sector_resuelto" dataDxfId="88">
      <calculatedColumnFormula>_xlfn.XLOOKUP(C2,Tabla42[ADEP],Tabla42[Sector],"")</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28DF88-1080-7341-8255-D2A4DB1E6BFC}" name="Tabla134567181920212223242589101112131415161726272829303133343536234567" displayName="Tabla134567181920212223242589101112131415161726272829303133343536234567" ref="A1:T220" totalsRowShown="0" headerRowDxfId="87" dataDxfId="86">
  <autoFilter ref="A1:T220" xr:uid="{FCBB0081-F5A0-9F4A-8223-2324497988BF}"/>
  <tableColumns count="20">
    <tableColumn id="1" xr3:uid="{AEEF7D89-3F52-564E-B65E-D1635FB1F1AF}" name="callsign" dataDxfId="85"/>
    <tableColumn id="2" xr3:uid="{799B1A93-F91E-9045-A022-7775BA76D65F}" name="adep" dataDxfId="84"/>
    <tableColumn id="3" xr3:uid="{03E164D3-D7F9-0F45-9636-803542746FCD}" name="ades" dataDxfId="83"/>
    <tableColumn id="4" xr3:uid="{9F0C512D-748B-5047-8586-C15B355819A1}" name="aircraft_type" dataDxfId="82"/>
    <tableColumn id="5" xr3:uid="{8D9BE8F8-670C-B94D-BF24-00DFBC9613B4}" name="aircraft_registration" dataDxfId="81"/>
    <tableColumn id="6" xr3:uid="{0B350141-BB6A-F841-A8D9-8E30B462A7A0}" name="atd" dataDxfId="80"/>
    <tableColumn id="7" xr3:uid="{2A686B9B-BB92-9241-8651-7DD02C3E06EF}" name="dep_runway" dataDxfId="79"/>
    <tableColumn id="8" xr3:uid="{1844F156-4049-D144-953D-E506FAF452C6}" name="route" dataDxfId="78"/>
    <tableColumn id="9" xr3:uid="{91546AA2-37FB-C947-9175-0F982CF11EE0}" name="rfl" dataDxfId="77"/>
    <tableColumn id="10" xr3:uid="{30FCB8FC-9D30-F644-A08F-01C9532EA0DE}" name="flight_rule" dataDxfId="76"/>
    <tableColumn id="11" xr3:uid="{C661032B-3E95-6742-BC02-EE1E9410D9E5}" name="flight_type" dataDxfId="75"/>
    <tableColumn id="12" xr3:uid="{5CB52884-7C53-364F-8944-153208DBF7EA}" name="distance_flown_in_fir" dataDxfId="74"/>
    <tableColumn id="13" xr3:uid="{49E2E20D-8308-0D49-8520-708E15C5FBA2}" name="exit_point" dataDxfId="73"/>
    <tableColumn id="14" xr3:uid="{A84BDE1B-D412-D542-A3F6-C4933A34E307}" name="exit_hour" dataDxfId="72"/>
    <tableColumn id="15" xr3:uid="{2B290D51-08E5-394C-A373-61492E25D70A}" name="exit_level" dataDxfId="71"/>
    <tableColumn id="16" xr3:uid="{619CA6B5-1646-C34B-B1C8-7787EB9EB073}" name="wtc" dataDxfId="70"/>
    <tableColumn id="17" xr3:uid="{90FAEA52-5C63-FC40-8DD1-49C37F22C17A}" name="nfl" dataDxfId="69"/>
    <tableColumn id="18" xr3:uid="{E4A05578-D08D-7B41-9BC8-5C55E5EC11F1}" name="SID_resuelto" dataDxfId="68">
      <calculatedColumnFormula>IF(OR(G2="12R",G2="12L"),_xlfn.XLOOKUP(C2,Tabla42[ADEP],Tabla42[SID 12R],""),IF(OR(G2="30L",G2="30R"),_xlfn.XLOOKUP(C2,Tabla42[ADEP],Tabla42[SID 30L],""),""))</calculatedColumnFormula>
    </tableColumn>
    <tableColumn id="19" xr3:uid="{9564FBAC-3927-214E-9576-10037A3464C9}" name="Hora_UTC" dataDxfId="67">
      <calculatedColumnFormula>HOUR(F2)</calculatedColumnFormula>
    </tableColumn>
    <tableColumn id="20" xr3:uid="{1976C06B-AF0B-9D40-A7D1-29477DFA0BC4}" name="Sector_resuelto" dataDxfId="66">
      <calculatedColumnFormula>_xlfn.XLOOKUP(C2,Tabla42[ADEP],Tabla42[Sector],"")</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4BC614-8579-2140-A47B-533814B2ED28}" name="Tabla1345671819202122232425891011121314151617262728293031333435362345678" displayName="Tabla1345671819202122232425891011121314151617262728293031333435362345678" ref="A1:T220" totalsRowShown="0" headerRowDxfId="307" dataDxfId="306">
  <autoFilter ref="A1:T220" xr:uid="{FCBB0081-F5A0-9F4A-8223-2324497988BF}"/>
  <tableColumns count="20">
    <tableColumn id="1" xr3:uid="{ADF645A0-604E-E848-BE8C-6B06A9A3AF93}" name="callsign" dataDxfId="305"/>
    <tableColumn id="2" xr3:uid="{BED6E000-FBBF-5747-859D-088D1C5A005C}" name="adep" dataDxfId="304"/>
    <tableColumn id="3" xr3:uid="{E582D85B-8BDF-AA46-8B1E-4CF42F41DF8A}" name="ades" dataDxfId="303"/>
    <tableColumn id="4" xr3:uid="{5B4ACE97-2FA5-4642-9DB2-F579392730E9}" name="aircraft_type" dataDxfId="302"/>
    <tableColumn id="5" xr3:uid="{8BA36657-6423-FE4A-8100-D764658B3CBE}" name="aircraft_registration" dataDxfId="301"/>
    <tableColumn id="6" xr3:uid="{B6ED1B27-9EE7-E442-B763-30134E26B173}" name="atd" dataDxfId="300"/>
    <tableColumn id="7" xr3:uid="{79B5A8E9-52F0-9642-968B-5772218D03BB}" name="dep_runway" dataDxfId="299"/>
    <tableColumn id="8" xr3:uid="{34E9CF7B-E4C5-CD48-AAEB-F20D1E7F847C}" name="route" dataDxfId="298"/>
    <tableColumn id="9" xr3:uid="{9B841535-D147-9E42-B255-4E62431FF2BC}" name="rfl" dataDxfId="297"/>
    <tableColumn id="10" xr3:uid="{5D66BC7D-9D63-E340-8017-8C5F61CB92FB}" name="flight_rule" dataDxfId="296"/>
    <tableColumn id="11" xr3:uid="{C1E9CC98-64AB-3C46-8CC0-BB7438A79773}" name="flight_type" dataDxfId="295"/>
    <tableColumn id="12" xr3:uid="{CAD90DFA-CBAD-9C4A-9ED7-2B234101CFD0}" name="distance_flown_in_fir" dataDxfId="294"/>
    <tableColumn id="13" xr3:uid="{89567D30-CD9F-7547-928A-00A08D63EAB3}" name="exit_point" dataDxfId="293"/>
    <tableColumn id="14" xr3:uid="{C377B193-7C47-9747-AC40-828B45544A69}" name="exit_hour" dataDxfId="292"/>
    <tableColumn id="15" xr3:uid="{CB3B8452-AC38-B041-82E3-0A263E3DD5B2}" name="exit_level" dataDxfId="291"/>
    <tableColumn id="16" xr3:uid="{E3FDBBFB-43A0-DB41-A29D-9FFE2F82903A}" name="wtc" dataDxfId="290"/>
    <tableColumn id="17" xr3:uid="{40C93502-924F-2F4E-8EF5-A1286A278460}" name="nfl" dataDxfId="289"/>
    <tableColumn id="18" xr3:uid="{BFF1D5BC-D490-F446-A05A-2455DC3FB3C9}" name="SID_resuelto" dataDxfId="288">
      <calculatedColumnFormula>IF(OR(G2="12R",G2="12L"),_xlfn.XLOOKUP(C2,Tabla42[ADEP],Tabla42[SID 12R],""),IF(OR(G2="30L",G2="30R"),_xlfn.XLOOKUP(C2,Tabla42[ADEP],Tabla42[SID 30L],""),""))</calculatedColumnFormula>
    </tableColumn>
    <tableColumn id="19" xr3:uid="{046100FF-94A6-A645-913E-E327373E24FF}" name="Hora_UTC" dataDxfId="287">
      <calculatedColumnFormula>HOUR(F2)</calculatedColumnFormula>
    </tableColumn>
    <tableColumn id="20" xr3:uid="{0C9A0A12-EEC1-7C40-8EC1-1FB958930512}" name="Sector_resuelto" dataDxfId="286">
      <calculatedColumnFormula>_xlfn.XLOOKUP(C2,Tabla42[ADEP],Tabla42[Sector],"")</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2E55E2-3BBA-5D4F-8D6B-A3E8461FC3D0}" name="Tabla13456718192021222324258910111213141516172627282930313334353623456789" displayName="Tabla13456718192021222324258910111213141516172627282930313334353623456789" ref="A1:T220" totalsRowShown="0" headerRowDxfId="65" dataDxfId="64">
  <autoFilter ref="A1:T220" xr:uid="{FCBB0081-F5A0-9F4A-8223-2324497988BF}"/>
  <tableColumns count="20">
    <tableColumn id="1" xr3:uid="{629C36C4-8D59-0D41-809B-E91EECDE17C8}" name="callsign" dataDxfId="63"/>
    <tableColumn id="2" xr3:uid="{4E20BB70-9E8F-654C-B8EC-2A032A0BD4EF}" name="adep" dataDxfId="62"/>
    <tableColumn id="3" xr3:uid="{36C55C0F-D15A-5642-BBF6-7E5DD578153F}" name="ades" dataDxfId="61"/>
    <tableColumn id="4" xr3:uid="{00817EF6-5C23-6345-9376-FFD1ABF074C2}" name="aircraft_type" dataDxfId="60"/>
    <tableColumn id="5" xr3:uid="{E2DEDF27-678F-124A-8D1F-723E9019E400}" name="aircraft_registration" dataDxfId="59"/>
    <tableColumn id="6" xr3:uid="{7FFE0B57-A3D1-764F-B111-758598A9A30F}" name="atd" dataDxfId="58"/>
    <tableColumn id="7" xr3:uid="{C0127CA7-6BBF-D346-B37E-756B7F74E9B2}" name="dep_runway" dataDxfId="57"/>
    <tableColumn id="8" xr3:uid="{08D713D6-DA9B-E24E-9B3F-C4A0B76CEE56}" name="route" dataDxfId="56"/>
    <tableColumn id="9" xr3:uid="{CF6FDA1B-A807-AE4B-BD4A-321BB2C09B7E}" name="rfl" dataDxfId="55"/>
    <tableColumn id="10" xr3:uid="{53DAEBD4-6637-9744-933A-A2F22183AE2B}" name="flight_rule" dataDxfId="54"/>
    <tableColumn id="11" xr3:uid="{141522CD-EE6B-AB4E-AF9C-71D4DFA43880}" name="flight_type" dataDxfId="53"/>
    <tableColumn id="12" xr3:uid="{80C536BF-56B4-F148-A04C-93DBE037359F}" name="distance_flown_in_fir" dataDxfId="52"/>
    <tableColumn id="13" xr3:uid="{80D717B4-DAF9-2144-9610-5EF5E9C4A8DB}" name="exit_point" dataDxfId="51"/>
    <tableColumn id="14" xr3:uid="{D0863D65-22E9-0144-B248-C2AC0FBD624C}" name="exit_hour" dataDxfId="50"/>
    <tableColumn id="15" xr3:uid="{EFC01111-6945-0B4F-9937-A64716AD33A4}" name="exit_level" dataDxfId="49"/>
    <tableColumn id="16" xr3:uid="{E2EDE7DD-F0F8-DE41-9F7B-A5B1A343D0B2}" name="wtc" dataDxfId="48"/>
    <tableColumn id="17" xr3:uid="{2E3CF60E-5F49-FB4D-A9AA-615046C8B116}" name="nfl" dataDxfId="47"/>
    <tableColumn id="18" xr3:uid="{7E40B683-3DB6-F742-804A-DABB333952EB}" name="SID_resuelto" dataDxfId="46">
      <calculatedColumnFormula>IF(OR(G2="12R",G2="12L"),_xlfn.XLOOKUP(C2,Tabla42[ADEP],Tabla42[SID 12R],""),IF(OR(G2="30L",G2="30R"),_xlfn.XLOOKUP(C2,Tabla42[ADEP],Tabla42[SID 30L],""),""))</calculatedColumnFormula>
    </tableColumn>
    <tableColumn id="19" xr3:uid="{5AC0E828-2DA8-8241-9ABA-600AE3744F8D}" name="Hora_UTC" dataDxfId="45">
      <calculatedColumnFormula>HOUR(F2)</calculatedColumnFormula>
    </tableColumn>
    <tableColumn id="20" xr3:uid="{E1DAEF13-315D-0142-AD80-C0D33B1173AF}" name="Sector_resuelto" dataDxfId="44">
      <calculatedColumnFormula>_xlfn.XLOOKUP(C2,Tabla42[ADEP],Tabla42[Sector],"")</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F7897-719C-1841-808F-30EDD002C8B8}" name="Tabla1345671819202122232425891011121314151617262728293031333435362345678910" displayName="Tabla1345671819202122232425891011121314151617262728293031333435362345678910" ref="A1:T220" totalsRowShown="0" headerRowDxfId="43" dataDxfId="42">
  <autoFilter ref="A1:T220" xr:uid="{FCBB0081-F5A0-9F4A-8223-2324497988BF}"/>
  <tableColumns count="20">
    <tableColumn id="1" xr3:uid="{767F2F26-CD1F-4F43-9AB6-21518F0FF64F}" name="callsign" dataDxfId="41"/>
    <tableColumn id="2" xr3:uid="{415F5098-0F38-BD48-98BC-5D9E7CE38871}" name="adep" dataDxfId="40"/>
    <tableColumn id="3" xr3:uid="{6A97D409-8750-104A-BCFD-5E0AC30FF817}" name="ades" dataDxfId="39"/>
    <tableColumn id="4" xr3:uid="{3AB321A3-F7C9-844E-B31E-A1A6FA176B5B}" name="aircraft_type" dataDxfId="38"/>
    <tableColumn id="5" xr3:uid="{A6B2D9B6-131F-484A-A679-36181D665F05}" name="aircraft_registration" dataDxfId="37"/>
    <tableColumn id="6" xr3:uid="{4EB28EA0-2254-944D-8D9D-49B9145A4D66}" name="atd" dataDxfId="36"/>
    <tableColumn id="7" xr3:uid="{F3B070E1-9185-5F41-874D-E9ED241FC777}" name="dep_runway" dataDxfId="35"/>
    <tableColumn id="8" xr3:uid="{CF77A656-12E4-4A44-9282-FBE0C7CC4C73}" name="route" dataDxfId="34"/>
    <tableColumn id="9" xr3:uid="{A33E9CA9-1B73-904D-81F7-0B46B5211CA0}" name="rfl" dataDxfId="33"/>
    <tableColumn id="10" xr3:uid="{7EEDFE69-83DE-C74F-BB1D-5A90882E28EA}" name="flight_rule" dataDxfId="32"/>
    <tableColumn id="11" xr3:uid="{4753D4A7-40A8-7740-A09A-8EF0F34EC76C}" name="flight_type" dataDxfId="31"/>
    <tableColumn id="12" xr3:uid="{10EEA477-794A-DB47-99F7-A1788BDB1C12}" name="distance_flown_in_fir" dataDxfId="30"/>
    <tableColumn id="13" xr3:uid="{B39CED6F-2634-DE4A-996C-74CBDEA8E4FA}" name="exit_point" dataDxfId="29"/>
    <tableColumn id="14" xr3:uid="{A36F6981-E1A5-A641-B74A-D1B9E20C4391}" name="exit_hour" dataDxfId="28"/>
    <tableColumn id="15" xr3:uid="{15CAA0DC-10A5-2046-A0C1-B4EA794CC151}" name="exit_level" dataDxfId="27"/>
    <tableColumn id="16" xr3:uid="{CB3A5CF8-8D09-5444-8FAC-6C7A4BB172BF}" name="wtc" dataDxfId="26"/>
    <tableColumn id="17" xr3:uid="{61AEFAD0-E439-DF4B-A050-DE9E3A6CDA36}" name="nfl" dataDxfId="25"/>
    <tableColumn id="18" xr3:uid="{94898A91-360E-5648-8FFE-81772C494758}" name="SID_resuelto" dataDxfId="24">
      <calculatedColumnFormula>IF(OR(G2="12R",G2="12L"),_xlfn.XLOOKUP(C2,Tabla42[ADEP],Tabla42[SID 12R],""),IF(OR(G2="30L",G2="30R"),_xlfn.XLOOKUP(C2,Tabla42[ADEP],Tabla42[SID 30L],""),""))</calculatedColumnFormula>
    </tableColumn>
    <tableColumn id="19" xr3:uid="{464DE668-9763-9244-AB78-BFAC5A3870EB}" name="Hora_UTC" dataDxfId="23">
      <calculatedColumnFormula>HOUR(F2)</calculatedColumnFormula>
    </tableColumn>
    <tableColumn id="20" xr3:uid="{BA30FDE8-6207-574C-ACB8-55E87FF0D33F}" name="Sector_resuelto" dataDxfId="22">
      <calculatedColumnFormula>_xlfn.XLOOKUP(C2,Tabla42[ADEP],Tabla42[Sector],"")</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1B3469B-CD4F-464B-A098-0EA41A926CF6}" name="Tabla134567181920212223242589101112131415161726272829303133343536234567891011" displayName="Tabla134567181920212223242589101112131415161726272829303133343536234567891011" ref="A1:T220" totalsRowShown="0" headerRowDxfId="21" dataDxfId="20">
  <autoFilter ref="A1:T220" xr:uid="{FCBB0081-F5A0-9F4A-8223-2324497988BF}"/>
  <tableColumns count="20">
    <tableColumn id="1" xr3:uid="{2FDCEF7C-6D74-BE46-AF29-C96A0E2E0A04}" name="callsign" dataDxfId="19"/>
    <tableColumn id="2" xr3:uid="{074A0B93-AD62-F249-9E38-67E9A438F627}" name="adep" dataDxfId="18"/>
    <tableColumn id="3" xr3:uid="{66D07A3B-1232-3140-A87D-AA5CE4E394F2}" name="ades" dataDxfId="17"/>
    <tableColumn id="4" xr3:uid="{A38F95AC-5523-9148-8C93-781298C2F619}" name="aircraft_type" dataDxfId="16"/>
    <tableColumn id="5" xr3:uid="{0556240D-D0AB-8C44-A54A-C10A42A3ECC1}" name="aircraft_registration" dataDxfId="15"/>
    <tableColumn id="6" xr3:uid="{E4B9D0D7-BD16-1042-9DF4-AFAD0FFDFC7D}" name="atd" dataDxfId="14"/>
    <tableColumn id="7" xr3:uid="{7FA12301-A1C4-C549-943C-F78386002910}" name="dep_runway" dataDxfId="13"/>
    <tableColumn id="8" xr3:uid="{B1A82393-D2C2-2141-B1E9-52D906A929A9}" name="route" dataDxfId="12"/>
    <tableColumn id="9" xr3:uid="{69B969B2-636B-1045-8013-130BB6E0B498}" name="rfl" dataDxfId="11"/>
    <tableColumn id="10" xr3:uid="{11AA9292-8979-6D40-B375-B3A01C490E77}" name="flight_rule" dataDxfId="10"/>
    <tableColumn id="11" xr3:uid="{49815734-7158-FD42-AAEF-BCCEECC59336}" name="flight_type" dataDxfId="9"/>
    <tableColumn id="12" xr3:uid="{D439B37B-0523-0A4B-85E6-3722419CFA34}" name="distance_flown_in_fir" dataDxfId="8"/>
    <tableColumn id="13" xr3:uid="{046405A0-471D-7541-9893-BC175743EBCD}" name="exit_point" dataDxfId="7"/>
    <tableColumn id="14" xr3:uid="{B59BD864-3CF7-2B4A-BF1D-A0E546E49049}" name="exit_hour" dataDxfId="6"/>
    <tableColumn id="15" xr3:uid="{CBC22DAD-25BC-4742-B5E8-F767E04B2229}" name="exit_level" dataDxfId="5"/>
    <tableColumn id="16" xr3:uid="{7701951A-03BC-4E45-932D-8189D21E7CCA}" name="wtc" dataDxfId="4"/>
    <tableColumn id="17" xr3:uid="{DC81860A-202C-8B4B-8A71-C853ACA8C4DB}" name="nfl" dataDxfId="3"/>
    <tableColumn id="18" xr3:uid="{EF8E015F-C310-DD4F-A9A0-18EB5457BF4B}" name="SID_resuelto" dataDxfId="2">
      <calculatedColumnFormula>IF(OR(G2="12R",G2="12L"),_xlfn.XLOOKUP(C2,Tabla42[ADEP],Tabla42[SID 12R],""),IF(OR(G2="30L",G2="30R"),_xlfn.XLOOKUP(C2,Tabla42[ADEP],Tabla42[SID 30L],""),""))</calculatedColumnFormula>
    </tableColumn>
    <tableColumn id="19" xr3:uid="{6F0B2B4C-92A8-9A4E-B093-AB4230016015}" name="Hora_UTC" dataDxfId="1">
      <calculatedColumnFormula>HOUR(F2)</calculatedColumnFormula>
    </tableColumn>
    <tableColumn id="20" xr3:uid="{61F90B1C-5B84-7041-8D3F-0837C11A6995}" name="Sector_resuelto" dataDxfId="0">
      <calculatedColumnFormula>_xlfn.XLOOKUP(C2,Tabla42[ADEP],Tabla42[Sector],"")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0C173-4B64-3844-B2C1-84B2CFD5211A}">
  <dimension ref="A1:E217"/>
  <sheetViews>
    <sheetView topLeftCell="A182" workbookViewId="0">
      <selection activeCell="A214" sqref="A214"/>
    </sheetView>
  </sheetViews>
  <sheetFormatPr baseColWidth="10" defaultRowHeight="16" x14ac:dyDescent="0.2"/>
  <cols>
    <col min="5" max="5" width="17" bestFit="1" customWidth="1"/>
  </cols>
  <sheetData>
    <row r="1" spans="1:5" x14ac:dyDescent="0.2">
      <c r="A1" t="s">
        <v>835</v>
      </c>
      <c r="B1" t="s">
        <v>934</v>
      </c>
      <c r="C1" t="s">
        <v>935</v>
      </c>
      <c r="D1" t="s">
        <v>836</v>
      </c>
      <c r="E1" t="s">
        <v>837</v>
      </c>
    </row>
    <row r="2" spans="1:5" x14ac:dyDescent="0.2">
      <c r="A2" t="s">
        <v>42</v>
      </c>
      <c r="B2" t="s">
        <v>931</v>
      </c>
      <c r="C2" t="str" cm="1">
        <f t="array" ref="C2">_xlfn.SWITCH(Tabla42[[#This Row],[SID 12R]],"UDGUV","UDGUV","OMSUK","ROTGI","ENEBA","NOSUG","NUDAL","NUDAL","TAKUX","CZM","HECAT","CZM","CZM","CZM","")</f>
        <v>UDGUV</v>
      </c>
      <c r="D2" t="str" cm="1">
        <f t="array" ref="D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 t="s">
        <v>838</v>
      </c>
    </row>
    <row r="3" spans="1:5" x14ac:dyDescent="0.2">
      <c r="A3" t="s">
        <v>27</v>
      </c>
      <c r="B3" t="s">
        <v>932</v>
      </c>
      <c r="C3" t="str" cm="1">
        <f t="array" ref="C3">_xlfn.SWITCH(Tabla42[[#This Row],[SID 12R]],"UDGUV","UDGUV","OMSUK","ROTGI","ENEBA","NOSUG","NUDAL","NUDAL","TAKUX","CZM","HECAT","CZM","CZM","CZM","")</f>
        <v>ROTGI</v>
      </c>
      <c r="D3" t="str" cm="1">
        <f t="array" ref="D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 t="s">
        <v>840</v>
      </c>
    </row>
    <row r="4" spans="1:5" x14ac:dyDescent="0.2">
      <c r="A4" t="s">
        <v>32</v>
      </c>
      <c r="B4" t="s">
        <v>931</v>
      </c>
      <c r="C4" t="str" cm="1">
        <f t="array" ref="C4">_xlfn.SWITCH(Tabla42[[#This Row],[SID 12R]],"UDGUV","UDGUV","OMSUK","ROTGI","ENEBA","NOSUG","NUDAL","NUDAL","TAKUX","CZM","HECAT","CZM","CZM","CZM","")</f>
        <v>UDGUV</v>
      </c>
      <c r="D4" t="str" cm="1">
        <f t="array" ref="D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 t="s">
        <v>841</v>
      </c>
    </row>
    <row r="5" spans="1:5" x14ac:dyDescent="0.2">
      <c r="A5" t="s">
        <v>49</v>
      </c>
      <c r="B5" t="s">
        <v>931</v>
      </c>
      <c r="C5" t="str" cm="1">
        <f t="array" ref="C5">_xlfn.SWITCH(Tabla42[[#This Row],[SID 12R]],"UDGUV","UDGUV","OMSUK","ROTGI","ENEBA","NOSUG","NUDAL","NUDAL","TAKUX","CZM","HECAT","CZM","CZM","CZM","")</f>
        <v>UDGUV</v>
      </c>
      <c r="D5" t="str" cm="1">
        <f t="array" ref="D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 t="s">
        <v>838</v>
      </c>
    </row>
    <row r="6" spans="1:5" x14ac:dyDescent="0.2">
      <c r="A6" t="s">
        <v>121</v>
      </c>
      <c r="B6" t="s">
        <v>933</v>
      </c>
      <c r="C6" t="str" cm="1">
        <f t="array" ref="C6">_xlfn.SWITCH(Tabla42[[#This Row],[SID 12R]],"UDGUV","UDGUV","OMSUK","ROTGI","ENEBA","NOSUG","NUDAL","NUDAL","TAKUX","CZM","HECAT","CZM","CZM","CZM","")</f>
        <v>NOSUG</v>
      </c>
      <c r="D6" t="str" cm="1">
        <f t="array" ref="D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 t="s">
        <v>840</v>
      </c>
    </row>
    <row r="7" spans="1:5" x14ac:dyDescent="0.2">
      <c r="A7" t="s">
        <v>188</v>
      </c>
      <c r="B7" t="s">
        <v>933</v>
      </c>
      <c r="C7" t="str" cm="1">
        <f t="array" ref="C7">_xlfn.SWITCH(Tabla42[[#This Row],[SID 12R]],"UDGUV","UDGUV","OMSUK","ROTGI","ENEBA","NOSUG","NUDAL","NUDAL","TAKUX","CZM","HECAT","CZM","CZM","CZM","")</f>
        <v>NOSUG</v>
      </c>
      <c r="D7" t="str" cm="1">
        <f t="array" ref="D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 t="s">
        <v>840</v>
      </c>
    </row>
    <row r="8" spans="1:5" x14ac:dyDescent="0.2">
      <c r="A8" t="s">
        <v>126</v>
      </c>
      <c r="B8" t="s">
        <v>933</v>
      </c>
      <c r="C8" t="str" cm="1">
        <f t="array" ref="C8">_xlfn.SWITCH(Tabla42[[#This Row],[SID 12R]],"UDGUV","UDGUV","OMSUK","ROTGI","ENEBA","NOSUG","NUDAL","NUDAL","TAKUX","CZM","HECAT","CZM","CZM","CZM","")</f>
        <v>NOSUG</v>
      </c>
      <c r="D8" t="str" cm="1">
        <f t="array" ref="D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 t="s">
        <v>840</v>
      </c>
    </row>
    <row r="9" spans="1:5" x14ac:dyDescent="0.2">
      <c r="A9" t="s">
        <v>257</v>
      </c>
      <c r="B9" t="s">
        <v>931</v>
      </c>
      <c r="C9" t="str" cm="1">
        <f t="array" ref="C9">_xlfn.SWITCH(Tabla42[[#This Row],[SID 12R]],"UDGUV","UDGUV","OMSUK","ROTGI","ENEBA","NOSUG","NUDAL","NUDAL","TAKUX","CZM","HECAT","CZM","CZM","CZM","")</f>
        <v>UDGUV</v>
      </c>
      <c r="D9" t="str" cm="1">
        <f t="array" ref="D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 t="s">
        <v>841</v>
      </c>
    </row>
    <row r="10" spans="1:5" x14ac:dyDescent="0.2">
      <c r="A10" t="s">
        <v>96</v>
      </c>
      <c r="B10" t="s">
        <v>931</v>
      </c>
      <c r="C10" t="str" cm="1">
        <f t="array" ref="C10">_xlfn.SWITCH(Tabla42[[#This Row],[SID 12R]],"UDGUV","UDGUV","OMSUK","ROTGI","ENEBA","NOSUG","NUDAL","NUDAL","TAKUX","CZM","HECAT","CZM","CZM","CZM","")</f>
        <v>UDGUV</v>
      </c>
      <c r="D10" t="str" cm="1">
        <f t="array" ref="D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 t="s">
        <v>838</v>
      </c>
    </row>
    <row r="11" spans="1:5" x14ac:dyDescent="0.2">
      <c r="A11" t="s">
        <v>116</v>
      </c>
      <c r="B11" t="s">
        <v>933</v>
      </c>
      <c r="C11" t="str" cm="1">
        <f t="array" ref="C11">_xlfn.SWITCH(Tabla42[[#This Row],[SID 12R]],"UDGUV","UDGUV","OMSUK","ROTGI","ENEBA","NOSUG","NUDAL","NUDAL","TAKUX","CZM","HECAT","CZM","CZM","CZM","")</f>
        <v>NOSUG</v>
      </c>
      <c r="D11" t="str" cm="1">
        <f t="array" ref="D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 t="s">
        <v>840</v>
      </c>
    </row>
    <row r="12" spans="1:5" x14ac:dyDescent="0.2">
      <c r="A12" t="s">
        <v>133</v>
      </c>
      <c r="B12" t="s">
        <v>932</v>
      </c>
      <c r="C12" t="str" cm="1">
        <f t="array" ref="C12">_xlfn.SWITCH(Tabla42[[#This Row],[SID 12R]],"UDGUV","UDGUV","OMSUK","ROTGI","ENEBA","NOSUG","NUDAL","NUDAL","TAKUX","CZM","HECAT","CZM","CZM","CZM","")</f>
        <v>ROTGI</v>
      </c>
      <c r="D12" t="str" cm="1">
        <f t="array" ref="D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 t="s">
        <v>840</v>
      </c>
    </row>
    <row r="13" spans="1:5" x14ac:dyDescent="0.2">
      <c r="A13" t="s">
        <v>19</v>
      </c>
      <c r="B13" t="s">
        <v>931</v>
      </c>
      <c r="C13" t="str" cm="1">
        <f t="array" ref="C13">_xlfn.SWITCH(Tabla42[[#This Row],[SID 12R]],"UDGUV","UDGUV","OMSUK","ROTGI","ENEBA","NOSUG","NUDAL","NUDAL","TAKUX","CZM","HECAT","CZM","CZM","CZM","")</f>
        <v>UDGUV</v>
      </c>
      <c r="D13" t="str" cm="1">
        <f t="array" ref="D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 t="s">
        <v>838</v>
      </c>
    </row>
    <row r="14" spans="1:5" x14ac:dyDescent="0.2">
      <c r="A14" t="s">
        <v>193</v>
      </c>
      <c r="B14" t="s">
        <v>933</v>
      </c>
      <c r="C14" t="str" cm="1">
        <f t="array" ref="C14">_xlfn.SWITCH(Tabla42[[#This Row],[SID 12R]],"UDGUV","UDGUV","OMSUK","ROTGI","ENEBA","NOSUG","NUDAL","NUDAL","TAKUX","CZM","HECAT","CZM","CZM","CZM","")</f>
        <v>NOSUG</v>
      </c>
      <c r="D14" t="str" cm="1">
        <f t="array" ref="D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 t="s">
        <v>840</v>
      </c>
    </row>
    <row r="15" spans="1:5" x14ac:dyDescent="0.2">
      <c r="A15" t="s">
        <v>158</v>
      </c>
      <c r="B15" t="s">
        <v>932</v>
      </c>
      <c r="C15" t="str" cm="1">
        <f t="array" ref="C15">_xlfn.SWITCH(Tabla42[[#This Row],[SID 12R]],"UDGUV","UDGUV","OMSUK","ROTGI","ENEBA","NOSUG","NUDAL","NUDAL","TAKUX","CZM","HECAT","CZM","CZM","CZM","")</f>
        <v>ROTGI</v>
      </c>
      <c r="D15" t="str" cm="1">
        <f t="array" ref="D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 t="s">
        <v>840</v>
      </c>
    </row>
    <row r="16" spans="1:5" x14ac:dyDescent="0.2">
      <c r="A16" t="s">
        <v>388</v>
      </c>
      <c r="B16" t="s">
        <v>933</v>
      </c>
      <c r="C16" t="str" cm="1">
        <f t="array" ref="C16">_xlfn.SWITCH(Tabla42[[#This Row],[SID 12R]],"UDGUV","UDGUV","OMSUK","ROTGI","ENEBA","NOSUG","NUDAL","NUDAL","TAKUX","CZM","HECAT","CZM","CZM","CZM","")</f>
        <v>NOSUG</v>
      </c>
      <c r="D16" t="str" cm="1">
        <f t="array" ref="D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 t="s">
        <v>840</v>
      </c>
    </row>
    <row r="17" spans="1:5" x14ac:dyDescent="0.2">
      <c r="A17" t="s">
        <v>137</v>
      </c>
      <c r="B17" t="s">
        <v>39</v>
      </c>
      <c r="C17" t="str" cm="1">
        <f t="array" ref="C17">_xlfn.SWITCH(Tabla42[[#This Row],[SID 12R]],"UDGUV","UDGUV","OMSUK","ROTGI","ENEBA","NOSUG","NUDAL","NUDAL","TAKUX","CZM","HECAT","CZM","CZM","CZM","")</f>
        <v>NUDAL</v>
      </c>
      <c r="D17" t="str" cm="1">
        <f t="array" ref="D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 t="s">
        <v>842</v>
      </c>
    </row>
    <row r="18" spans="1:5" x14ac:dyDescent="0.2">
      <c r="A18" t="s">
        <v>305</v>
      </c>
      <c r="B18" t="s">
        <v>932</v>
      </c>
      <c r="C18" t="str" cm="1">
        <f t="array" ref="C18">_xlfn.SWITCH(Tabla42[[#This Row],[SID 12R]],"UDGUV","UDGUV","OMSUK","ROTGI","ENEBA","NOSUG","NUDAL","NUDAL","TAKUX","CZM","HECAT","CZM","CZM","CZM","")</f>
        <v>ROTGI</v>
      </c>
      <c r="D18" t="str" cm="1">
        <f t="array" ref="D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 t="s">
        <v>840</v>
      </c>
    </row>
    <row r="19" spans="1:5" x14ac:dyDescent="0.2">
      <c r="A19" t="s">
        <v>215</v>
      </c>
      <c r="B19" t="s">
        <v>932</v>
      </c>
      <c r="C19" t="str" cm="1">
        <f t="array" ref="C19">_xlfn.SWITCH(Tabla42[[#This Row],[SID 12R]],"UDGUV","UDGUV","OMSUK","ROTGI","ENEBA","NOSUG","NUDAL","NUDAL","TAKUX","CZM","HECAT","CZM","CZM","CZM","")</f>
        <v>ROTGI</v>
      </c>
      <c r="D19" t="str" cm="1">
        <f t="array" ref="D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 t="s">
        <v>840</v>
      </c>
    </row>
    <row r="20" spans="1:5" x14ac:dyDescent="0.2">
      <c r="A20" t="s">
        <v>293</v>
      </c>
      <c r="B20" t="s">
        <v>931</v>
      </c>
      <c r="C20" t="str" cm="1">
        <f t="array" ref="C20">_xlfn.SWITCH(Tabla42[[#This Row],[SID 12R]],"UDGUV","UDGUV","OMSUK","ROTGI","ENEBA","NOSUG","NUDAL","NUDAL","TAKUX","CZM","HECAT","CZM","CZM","CZM","")</f>
        <v>UDGUV</v>
      </c>
      <c r="D20" t="str" cm="1">
        <f t="array" ref="D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0" t="s">
        <v>841</v>
      </c>
    </row>
    <row r="21" spans="1:5" x14ac:dyDescent="0.2">
      <c r="A21" t="s">
        <v>197</v>
      </c>
      <c r="B21" t="s">
        <v>931</v>
      </c>
      <c r="C21" t="str" cm="1">
        <f t="array" ref="C21">_xlfn.SWITCH(Tabla42[[#This Row],[SID 12R]],"UDGUV","UDGUV","OMSUK","ROTGI","ENEBA","NOSUG","NUDAL","NUDAL","TAKUX","CZM","HECAT","CZM","CZM","CZM","")</f>
        <v>UDGUV</v>
      </c>
      <c r="D21" t="str" cm="1">
        <f t="array" ref="D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 t="s">
        <v>841</v>
      </c>
    </row>
    <row r="22" spans="1:5" x14ac:dyDescent="0.2">
      <c r="A22" t="s">
        <v>489</v>
      </c>
      <c r="B22" t="s">
        <v>932</v>
      </c>
      <c r="C22" t="str" cm="1">
        <f t="array" ref="C22">_xlfn.SWITCH(Tabla42[[#This Row],[SID 12R]],"UDGUV","UDGUV","OMSUK","ROTGI","ENEBA","NOSUG","NUDAL","NUDAL","TAKUX","CZM","HECAT","CZM","CZM","CZM","")</f>
        <v>ROTGI</v>
      </c>
      <c r="D22" t="str" cm="1">
        <f t="array" ref="D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2" t="s">
        <v>841</v>
      </c>
    </row>
    <row r="23" spans="1:5" x14ac:dyDescent="0.2">
      <c r="A23" t="s">
        <v>204</v>
      </c>
      <c r="B23" t="s">
        <v>111</v>
      </c>
      <c r="C23" t="str" cm="1">
        <f t="array" ref="C23">_xlfn.SWITCH(Tabla42[[#This Row],[SID 12R]],"UDGUV","UDGUV","OMSUK","ROTGI","ENEBA","NOSUG","NUDAL","NUDAL","TAKUX","CZM","HECAT","CZM","CZM","CZM","")</f>
        <v>CZM</v>
      </c>
      <c r="D23" t="str" cm="1">
        <f t="array" ref="D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3" t="s">
        <v>844</v>
      </c>
    </row>
    <row r="24" spans="1:5" x14ac:dyDescent="0.2">
      <c r="A24" t="s">
        <v>453</v>
      </c>
      <c r="B24" t="s">
        <v>932</v>
      </c>
      <c r="C24" t="str" cm="1">
        <f t="array" ref="C24">_xlfn.SWITCH(Tabla42[[#This Row],[SID 12R]],"UDGUV","UDGUV","OMSUK","ROTGI","ENEBA","NOSUG","NUDAL","NUDAL","TAKUX","CZM","HECAT","CZM","CZM","CZM","")</f>
        <v>ROTGI</v>
      </c>
      <c r="D24" t="str" cm="1">
        <f t="array" ref="D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4" t="s">
        <v>840</v>
      </c>
    </row>
    <row r="25" spans="1:5" x14ac:dyDescent="0.2">
      <c r="A25" t="s">
        <v>845</v>
      </c>
      <c r="B25" t="s">
        <v>936</v>
      </c>
      <c r="C25" t="str" cm="1">
        <f t="array" ref="C25">_xlfn.SWITCH(Tabla42[[#This Row],[SID 12R]],"UDGUV","UDGUV","OMSUK","ROTGI","ENEBA","NOSUG","NUDAL","NUDAL","TAKUX","CZM","HECAT","CZM","CZM","CZM","")</f>
        <v>CZM</v>
      </c>
      <c r="D25" t="str" cm="1">
        <f t="array" ref="D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5" t="s">
        <v>844</v>
      </c>
    </row>
    <row r="26" spans="1:5" x14ac:dyDescent="0.2">
      <c r="A26" t="s">
        <v>184</v>
      </c>
      <c r="B26" t="s">
        <v>932</v>
      </c>
      <c r="C26" t="str" cm="1">
        <f t="array" ref="C26">_xlfn.SWITCH(Tabla42[[#This Row],[SID 12R]],"UDGUV","UDGUV","OMSUK","ROTGI","ENEBA","NOSUG","NUDAL","NUDAL","TAKUX","CZM","HECAT","CZM","CZM","CZM","")</f>
        <v>ROTGI</v>
      </c>
      <c r="D26" t="str" cm="1">
        <f t="array" ref="D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6" t="s">
        <v>840</v>
      </c>
    </row>
    <row r="27" spans="1:5" x14ac:dyDescent="0.2">
      <c r="A27" t="s">
        <v>219</v>
      </c>
      <c r="B27" t="s">
        <v>931</v>
      </c>
      <c r="C27" t="str" cm="1">
        <f t="array" ref="C27">_xlfn.SWITCH(Tabla42[[#This Row],[SID 12R]],"UDGUV","UDGUV","OMSUK","ROTGI","ENEBA","NOSUG","NUDAL","NUDAL","TAKUX","CZM","HECAT","CZM","CZM","CZM","")</f>
        <v>UDGUV</v>
      </c>
      <c r="D27" t="str" cm="1">
        <f t="array" ref="D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7" t="s">
        <v>841</v>
      </c>
    </row>
    <row r="28" spans="1:5" x14ac:dyDescent="0.2">
      <c r="A28" t="s">
        <v>263</v>
      </c>
      <c r="B28" t="s">
        <v>932</v>
      </c>
      <c r="C28" t="str" cm="1">
        <f t="array" ref="C28">_xlfn.SWITCH(Tabla42[[#This Row],[SID 12R]],"UDGUV","UDGUV","OMSUK","ROTGI","ENEBA","NOSUG","NUDAL","NUDAL","TAKUX","CZM","HECAT","CZM","CZM","CZM","")</f>
        <v>ROTGI</v>
      </c>
      <c r="D28" t="str" cm="1">
        <f t="array" ref="D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8" t="s">
        <v>842</v>
      </c>
    </row>
    <row r="29" spans="1:5" x14ac:dyDescent="0.2">
      <c r="A29" t="s">
        <v>233</v>
      </c>
      <c r="B29" t="s">
        <v>931</v>
      </c>
      <c r="C29" t="str" cm="1">
        <f t="array" ref="C29">_xlfn.SWITCH(Tabla42[[#This Row],[SID 12R]],"UDGUV","UDGUV","OMSUK","ROTGI","ENEBA","NOSUG","NUDAL","NUDAL","TAKUX","CZM","HECAT","CZM","CZM","CZM","")</f>
        <v>UDGUV</v>
      </c>
      <c r="D29" t="str" cm="1">
        <f t="array" ref="D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9" t="s">
        <v>840</v>
      </c>
    </row>
    <row r="30" spans="1:5" x14ac:dyDescent="0.2">
      <c r="A30" t="s">
        <v>102</v>
      </c>
      <c r="B30" t="s">
        <v>39</v>
      </c>
      <c r="C30" t="str" cm="1">
        <f t="array" ref="C30">_xlfn.SWITCH(Tabla42[[#This Row],[SID 12R]],"UDGUV","UDGUV","OMSUK","ROTGI","ENEBA","NOSUG","NUDAL","NUDAL","TAKUX","CZM","HECAT","CZM","CZM","CZM","")</f>
        <v>NUDAL</v>
      </c>
      <c r="D30" t="str" cm="1">
        <f t="array" ref="D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0" t="s">
        <v>842</v>
      </c>
    </row>
    <row r="31" spans="1:5" x14ac:dyDescent="0.2">
      <c r="A31" t="s">
        <v>583</v>
      </c>
      <c r="B31" t="s">
        <v>933</v>
      </c>
      <c r="C31" t="str" cm="1">
        <f t="array" ref="C31">_xlfn.SWITCH(Tabla42[[#This Row],[SID 12R]],"UDGUV","UDGUV","OMSUK","ROTGI","ENEBA","NOSUG","NUDAL","NUDAL","TAKUX","CZM","HECAT","CZM","CZM","CZM","")</f>
        <v>NOSUG</v>
      </c>
      <c r="D31" t="str" cm="1">
        <f t="array" ref="D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1" t="s">
        <v>840</v>
      </c>
    </row>
    <row r="32" spans="1:5" x14ac:dyDescent="0.2">
      <c r="A32" t="s">
        <v>478</v>
      </c>
      <c r="B32" t="s">
        <v>933</v>
      </c>
      <c r="C32" t="str" cm="1">
        <f t="array" ref="C32">_xlfn.SWITCH(Tabla42[[#This Row],[SID 12R]],"UDGUV","UDGUV","OMSUK","ROTGI","ENEBA","NOSUG","NUDAL","NUDAL","TAKUX","CZM","HECAT","CZM","CZM","CZM","")</f>
        <v>NOSUG</v>
      </c>
      <c r="D32" t="str" cm="1">
        <f t="array" ref="D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2" t="s">
        <v>840</v>
      </c>
    </row>
    <row r="33" spans="1:5" x14ac:dyDescent="0.2">
      <c r="A33" t="s">
        <v>846</v>
      </c>
      <c r="B33" t="s">
        <v>933</v>
      </c>
      <c r="C33" t="str" cm="1">
        <f t="array" ref="C33">_xlfn.SWITCH(Tabla42[[#This Row],[SID 12R]],"UDGUV","UDGUV","OMSUK","ROTGI","ENEBA","NOSUG","NUDAL","NUDAL","TAKUX","CZM","HECAT","CZM","CZM","CZM","")</f>
        <v>NOSUG</v>
      </c>
      <c r="D33" t="str" cm="1">
        <f t="array" ref="D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3" t="s">
        <v>840</v>
      </c>
    </row>
    <row r="34" spans="1:5" x14ac:dyDescent="0.2">
      <c r="A34" t="s">
        <v>598</v>
      </c>
      <c r="B34" t="s">
        <v>932</v>
      </c>
      <c r="C34" t="str" cm="1">
        <f t="array" ref="C34">_xlfn.SWITCH(Tabla42[[#This Row],[SID 12R]],"UDGUV","UDGUV","OMSUK","ROTGI","ENEBA","NOSUG","NUDAL","NUDAL","TAKUX","CZM","HECAT","CZM","CZM","CZM","")</f>
        <v>ROTGI</v>
      </c>
      <c r="D34" t="str" cm="1">
        <f t="array" ref="D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4" t="s">
        <v>840</v>
      </c>
    </row>
    <row r="35" spans="1:5" x14ac:dyDescent="0.2">
      <c r="A35" t="s">
        <v>223</v>
      </c>
      <c r="B35" t="s">
        <v>932</v>
      </c>
      <c r="C35" t="str" cm="1">
        <f t="array" ref="C35">_xlfn.SWITCH(Tabla42[[#This Row],[SID 12R]],"UDGUV","UDGUV","OMSUK","ROTGI","ENEBA","NOSUG","NUDAL","NUDAL","TAKUX","CZM","HECAT","CZM","CZM","CZM","")</f>
        <v>ROTGI</v>
      </c>
      <c r="D35" t="str" cm="1">
        <f t="array" ref="D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5" t="s">
        <v>840</v>
      </c>
    </row>
    <row r="36" spans="1:5" x14ac:dyDescent="0.2">
      <c r="A36" t="s">
        <v>320</v>
      </c>
      <c r="B36" t="s">
        <v>931</v>
      </c>
      <c r="C36" t="str" cm="1">
        <f t="array" ref="C36">_xlfn.SWITCH(Tabla42[[#This Row],[SID 12R]],"UDGUV","UDGUV","OMSUK","ROTGI","ENEBA","NOSUG","NUDAL","NUDAL","TAKUX","CZM","HECAT","CZM","CZM","CZM","")</f>
        <v>UDGUV</v>
      </c>
      <c r="D36" t="str" cm="1">
        <f t="array" ref="D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6" t="s">
        <v>838</v>
      </c>
    </row>
    <row r="37" spans="1:5" x14ac:dyDescent="0.2">
      <c r="A37" t="s">
        <v>804</v>
      </c>
      <c r="B37" t="s">
        <v>933</v>
      </c>
      <c r="C37" t="str" cm="1">
        <f t="array" ref="C37">_xlfn.SWITCH(Tabla42[[#This Row],[SID 12R]],"UDGUV","UDGUV","OMSUK","ROTGI","ENEBA","NOSUG","NUDAL","NUDAL","TAKUX","CZM","HECAT","CZM","CZM","CZM","")</f>
        <v>NOSUG</v>
      </c>
      <c r="D37" t="str" cm="1">
        <f t="array" ref="D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7" t="s">
        <v>840</v>
      </c>
    </row>
    <row r="38" spans="1:5" x14ac:dyDescent="0.2">
      <c r="A38" t="s">
        <v>444</v>
      </c>
      <c r="B38" t="s">
        <v>933</v>
      </c>
      <c r="C38" t="str" cm="1">
        <f t="array" ref="C38">_xlfn.SWITCH(Tabla42[[#This Row],[SID 12R]],"UDGUV","UDGUV","OMSUK","ROTGI","ENEBA","NOSUG","NUDAL","NUDAL","TAKUX","CZM","HECAT","CZM","CZM","CZM","")</f>
        <v>NOSUG</v>
      </c>
      <c r="D38" t="str" cm="1">
        <f t="array" ref="D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38" t="s">
        <v>840</v>
      </c>
    </row>
    <row r="39" spans="1:5" x14ac:dyDescent="0.2">
      <c r="A39" t="s">
        <v>93</v>
      </c>
      <c r="B39" t="s">
        <v>931</v>
      </c>
      <c r="C39" t="str" cm="1">
        <f t="array" ref="C39">_xlfn.SWITCH(Tabla42[[#This Row],[SID 12R]],"UDGUV","UDGUV","OMSUK","ROTGI","ENEBA","NOSUG","NUDAL","NUDAL","TAKUX","CZM","HECAT","CZM","CZM","CZM","")</f>
        <v>UDGUV</v>
      </c>
      <c r="D39" t="str" cm="1">
        <f t="array" ref="D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39" t="s">
        <v>838</v>
      </c>
    </row>
    <row r="40" spans="1:5" x14ac:dyDescent="0.2">
      <c r="A40" t="s">
        <v>109</v>
      </c>
      <c r="B40" t="s">
        <v>111</v>
      </c>
      <c r="C40" t="str" cm="1">
        <f t="array" ref="C40">_xlfn.SWITCH(Tabla42[[#This Row],[SID 12R]],"UDGUV","UDGUV","OMSUK","ROTGI","ENEBA","NOSUG","NUDAL","NUDAL","TAKUX","CZM","HECAT","CZM","CZM","CZM","")</f>
        <v>CZM</v>
      </c>
      <c r="D40" t="str" cm="1">
        <f t="array" ref="D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0" t="s">
        <v>844</v>
      </c>
    </row>
    <row r="41" spans="1:5" x14ac:dyDescent="0.2">
      <c r="A41" t="s">
        <v>559</v>
      </c>
      <c r="B41" t="s">
        <v>932</v>
      </c>
      <c r="C41" t="str" cm="1">
        <f t="array" ref="C41">_xlfn.SWITCH(Tabla42[[#This Row],[SID 12R]],"UDGUV","UDGUV","OMSUK","ROTGI","ENEBA","NOSUG","NUDAL","NUDAL","TAKUX","CZM","HECAT","CZM","CZM","CZM","")</f>
        <v>ROTGI</v>
      </c>
      <c r="D41" t="str" cm="1">
        <f t="array" ref="D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1" t="s">
        <v>840</v>
      </c>
    </row>
    <row r="42" spans="1:5" x14ac:dyDescent="0.2">
      <c r="A42" t="s">
        <v>592</v>
      </c>
      <c r="B42" t="s">
        <v>933</v>
      </c>
      <c r="C42" t="str" cm="1">
        <f t="array" ref="C42">_xlfn.SWITCH(Tabla42[[#This Row],[SID 12R]],"UDGUV","UDGUV","OMSUK","ROTGI","ENEBA","NOSUG","NUDAL","NUDAL","TAKUX","CZM","HECAT","CZM","CZM","CZM","")</f>
        <v>NOSUG</v>
      </c>
      <c r="D42" t="str" cm="1">
        <f t="array" ref="D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2" t="s">
        <v>840</v>
      </c>
    </row>
    <row r="43" spans="1:5" x14ac:dyDescent="0.2">
      <c r="A43" t="s">
        <v>153</v>
      </c>
      <c r="B43" t="s">
        <v>931</v>
      </c>
      <c r="C43" t="str" cm="1">
        <f t="array" ref="C43">_xlfn.SWITCH(Tabla42[[#This Row],[SID 12R]],"UDGUV","UDGUV","OMSUK","ROTGI","ENEBA","NOSUG","NUDAL","NUDAL","TAKUX","CZM","HECAT","CZM","CZM","CZM","")</f>
        <v>UDGUV</v>
      </c>
      <c r="D43" t="str" cm="1">
        <f t="array" ref="D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43" t="s">
        <v>841</v>
      </c>
    </row>
    <row r="44" spans="1:5" x14ac:dyDescent="0.2">
      <c r="A44" t="s">
        <v>596</v>
      </c>
      <c r="B44" t="s">
        <v>932</v>
      </c>
      <c r="C44" t="str" cm="1">
        <f t="array" ref="C44">_xlfn.SWITCH(Tabla42[[#This Row],[SID 12R]],"UDGUV","UDGUV","OMSUK","ROTGI","ENEBA","NOSUG","NUDAL","NUDAL","TAKUX","CZM","HECAT","CZM","CZM","CZM","")</f>
        <v>ROTGI</v>
      </c>
      <c r="D44" t="str" cm="1">
        <f t="array" ref="D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4" t="s">
        <v>840</v>
      </c>
    </row>
    <row r="45" spans="1:5" x14ac:dyDescent="0.2">
      <c r="A45" t="s">
        <v>37</v>
      </c>
      <c r="B45" t="s">
        <v>39</v>
      </c>
      <c r="C45" t="str" cm="1">
        <f t="array" ref="C45">_xlfn.SWITCH(Tabla42[[#This Row],[SID 12R]],"UDGUV","UDGUV","OMSUK","ROTGI","ENEBA","NOSUG","NUDAL","NUDAL","TAKUX","CZM","HECAT","CZM","CZM","CZM","")</f>
        <v>NUDAL</v>
      </c>
      <c r="D45" t="str" cm="1">
        <f t="array" ref="D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5" t="s">
        <v>842</v>
      </c>
    </row>
    <row r="46" spans="1:5" x14ac:dyDescent="0.2">
      <c r="A46" t="s">
        <v>847</v>
      </c>
      <c r="B46" t="s">
        <v>39</v>
      </c>
      <c r="C46" t="str" cm="1">
        <f t="array" ref="C46">_xlfn.SWITCH(Tabla42[[#This Row],[SID 12R]],"UDGUV","UDGUV","OMSUK","ROTGI","ENEBA","NOSUG","NUDAL","NUDAL","TAKUX","CZM","HECAT","CZM","CZM","CZM","")</f>
        <v>NUDAL</v>
      </c>
      <c r="D46" t="str" cm="1">
        <f t="array" ref="D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6" t="s">
        <v>842</v>
      </c>
    </row>
    <row r="47" spans="1:5" x14ac:dyDescent="0.2">
      <c r="A47" t="s">
        <v>848</v>
      </c>
      <c r="B47" t="s">
        <v>933</v>
      </c>
      <c r="C47" t="str" cm="1">
        <f t="array" ref="C47">_xlfn.SWITCH(Tabla42[[#This Row],[SID 12R]],"UDGUV","UDGUV","OMSUK","ROTGI","ENEBA","NOSUG","NUDAL","NUDAL","TAKUX","CZM","HECAT","CZM","CZM","CZM","")</f>
        <v>NOSUG</v>
      </c>
      <c r="D47" t="str" cm="1">
        <f t="array" ref="D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7" t="s">
        <v>840</v>
      </c>
    </row>
    <row r="48" spans="1:5" x14ac:dyDescent="0.2">
      <c r="A48" t="s">
        <v>606</v>
      </c>
      <c r="B48" t="s">
        <v>932</v>
      </c>
      <c r="C48" t="str" cm="1">
        <f t="array" ref="C48">_xlfn.SWITCH(Tabla42[[#This Row],[SID 12R]],"UDGUV","UDGUV","OMSUK","ROTGI","ENEBA","NOSUG","NUDAL","NUDAL","TAKUX","CZM","HECAT","CZM","CZM","CZM","")</f>
        <v>ROTGI</v>
      </c>
      <c r="D48" t="str" cm="1">
        <f t="array" ref="D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48" t="s">
        <v>840</v>
      </c>
    </row>
    <row r="49" spans="1:5" x14ac:dyDescent="0.2">
      <c r="A49" t="s">
        <v>396</v>
      </c>
      <c r="B49" t="s">
        <v>937</v>
      </c>
      <c r="C49" t="str" cm="1">
        <f t="array" ref="C49">_xlfn.SWITCH(Tabla42[[#This Row],[SID 12R]],"UDGUV","UDGUV","OMSUK","ROTGI","ENEBA","NOSUG","NUDAL","NUDAL","TAKUX","CZM","HECAT","CZM","CZM","CZM","")</f>
        <v>CZM</v>
      </c>
      <c r="D49" t="str" cm="1">
        <f t="array" ref="D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49" t="s">
        <v>844</v>
      </c>
    </row>
    <row r="50" spans="1:5" x14ac:dyDescent="0.2">
      <c r="A50" t="s">
        <v>657</v>
      </c>
      <c r="B50" t="s">
        <v>932</v>
      </c>
      <c r="C50" t="str" cm="1">
        <f t="array" ref="C50">_xlfn.SWITCH(Tabla42[[#This Row],[SID 12R]],"UDGUV","UDGUV","OMSUK","ROTGI","ENEBA","NOSUG","NUDAL","NUDAL","TAKUX","CZM","HECAT","CZM","CZM","CZM","")</f>
        <v>ROTGI</v>
      </c>
      <c r="D50" t="str" cm="1">
        <f t="array" ref="D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0" t="s">
        <v>840</v>
      </c>
    </row>
    <row r="51" spans="1:5" x14ac:dyDescent="0.2">
      <c r="A51" t="s">
        <v>254</v>
      </c>
      <c r="B51" t="s">
        <v>931</v>
      </c>
      <c r="C51" t="str" cm="1">
        <f t="array" ref="C51">_xlfn.SWITCH(Tabla42[[#This Row],[SID 12R]],"UDGUV","UDGUV","OMSUK","ROTGI","ENEBA","NOSUG","NUDAL","NUDAL","TAKUX","CZM","HECAT","CZM","CZM","CZM","")</f>
        <v>UDGUV</v>
      </c>
      <c r="D51" t="str" cm="1">
        <f t="array" ref="D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1" t="s">
        <v>841</v>
      </c>
    </row>
    <row r="52" spans="1:5" x14ac:dyDescent="0.2">
      <c r="A52" t="s">
        <v>190</v>
      </c>
      <c r="B52" t="s">
        <v>39</v>
      </c>
      <c r="C52" t="str" cm="1">
        <f t="array" ref="C52">_xlfn.SWITCH(Tabla42[[#This Row],[SID 12R]],"UDGUV","UDGUV","OMSUK","ROTGI","ENEBA","NOSUG","NUDAL","NUDAL","TAKUX","CZM","HECAT","CZM","CZM","CZM","")</f>
        <v>NUDAL</v>
      </c>
      <c r="D52" t="str" cm="1">
        <f t="array" ref="D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2" t="s">
        <v>842</v>
      </c>
    </row>
    <row r="53" spans="1:5" x14ac:dyDescent="0.2">
      <c r="A53" t="s">
        <v>195</v>
      </c>
      <c r="B53" t="s">
        <v>936</v>
      </c>
      <c r="C53" t="str" cm="1">
        <f t="array" ref="C53">_xlfn.SWITCH(Tabla42[[#This Row],[SID 12R]],"UDGUV","UDGUV","OMSUK","ROTGI","ENEBA","NOSUG","NUDAL","NUDAL","TAKUX","CZM","HECAT","CZM","CZM","CZM","")</f>
        <v>CZM</v>
      </c>
      <c r="D53" t="str" cm="1">
        <f t="array" ref="D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53" t="s">
        <v>844</v>
      </c>
    </row>
    <row r="54" spans="1:5" x14ac:dyDescent="0.2">
      <c r="A54" t="s">
        <v>164</v>
      </c>
      <c r="B54" t="s">
        <v>932</v>
      </c>
      <c r="C54" t="str" cm="1">
        <f t="array" ref="C54">_xlfn.SWITCH(Tabla42[[#This Row],[SID 12R]],"UDGUV","UDGUV","OMSUK","ROTGI","ENEBA","NOSUG","NUDAL","NUDAL","TAKUX","CZM","HECAT","CZM","CZM","CZM","")</f>
        <v>ROTGI</v>
      </c>
      <c r="D54" t="str" cm="1">
        <f t="array" ref="D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4" t="s">
        <v>840</v>
      </c>
    </row>
    <row r="55" spans="1:5" x14ac:dyDescent="0.2">
      <c r="A55" t="s">
        <v>849</v>
      </c>
      <c r="B55" t="s">
        <v>933</v>
      </c>
      <c r="C55" t="str" cm="1">
        <f t="array" ref="C55">_xlfn.SWITCH(Tabla42[[#This Row],[SID 12R]],"UDGUV","UDGUV","OMSUK","ROTGI","ENEBA","NOSUG","NUDAL","NUDAL","TAKUX","CZM","HECAT","CZM","CZM","CZM","")</f>
        <v>NOSUG</v>
      </c>
      <c r="D55" t="str" cm="1">
        <f t="array" ref="D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5" t="s">
        <v>840</v>
      </c>
    </row>
    <row r="56" spans="1:5" x14ac:dyDescent="0.2">
      <c r="A56" t="s">
        <v>850</v>
      </c>
      <c r="B56" t="s">
        <v>931</v>
      </c>
      <c r="C56" t="str" cm="1">
        <f t="array" ref="C56">_xlfn.SWITCH(Tabla42[[#This Row],[SID 12R]],"UDGUV","UDGUV","OMSUK","ROTGI","ENEBA","NOSUG","NUDAL","NUDAL","TAKUX","CZM","HECAT","CZM","CZM","CZM","")</f>
        <v>UDGUV</v>
      </c>
      <c r="D56" t="str" cm="1">
        <f t="array" ref="D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6" t="s">
        <v>840</v>
      </c>
    </row>
    <row r="57" spans="1:5" x14ac:dyDescent="0.2">
      <c r="A57" t="s">
        <v>128</v>
      </c>
      <c r="B57" t="s">
        <v>932</v>
      </c>
      <c r="C57" t="str" cm="1">
        <f t="array" ref="C57">_xlfn.SWITCH(Tabla42[[#This Row],[SID 12R]],"UDGUV","UDGUV","OMSUK","ROTGI","ENEBA","NOSUG","NUDAL","NUDAL","TAKUX","CZM","HECAT","CZM","CZM","CZM","")</f>
        <v>ROTGI</v>
      </c>
      <c r="D57" t="str" cm="1">
        <f t="array" ref="D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7" t="s">
        <v>840</v>
      </c>
    </row>
    <row r="58" spans="1:5" x14ac:dyDescent="0.2">
      <c r="A58" t="s">
        <v>65</v>
      </c>
      <c r="B58" t="s">
        <v>931</v>
      </c>
      <c r="C58" t="str" cm="1">
        <f t="array" ref="C58">_xlfn.SWITCH(Tabla42[[#This Row],[SID 12R]],"UDGUV","UDGUV","OMSUK","ROTGI","ENEBA","NOSUG","NUDAL","NUDAL","TAKUX","CZM","HECAT","CZM","CZM","CZM","")</f>
        <v>UDGUV</v>
      </c>
      <c r="D58" t="str" cm="1">
        <f t="array" ref="D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58" t="s">
        <v>851</v>
      </c>
    </row>
    <row r="59" spans="1:5" x14ac:dyDescent="0.2">
      <c r="A59" t="s">
        <v>852</v>
      </c>
      <c r="B59" t="s">
        <v>933</v>
      </c>
      <c r="C59" t="str" cm="1">
        <f t="array" ref="C59">_xlfn.SWITCH(Tabla42[[#This Row],[SID 12R]],"UDGUV","UDGUV","OMSUK","ROTGI","ENEBA","NOSUG","NUDAL","NUDAL","TAKUX","CZM","HECAT","CZM","CZM","CZM","")</f>
        <v>NOSUG</v>
      </c>
      <c r="D59" t="str" cm="1">
        <f t="array" ref="D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59" t="s">
        <v>840</v>
      </c>
    </row>
    <row r="60" spans="1:5" x14ac:dyDescent="0.2">
      <c r="A60" t="s">
        <v>853</v>
      </c>
      <c r="B60" t="s">
        <v>933</v>
      </c>
      <c r="C60" t="str" cm="1">
        <f t="array" ref="C60">_xlfn.SWITCH(Tabla42[[#This Row],[SID 12R]],"UDGUV","UDGUV","OMSUK","ROTGI","ENEBA","NOSUG","NUDAL","NUDAL","TAKUX","CZM","HECAT","CZM","CZM","CZM","")</f>
        <v>NOSUG</v>
      </c>
      <c r="D60" t="str" cm="1">
        <f t="array" ref="D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0" t="s">
        <v>840</v>
      </c>
    </row>
    <row r="61" spans="1:5" x14ac:dyDescent="0.2">
      <c r="A61" t="s">
        <v>206</v>
      </c>
      <c r="B61" t="s">
        <v>931</v>
      </c>
      <c r="C61" t="str" cm="1">
        <f t="array" ref="C61">_xlfn.SWITCH(Tabla42[[#This Row],[SID 12R]],"UDGUV","UDGUV","OMSUK","ROTGI","ENEBA","NOSUG","NUDAL","NUDAL","TAKUX","CZM","HECAT","CZM","CZM","CZM","")</f>
        <v>UDGUV</v>
      </c>
      <c r="D61" t="str" cm="1">
        <f t="array" ref="D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1" t="s">
        <v>838</v>
      </c>
    </row>
    <row r="62" spans="1:5" x14ac:dyDescent="0.2">
      <c r="A62" t="s">
        <v>62</v>
      </c>
      <c r="B62" t="s">
        <v>931</v>
      </c>
      <c r="C62" t="str" cm="1">
        <f t="array" ref="C62">_xlfn.SWITCH(Tabla42[[#This Row],[SID 12R]],"UDGUV","UDGUV","OMSUK","ROTGI","ENEBA","NOSUG","NUDAL","NUDAL","TAKUX","CZM","HECAT","CZM","CZM","CZM","")</f>
        <v>UDGUV</v>
      </c>
      <c r="D62" t="str" cm="1">
        <f t="array" ref="D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62" t="s">
        <v>838</v>
      </c>
    </row>
    <row r="63" spans="1:5" x14ac:dyDescent="0.2">
      <c r="A63" t="s">
        <v>212</v>
      </c>
      <c r="B63" t="s">
        <v>111</v>
      </c>
      <c r="C63" t="str" cm="1">
        <f t="array" ref="C63">_xlfn.SWITCH(Tabla42[[#This Row],[SID 12R]],"UDGUV","UDGUV","OMSUK","ROTGI","ENEBA","NOSUG","NUDAL","NUDAL","TAKUX","CZM","HECAT","CZM","CZM","CZM","")</f>
        <v>CZM</v>
      </c>
      <c r="D63" t="str" cm="1">
        <f t="array" ref="D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3" t="s">
        <v>844</v>
      </c>
    </row>
    <row r="64" spans="1:5" x14ac:dyDescent="0.2">
      <c r="A64" t="s">
        <v>47</v>
      </c>
      <c r="B64" t="s">
        <v>39</v>
      </c>
      <c r="C64" t="str" cm="1">
        <f t="array" ref="C64">_xlfn.SWITCH(Tabla42[[#This Row],[SID 12R]],"UDGUV","UDGUV","OMSUK","ROTGI","ENEBA","NOSUG","NUDAL","NUDAL","TAKUX","CZM","HECAT","CZM","CZM","CZM","")</f>
        <v>NUDAL</v>
      </c>
      <c r="D64" t="str" cm="1">
        <f t="array" ref="D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4" t="s">
        <v>842</v>
      </c>
    </row>
    <row r="65" spans="1:5" x14ac:dyDescent="0.2">
      <c r="A65" t="s">
        <v>84</v>
      </c>
      <c r="B65" t="s">
        <v>39</v>
      </c>
      <c r="C65" t="str" cm="1">
        <f t="array" ref="C65">_xlfn.SWITCH(Tabla42[[#This Row],[SID 12R]],"UDGUV","UDGUV","OMSUK","ROTGI","ENEBA","NOSUG","NUDAL","NUDAL","TAKUX","CZM","HECAT","CZM","CZM","CZM","")</f>
        <v>NUDAL</v>
      </c>
      <c r="D65" t="str" cm="1">
        <f t="array" ref="D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5" t="s">
        <v>842</v>
      </c>
    </row>
    <row r="66" spans="1:5" x14ac:dyDescent="0.2">
      <c r="A66" t="s">
        <v>52</v>
      </c>
      <c r="B66" t="s">
        <v>937</v>
      </c>
      <c r="C66" t="str" cm="1">
        <f t="array" ref="C66">_xlfn.SWITCH(Tabla42[[#This Row],[SID 12R]],"UDGUV","UDGUV","OMSUK","ROTGI","ENEBA","NOSUG","NUDAL","NUDAL","TAKUX","CZM","HECAT","CZM","CZM","CZM","")</f>
        <v>CZM</v>
      </c>
      <c r="D66" t="str" cm="1">
        <f t="array" ref="D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66" t="s">
        <v>844</v>
      </c>
    </row>
    <row r="67" spans="1:5" x14ac:dyDescent="0.2">
      <c r="A67" t="s">
        <v>300</v>
      </c>
      <c r="B67" t="s">
        <v>932</v>
      </c>
      <c r="C67" t="str" cm="1">
        <f t="array" ref="C67">_xlfn.SWITCH(Tabla42[[#This Row],[SID 12R]],"UDGUV","UDGUV","OMSUK","ROTGI","ENEBA","NOSUG","NUDAL","NUDAL","TAKUX","CZM","HECAT","CZM","CZM","CZM","")</f>
        <v>ROTGI</v>
      </c>
      <c r="D67" t="str" cm="1">
        <f t="array" ref="D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7" t="s">
        <v>840</v>
      </c>
    </row>
    <row r="68" spans="1:5" x14ac:dyDescent="0.2">
      <c r="A68" t="s">
        <v>854</v>
      </c>
      <c r="B68" t="s">
        <v>39</v>
      </c>
      <c r="C68" t="str" cm="1">
        <f t="array" ref="C68">_xlfn.SWITCH(Tabla42[[#This Row],[SID 12R]],"UDGUV","UDGUV","OMSUK","ROTGI","ENEBA","NOSUG","NUDAL","NUDAL","TAKUX","CZM","HECAT","CZM","CZM","CZM","")</f>
        <v>NUDAL</v>
      </c>
      <c r="D68" t="str" cm="1">
        <f t="array" ref="D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8" t="s">
        <v>842</v>
      </c>
    </row>
    <row r="69" spans="1:5" x14ac:dyDescent="0.2">
      <c r="A69" t="s">
        <v>855</v>
      </c>
      <c r="B69" t="s">
        <v>932</v>
      </c>
      <c r="C69" t="str" cm="1">
        <f t="array" ref="C69">_xlfn.SWITCH(Tabla42[[#This Row],[SID 12R]],"UDGUV","UDGUV","OMSUK","ROTGI","ENEBA","NOSUG","NUDAL","NUDAL","TAKUX","CZM","HECAT","CZM","CZM","CZM","")</f>
        <v>ROTGI</v>
      </c>
      <c r="D69" t="str" cm="1">
        <f t="array" ref="D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69" t="s">
        <v>840</v>
      </c>
    </row>
    <row r="70" spans="1:5" x14ac:dyDescent="0.2">
      <c r="A70" t="s">
        <v>856</v>
      </c>
      <c r="B70" t="s">
        <v>39</v>
      </c>
      <c r="C70" t="str" cm="1">
        <f t="array" ref="C70">_xlfn.SWITCH(Tabla42[[#This Row],[SID 12R]],"UDGUV","UDGUV","OMSUK","ROTGI","ENEBA","NOSUG","NUDAL","NUDAL","TAKUX","CZM","HECAT","CZM","CZM","CZM","")</f>
        <v>NUDAL</v>
      </c>
      <c r="D70" t="str" cm="1">
        <f t="array" ref="D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0" t="s">
        <v>842</v>
      </c>
    </row>
    <row r="71" spans="1:5" x14ac:dyDescent="0.2">
      <c r="A71" t="s">
        <v>857</v>
      </c>
      <c r="B71" t="s">
        <v>39</v>
      </c>
      <c r="C71" t="str" cm="1">
        <f t="array" ref="C71">_xlfn.SWITCH(Tabla42[[#This Row],[SID 12R]],"UDGUV","UDGUV","OMSUK","ROTGI","ENEBA","NOSUG","NUDAL","NUDAL","TAKUX","CZM","HECAT","CZM","CZM","CZM","")</f>
        <v>NUDAL</v>
      </c>
      <c r="D71" t="str" cm="1">
        <f t="array" ref="D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1" t="s">
        <v>842</v>
      </c>
    </row>
    <row r="72" spans="1:5" x14ac:dyDescent="0.2">
      <c r="A72" t="s">
        <v>858</v>
      </c>
      <c r="B72" t="s">
        <v>933</v>
      </c>
      <c r="C72" t="str" cm="1">
        <f t="array" ref="C72">_xlfn.SWITCH(Tabla42[[#This Row],[SID 12R]],"UDGUV","UDGUV","OMSUK","ROTGI","ENEBA","NOSUG","NUDAL","NUDAL","TAKUX","CZM","HECAT","CZM","CZM","CZM","")</f>
        <v>NOSUG</v>
      </c>
      <c r="D72" t="str" cm="1">
        <f t="array" ref="D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2" t="s">
        <v>840</v>
      </c>
    </row>
    <row r="73" spans="1:5" x14ac:dyDescent="0.2">
      <c r="A73" t="s">
        <v>859</v>
      </c>
      <c r="B73" t="s">
        <v>111</v>
      </c>
      <c r="C73" t="str" cm="1">
        <f t="array" ref="C73">_xlfn.SWITCH(Tabla42[[#This Row],[SID 12R]],"UDGUV","UDGUV","OMSUK","ROTGI","ENEBA","NOSUG","NUDAL","NUDAL","TAKUX","CZM","HECAT","CZM","CZM","CZM","")</f>
        <v>CZM</v>
      </c>
      <c r="D73" t="str" cm="1">
        <f t="array" ref="D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3" t="s">
        <v>844</v>
      </c>
    </row>
    <row r="74" spans="1:5" x14ac:dyDescent="0.2">
      <c r="A74" t="s">
        <v>359</v>
      </c>
      <c r="B74" t="s">
        <v>932</v>
      </c>
      <c r="C74" t="str" cm="1">
        <f t="array" ref="C74">_xlfn.SWITCH(Tabla42[[#This Row],[SID 12R]],"UDGUV","UDGUV","OMSUK","ROTGI","ENEBA","NOSUG","NUDAL","NUDAL","TAKUX","CZM","HECAT","CZM","CZM","CZM","")</f>
        <v>ROTGI</v>
      </c>
      <c r="D74" t="str" cm="1">
        <f t="array" ref="D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4" t="s">
        <v>842</v>
      </c>
    </row>
    <row r="75" spans="1:5" x14ac:dyDescent="0.2">
      <c r="A75" t="s">
        <v>860</v>
      </c>
      <c r="B75" t="s">
        <v>932</v>
      </c>
      <c r="C75" t="str" cm="1">
        <f t="array" ref="C75">_xlfn.SWITCH(Tabla42[[#This Row],[SID 12R]],"UDGUV","UDGUV","OMSUK","ROTGI","ENEBA","NOSUG","NUDAL","NUDAL","TAKUX","CZM","HECAT","CZM","CZM","CZM","")</f>
        <v>ROTGI</v>
      </c>
      <c r="D75" t="str" cm="1">
        <f t="array" ref="D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5" t="s">
        <v>840</v>
      </c>
    </row>
    <row r="76" spans="1:5" x14ac:dyDescent="0.2">
      <c r="A76" t="s">
        <v>643</v>
      </c>
      <c r="B76" t="s">
        <v>937</v>
      </c>
      <c r="C76" t="str" cm="1">
        <f t="array" ref="C76">_xlfn.SWITCH(Tabla42[[#This Row],[SID 12R]],"UDGUV","UDGUV","OMSUK","ROTGI","ENEBA","NOSUG","NUDAL","NUDAL","TAKUX","CZM","HECAT","CZM","CZM","CZM","")</f>
        <v>CZM</v>
      </c>
      <c r="D76" t="str" cm="1">
        <f t="array" ref="D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6" t="s">
        <v>844</v>
      </c>
    </row>
    <row r="77" spans="1:5" x14ac:dyDescent="0.2">
      <c r="A77" t="s">
        <v>861</v>
      </c>
      <c r="B77" t="s">
        <v>39</v>
      </c>
      <c r="C77" t="str" cm="1">
        <f t="array" ref="C77">_xlfn.SWITCH(Tabla42[[#This Row],[SID 12R]],"UDGUV","UDGUV","OMSUK","ROTGI","ENEBA","NOSUG","NUDAL","NUDAL","TAKUX","CZM","HECAT","CZM","CZM","CZM","")</f>
        <v>NUDAL</v>
      </c>
      <c r="D77" t="str" cm="1">
        <f t="array" ref="D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77" t="s">
        <v>842</v>
      </c>
    </row>
    <row r="78" spans="1:5" x14ac:dyDescent="0.2">
      <c r="A78" t="s">
        <v>862</v>
      </c>
      <c r="B78" t="s">
        <v>937</v>
      </c>
      <c r="C78" t="str" cm="1">
        <f t="array" ref="C78">_xlfn.SWITCH(Tabla42[[#This Row],[SID 12R]],"UDGUV","UDGUV","OMSUK","ROTGI","ENEBA","NOSUG","NUDAL","NUDAL","TAKUX","CZM","HECAT","CZM","CZM","CZM","")</f>
        <v>CZM</v>
      </c>
      <c r="D78" t="str" cm="1">
        <f t="array" ref="D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78" t="s">
        <v>844</v>
      </c>
    </row>
    <row r="79" spans="1:5" x14ac:dyDescent="0.2">
      <c r="A79" t="s">
        <v>438</v>
      </c>
      <c r="B79" t="s">
        <v>931</v>
      </c>
      <c r="C79" t="str" cm="1">
        <f t="array" ref="C79">_xlfn.SWITCH(Tabla42[[#This Row],[SID 12R]],"UDGUV","UDGUV","OMSUK","ROTGI","ENEBA","NOSUG","NUDAL","NUDAL","TAKUX","CZM","HECAT","CZM","CZM","CZM","")</f>
        <v>UDGUV</v>
      </c>
      <c r="D79" t="str" cm="1">
        <f t="array" ref="D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79" t="s">
        <v>838</v>
      </c>
    </row>
    <row r="80" spans="1:5" x14ac:dyDescent="0.2">
      <c r="A80" t="s">
        <v>200</v>
      </c>
      <c r="B80" t="s">
        <v>932</v>
      </c>
      <c r="C80" t="str" cm="1">
        <f t="array" ref="C80">_xlfn.SWITCH(Tabla42[[#This Row],[SID 12R]],"UDGUV","UDGUV","OMSUK","ROTGI","ENEBA","NOSUG","NUDAL","NUDAL","TAKUX","CZM","HECAT","CZM","CZM","CZM","")</f>
        <v>ROTGI</v>
      </c>
      <c r="D80" t="str" cm="1">
        <f t="array" ref="D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0" t="s">
        <v>840</v>
      </c>
    </row>
    <row r="81" spans="1:5" x14ac:dyDescent="0.2">
      <c r="A81" t="s">
        <v>179</v>
      </c>
      <c r="B81" t="s">
        <v>931</v>
      </c>
      <c r="C81" t="str" cm="1">
        <f t="array" ref="C81">_xlfn.SWITCH(Tabla42[[#This Row],[SID 12R]],"UDGUV","UDGUV","OMSUK","ROTGI","ENEBA","NOSUG","NUDAL","NUDAL","TAKUX","CZM","HECAT","CZM","CZM","CZM","")</f>
        <v>UDGUV</v>
      </c>
      <c r="D81" t="str" cm="1">
        <f t="array" ref="D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81" t="s">
        <v>851</v>
      </c>
    </row>
    <row r="82" spans="1:5" x14ac:dyDescent="0.2">
      <c r="A82" t="s">
        <v>297</v>
      </c>
      <c r="B82" t="s">
        <v>39</v>
      </c>
      <c r="C82" t="str" cm="1">
        <f t="array" ref="C82">_xlfn.SWITCH(Tabla42[[#This Row],[SID 12R]],"UDGUV","UDGUV","OMSUK","ROTGI","ENEBA","NOSUG","NUDAL","NUDAL","TAKUX","CZM","HECAT","CZM","CZM","CZM","")</f>
        <v>NUDAL</v>
      </c>
      <c r="D82" t="str" cm="1">
        <f t="array" ref="D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2" t="s">
        <v>842</v>
      </c>
    </row>
    <row r="83" spans="1:5" x14ac:dyDescent="0.2">
      <c r="A83" t="s">
        <v>406</v>
      </c>
      <c r="B83" t="s">
        <v>39</v>
      </c>
      <c r="C83" t="str" cm="1">
        <f t="array" ref="C83">_xlfn.SWITCH(Tabla42[[#This Row],[SID 12R]],"UDGUV","UDGUV","OMSUK","ROTGI","ENEBA","NOSUG","NUDAL","NUDAL","TAKUX","CZM","HECAT","CZM","CZM","CZM","")</f>
        <v>NUDAL</v>
      </c>
      <c r="D83" t="str" cm="1">
        <f t="array" ref="D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3" t="s">
        <v>842</v>
      </c>
    </row>
    <row r="84" spans="1:5" x14ac:dyDescent="0.2">
      <c r="A84" t="s">
        <v>863</v>
      </c>
      <c r="B84" t="s">
        <v>932</v>
      </c>
      <c r="C84" t="str" cm="1">
        <f t="array" ref="C84">_xlfn.SWITCH(Tabla42[[#This Row],[SID 12R]],"UDGUV","UDGUV","OMSUK","ROTGI","ENEBA","NOSUG","NUDAL","NUDAL","TAKUX","CZM","HECAT","CZM","CZM","CZM","")</f>
        <v>ROTGI</v>
      </c>
      <c r="D84" t="str" cm="1">
        <f t="array" ref="D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4" t="s">
        <v>840</v>
      </c>
    </row>
    <row r="85" spans="1:5" x14ac:dyDescent="0.2">
      <c r="A85" t="s">
        <v>864</v>
      </c>
      <c r="B85" t="s">
        <v>932</v>
      </c>
      <c r="C85" t="str" cm="1">
        <f t="array" ref="C85">_xlfn.SWITCH(Tabla42[[#This Row],[SID 12R]],"UDGUV","UDGUV","OMSUK","ROTGI","ENEBA","NOSUG","NUDAL","NUDAL","TAKUX","CZM","HECAT","CZM","CZM","CZM","")</f>
        <v>ROTGI</v>
      </c>
      <c r="D85" t="str" cm="1">
        <f t="array" ref="D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5" t="s">
        <v>840</v>
      </c>
    </row>
    <row r="86" spans="1:5" x14ac:dyDescent="0.2">
      <c r="A86" t="s">
        <v>339</v>
      </c>
      <c r="B86" t="s">
        <v>39</v>
      </c>
      <c r="C86" t="str" cm="1">
        <f t="array" ref="C86">_xlfn.SWITCH(Tabla42[[#This Row],[SID 12R]],"UDGUV","UDGUV","OMSUK","ROTGI","ENEBA","NOSUG","NUDAL","NUDAL","TAKUX","CZM","HECAT","CZM","CZM","CZM","")</f>
        <v>NUDAL</v>
      </c>
      <c r="D86" t="str" cm="1">
        <f t="array" ref="D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6" t="s">
        <v>842</v>
      </c>
    </row>
    <row r="87" spans="1:5" x14ac:dyDescent="0.2">
      <c r="A87" t="s">
        <v>865</v>
      </c>
      <c r="B87" t="s">
        <v>932</v>
      </c>
      <c r="C87" t="str" cm="1">
        <f t="array" ref="C87">_xlfn.SWITCH(Tabla42[[#This Row],[SID 12R]],"UDGUV","UDGUV","OMSUK","ROTGI","ENEBA","NOSUG","NUDAL","NUDAL","TAKUX","CZM","HECAT","CZM","CZM","CZM","")</f>
        <v>ROTGI</v>
      </c>
      <c r="D87" t="str" cm="1">
        <f t="array" ref="D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7" t="s">
        <v>840</v>
      </c>
    </row>
    <row r="88" spans="1:5" x14ac:dyDescent="0.2">
      <c r="A88" t="s">
        <v>303</v>
      </c>
      <c r="B88" t="s">
        <v>932</v>
      </c>
      <c r="C88" t="str" cm="1">
        <f t="array" ref="C88">_xlfn.SWITCH(Tabla42[[#This Row],[SID 12R]],"UDGUV","UDGUV","OMSUK","ROTGI","ENEBA","NOSUG","NUDAL","NUDAL","TAKUX","CZM","HECAT","CZM","CZM","CZM","")</f>
        <v>ROTGI</v>
      </c>
      <c r="D88" t="str" cm="1">
        <f t="array" ref="D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8" t="s">
        <v>840</v>
      </c>
    </row>
    <row r="89" spans="1:5" x14ac:dyDescent="0.2">
      <c r="A89" t="s">
        <v>866</v>
      </c>
      <c r="B89" t="s">
        <v>39</v>
      </c>
      <c r="C89" t="str" cm="1">
        <f t="array" ref="C89">_xlfn.SWITCH(Tabla42[[#This Row],[SID 12R]],"UDGUV","UDGUV","OMSUK","ROTGI","ENEBA","NOSUG","NUDAL","NUDAL","TAKUX","CZM","HECAT","CZM","CZM","CZM","")</f>
        <v>NUDAL</v>
      </c>
      <c r="D89" t="str" cm="1">
        <f t="array" ref="D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89" t="s">
        <v>842</v>
      </c>
    </row>
    <row r="90" spans="1:5" x14ac:dyDescent="0.2">
      <c r="A90" t="s">
        <v>239</v>
      </c>
      <c r="B90" t="s">
        <v>931</v>
      </c>
      <c r="C90" t="str" cm="1">
        <f t="array" ref="C90">_xlfn.SWITCH(Tabla42[[#This Row],[SID 12R]],"UDGUV","UDGUV","OMSUK","ROTGI","ENEBA","NOSUG","NUDAL","NUDAL","TAKUX","CZM","HECAT","CZM","CZM","CZM","")</f>
        <v>UDGUV</v>
      </c>
      <c r="D90" t="str" cm="1">
        <f t="array" ref="D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0" t="s">
        <v>841</v>
      </c>
    </row>
    <row r="91" spans="1:5" x14ac:dyDescent="0.2">
      <c r="A91" t="s">
        <v>113</v>
      </c>
      <c r="B91" t="s">
        <v>931</v>
      </c>
      <c r="C91" t="str" cm="1">
        <f t="array" ref="C91">_xlfn.SWITCH(Tabla42[[#This Row],[SID 12R]],"UDGUV","UDGUV","OMSUK","ROTGI","ENEBA","NOSUG","NUDAL","NUDAL","TAKUX","CZM","HECAT","CZM","CZM","CZM","")</f>
        <v>UDGUV</v>
      </c>
      <c r="D91" t="str" cm="1">
        <f t="array" ref="D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1" t="s">
        <v>841</v>
      </c>
    </row>
    <row r="92" spans="1:5" x14ac:dyDescent="0.2">
      <c r="A92" t="s">
        <v>265</v>
      </c>
      <c r="B92" t="s">
        <v>931</v>
      </c>
      <c r="C92" t="str" cm="1">
        <f t="array" ref="C92">_xlfn.SWITCH(Tabla42[[#This Row],[SID 12R]],"UDGUV","UDGUV","OMSUK","ROTGI","ENEBA","NOSUG","NUDAL","NUDAL","TAKUX","CZM","HECAT","CZM","CZM","CZM","")</f>
        <v>UDGUV</v>
      </c>
      <c r="D92" t="str" cm="1">
        <f t="array" ref="D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2" t="s">
        <v>838</v>
      </c>
    </row>
    <row r="93" spans="1:5" x14ac:dyDescent="0.2">
      <c r="A93" t="s">
        <v>501</v>
      </c>
      <c r="B93" t="s">
        <v>931</v>
      </c>
      <c r="C93" t="str" cm="1">
        <f t="array" ref="C93">_xlfn.SWITCH(Tabla42[[#This Row],[SID 12R]],"UDGUV","UDGUV","OMSUK","ROTGI","ENEBA","NOSUG","NUDAL","NUDAL","TAKUX","CZM","HECAT","CZM","CZM","CZM","")</f>
        <v>UDGUV</v>
      </c>
      <c r="D93" t="str" cm="1">
        <f t="array" ref="D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3" t="s">
        <v>841</v>
      </c>
    </row>
    <row r="94" spans="1:5" x14ac:dyDescent="0.2">
      <c r="A94" t="s">
        <v>73</v>
      </c>
      <c r="B94" t="s">
        <v>931</v>
      </c>
      <c r="C94" t="str" cm="1">
        <f t="array" ref="C94">_xlfn.SWITCH(Tabla42[[#This Row],[SID 12R]],"UDGUV","UDGUV","OMSUK","ROTGI","ENEBA","NOSUG","NUDAL","NUDAL","TAKUX","CZM","HECAT","CZM","CZM","CZM","")</f>
        <v>UDGUV</v>
      </c>
      <c r="D94" t="str" cm="1">
        <f t="array" ref="D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4" t="s">
        <v>851</v>
      </c>
    </row>
    <row r="95" spans="1:5" x14ac:dyDescent="0.2">
      <c r="A95" t="s">
        <v>867</v>
      </c>
      <c r="B95" t="s">
        <v>932</v>
      </c>
      <c r="C95" t="str" cm="1">
        <f t="array" ref="C95">_xlfn.SWITCH(Tabla42[[#This Row],[SID 12R]],"UDGUV","UDGUV","OMSUK","ROTGI","ENEBA","NOSUG","NUDAL","NUDAL","TAKUX","CZM","HECAT","CZM","CZM","CZM","")</f>
        <v>ROTGI</v>
      </c>
      <c r="D95" t="str" cm="1">
        <f t="array" ref="D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5" t="s">
        <v>840</v>
      </c>
    </row>
    <row r="96" spans="1:5" x14ac:dyDescent="0.2">
      <c r="A96" t="s">
        <v>166</v>
      </c>
      <c r="B96" t="s">
        <v>931</v>
      </c>
      <c r="C96" t="str" cm="1">
        <f t="array" ref="C96">_xlfn.SWITCH(Tabla42[[#This Row],[SID 12R]],"UDGUV","UDGUV","OMSUK","ROTGI","ENEBA","NOSUG","NUDAL","NUDAL","TAKUX","CZM","HECAT","CZM","CZM","CZM","")</f>
        <v>UDGUV</v>
      </c>
      <c r="D96" t="str" cm="1">
        <f t="array" ref="D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6" t="s">
        <v>838</v>
      </c>
    </row>
    <row r="97" spans="1:5" x14ac:dyDescent="0.2">
      <c r="A97" t="s">
        <v>160</v>
      </c>
      <c r="B97" t="s">
        <v>937</v>
      </c>
      <c r="C97" t="str" cm="1">
        <f t="array" ref="C97">_xlfn.SWITCH(Tabla42[[#This Row],[SID 12R]],"UDGUV","UDGUV","OMSUK","ROTGI","ENEBA","NOSUG","NUDAL","NUDAL","TAKUX","CZM","HECAT","CZM","CZM","CZM","")</f>
        <v>CZM</v>
      </c>
      <c r="D97" t="str" cm="1">
        <f t="array" ref="D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97" t="s">
        <v>844</v>
      </c>
    </row>
    <row r="98" spans="1:5" x14ac:dyDescent="0.2">
      <c r="A98" t="s">
        <v>868</v>
      </c>
      <c r="B98" t="s">
        <v>932</v>
      </c>
      <c r="C98" t="str" cm="1">
        <f t="array" ref="C98">_xlfn.SWITCH(Tabla42[[#This Row],[SID 12R]],"UDGUV","UDGUV","OMSUK","ROTGI","ENEBA","NOSUG","NUDAL","NUDAL","TAKUX","CZM","HECAT","CZM","CZM","CZM","")</f>
        <v>ROTGI</v>
      </c>
      <c r="D98" t="str" cm="1">
        <f t="array" ref="D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98" t="s">
        <v>840</v>
      </c>
    </row>
    <row r="99" spans="1:5" x14ac:dyDescent="0.2">
      <c r="A99" t="s">
        <v>400</v>
      </c>
      <c r="B99" t="s">
        <v>931</v>
      </c>
      <c r="C99" t="str" cm="1">
        <f t="array" ref="C99">_xlfn.SWITCH(Tabla42[[#This Row],[SID 12R]],"UDGUV","UDGUV","OMSUK","ROTGI","ENEBA","NOSUG","NUDAL","NUDAL","TAKUX","CZM","HECAT","CZM","CZM","CZM","")</f>
        <v>UDGUV</v>
      </c>
      <c r="D99" t="str" cm="1">
        <f t="array" ref="D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99" t="s">
        <v>838</v>
      </c>
    </row>
    <row r="100" spans="1:5" x14ac:dyDescent="0.2">
      <c r="A100" t="s">
        <v>322</v>
      </c>
      <c r="B100" t="s">
        <v>931</v>
      </c>
      <c r="C100" t="str" cm="1">
        <f t="array" ref="C100">_xlfn.SWITCH(Tabla42[[#This Row],[SID 12R]],"UDGUV","UDGUV","OMSUK","ROTGI","ENEBA","NOSUG","NUDAL","NUDAL","TAKUX","CZM","HECAT","CZM","CZM","CZM","")</f>
        <v>UDGUV</v>
      </c>
      <c r="D100" t="str" cm="1">
        <f t="array" ref="D1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00" t="s">
        <v>838</v>
      </c>
    </row>
    <row r="101" spans="1:5" x14ac:dyDescent="0.2">
      <c r="A101" t="s">
        <v>616</v>
      </c>
      <c r="B101" t="s">
        <v>39</v>
      </c>
      <c r="C101" t="str" cm="1">
        <f t="array" ref="C101">_xlfn.SWITCH(Tabla42[[#This Row],[SID 12R]],"UDGUV","UDGUV","OMSUK","ROTGI","ENEBA","NOSUG","NUDAL","NUDAL","TAKUX","CZM","HECAT","CZM","CZM","CZM","")</f>
        <v>NUDAL</v>
      </c>
      <c r="D101" t="str" cm="1">
        <f t="array" ref="D1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1" t="s">
        <v>842</v>
      </c>
    </row>
    <row r="102" spans="1:5" x14ac:dyDescent="0.2">
      <c r="A102" t="s">
        <v>618</v>
      </c>
      <c r="B102" t="s">
        <v>39</v>
      </c>
      <c r="C102" t="str" cm="1">
        <f t="array" ref="C102">_xlfn.SWITCH(Tabla42[[#This Row],[SID 12R]],"UDGUV","UDGUV","OMSUK","ROTGI","ENEBA","NOSUG","NUDAL","NUDAL","TAKUX","CZM","HECAT","CZM","CZM","CZM","")</f>
        <v>NUDAL</v>
      </c>
      <c r="D102" t="str" cm="1">
        <f t="array" ref="D1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2" t="s">
        <v>842</v>
      </c>
    </row>
    <row r="103" spans="1:5" x14ac:dyDescent="0.2">
      <c r="A103" t="s">
        <v>869</v>
      </c>
      <c r="B103" t="s">
        <v>933</v>
      </c>
      <c r="C103" t="str" cm="1">
        <f t="array" ref="C103">_xlfn.SWITCH(Tabla42[[#This Row],[SID 12R]],"UDGUV","UDGUV","OMSUK","ROTGI","ENEBA","NOSUG","NUDAL","NUDAL","TAKUX","CZM","HECAT","CZM","CZM","CZM","")</f>
        <v>NOSUG</v>
      </c>
      <c r="D103" t="str" cm="1">
        <f t="array" ref="D1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3" t="s">
        <v>840</v>
      </c>
    </row>
    <row r="104" spans="1:5" x14ac:dyDescent="0.2">
      <c r="A104" t="s">
        <v>341</v>
      </c>
      <c r="B104" t="s">
        <v>39</v>
      </c>
      <c r="C104" t="str" cm="1">
        <f t="array" ref="C104">_xlfn.SWITCH(Tabla42[[#This Row],[SID 12R]],"UDGUV","UDGUV","OMSUK","ROTGI","ENEBA","NOSUG","NUDAL","NUDAL","TAKUX","CZM","HECAT","CZM","CZM","CZM","")</f>
        <v>NUDAL</v>
      </c>
      <c r="D104" t="str" cm="1">
        <f t="array" ref="D1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4" t="s">
        <v>842</v>
      </c>
    </row>
    <row r="105" spans="1:5" x14ac:dyDescent="0.2">
      <c r="A105" t="s">
        <v>870</v>
      </c>
      <c r="B105" t="s">
        <v>932</v>
      </c>
      <c r="C105" t="str" cm="1">
        <f t="array" ref="C105">_xlfn.SWITCH(Tabla42[[#This Row],[SID 12R]],"UDGUV","UDGUV","OMSUK","ROTGI","ENEBA","NOSUG","NUDAL","NUDAL","TAKUX","CZM","HECAT","CZM","CZM","CZM","")</f>
        <v>ROTGI</v>
      </c>
      <c r="D105" t="str" cm="1">
        <f t="array" ref="D1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5" t="s">
        <v>840</v>
      </c>
    </row>
    <row r="106" spans="1:5" x14ac:dyDescent="0.2">
      <c r="A106" t="s">
        <v>871</v>
      </c>
      <c r="B106" t="s">
        <v>933</v>
      </c>
      <c r="C106" t="str" cm="1">
        <f t="array" ref="C106">_xlfn.SWITCH(Tabla42[[#This Row],[SID 12R]],"UDGUV","UDGUV","OMSUK","ROTGI","ENEBA","NOSUG","NUDAL","NUDAL","TAKUX","CZM","HECAT","CZM","CZM","CZM","")</f>
        <v>NOSUG</v>
      </c>
      <c r="D106" t="str" cm="1">
        <f t="array" ref="D1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6" t="s">
        <v>840</v>
      </c>
    </row>
    <row r="107" spans="1:5" x14ac:dyDescent="0.2">
      <c r="A107" t="s">
        <v>814</v>
      </c>
      <c r="B107" t="s">
        <v>933</v>
      </c>
      <c r="C107" t="str" cm="1">
        <f t="array" ref="C107">_xlfn.SWITCH(Tabla42[[#This Row],[SID 12R]],"UDGUV","UDGUV","OMSUK","ROTGI","ENEBA","NOSUG","NUDAL","NUDAL","TAKUX","CZM","HECAT","CZM","CZM","CZM","")</f>
        <v>NOSUG</v>
      </c>
      <c r="D107" t="str" cm="1">
        <f t="array" ref="D1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7" t="s">
        <v>840</v>
      </c>
    </row>
    <row r="108" spans="1:5" x14ac:dyDescent="0.2">
      <c r="A108" t="s">
        <v>872</v>
      </c>
      <c r="B108" t="s">
        <v>39</v>
      </c>
      <c r="C108" t="str" cm="1">
        <f t="array" ref="C108">_xlfn.SWITCH(Tabla42[[#This Row],[SID 12R]],"UDGUV","UDGUV","OMSUK","ROTGI","ENEBA","NOSUG","NUDAL","NUDAL","TAKUX","CZM","HECAT","CZM","CZM","CZM","")</f>
        <v>NUDAL</v>
      </c>
      <c r="D108" t="str" cm="1">
        <f t="array" ref="D1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8" t="s">
        <v>842</v>
      </c>
    </row>
    <row r="109" spans="1:5" x14ac:dyDescent="0.2">
      <c r="A109" t="s">
        <v>873</v>
      </c>
      <c r="B109" t="s">
        <v>933</v>
      </c>
      <c r="C109" t="str" cm="1">
        <f t="array" ref="C109">_xlfn.SWITCH(Tabla42[[#This Row],[SID 12R]],"UDGUV","UDGUV","OMSUK","ROTGI","ENEBA","NOSUG","NUDAL","NUDAL","TAKUX","CZM","HECAT","CZM","CZM","CZM","")</f>
        <v>NOSUG</v>
      </c>
      <c r="D109" t="str" cm="1">
        <f t="array" ref="D1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09" t="s">
        <v>840</v>
      </c>
    </row>
    <row r="110" spans="1:5" x14ac:dyDescent="0.2">
      <c r="A110" t="s">
        <v>874</v>
      </c>
      <c r="B110" t="s">
        <v>933</v>
      </c>
      <c r="C110" t="str" cm="1">
        <f t="array" ref="C110">_xlfn.SWITCH(Tabla42[[#This Row],[SID 12R]],"UDGUV","UDGUV","OMSUK","ROTGI","ENEBA","NOSUG","NUDAL","NUDAL","TAKUX","CZM","HECAT","CZM","CZM","CZM","")</f>
        <v>NOSUG</v>
      </c>
      <c r="D110" t="str" cm="1">
        <f t="array" ref="D1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0" t="s">
        <v>840</v>
      </c>
    </row>
    <row r="111" spans="1:5" x14ac:dyDescent="0.2">
      <c r="A111" t="s">
        <v>403</v>
      </c>
      <c r="B111" t="s">
        <v>39</v>
      </c>
      <c r="C111" t="str" cm="1">
        <f t="array" ref="C111">_xlfn.SWITCH(Tabla42[[#This Row],[SID 12R]],"UDGUV","UDGUV","OMSUK","ROTGI","ENEBA","NOSUG","NUDAL","NUDAL","TAKUX","CZM","HECAT","CZM","CZM","CZM","")</f>
        <v>NUDAL</v>
      </c>
      <c r="D111" t="str" cm="1">
        <f t="array" ref="D1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1" t="s">
        <v>842</v>
      </c>
    </row>
    <row r="112" spans="1:5" x14ac:dyDescent="0.2">
      <c r="A112" t="s">
        <v>742</v>
      </c>
      <c r="B112" t="s">
        <v>931</v>
      </c>
      <c r="C112" t="str" cm="1">
        <f t="array" ref="C112">_xlfn.SWITCH(Tabla42[[#This Row],[SID 12R]],"UDGUV","UDGUV","OMSUK","ROTGI","ENEBA","NOSUG","NUDAL","NUDAL","TAKUX","CZM","HECAT","CZM","CZM","CZM","")</f>
        <v>UDGUV</v>
      </c>
      <c r="D112" t="str" cm="1">
        <f t="array" ref="D1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2" t="s">
        <v>841</v>
      </c>
    </row>
    <row r="113" spans="1:5" x14ac:dyDescent="0.2">
      <c r="A113" t="s">
        <v>875</v>
      </c>
      <c r="B113" t="s">
        <v>933</v>
      </c>
      <c r="C113" t="str" cm="1">
        <f t="array" ref="C113">_xlfn.SWITCH(Tabla42[[#This Row],[SID 12R]],"UDGUV","UDGUV","OMSUK","ROTGI","ENEBA","NOSUG","NUDAL","NUDAL","TAKUX","CZM","HECAT","CZM","CZM","CZM","")</f>
        <v>NOSUG</v>
      </c>
      <c r="D113" t="str" cm="1">
        <f t="array" ref="D1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3" t="s">
        <v>840</v>
      </c>
    </row>
    <row r="114" spans="1:5" x14ac:dyDescent="0.2">
      <c r="A114" t="s">
        <v>876</v>
      </c>
      <c r="B114" t="s">
        <v>933</v>
      </c>
      <c r="C114" t="str" cm="1">
        <f t="array" ref="C114">_xlfn.SWITCH(Tabla42[[#This Row],[SID 12R]],"UDGUV","UDGUV","OMSUK","ROTGI","ENEBA","NOSUG","NUDAL","NUDAL","TAKUX","CZM","HECAT","CZM","CZM","CZM","")</f>
        <v>NOSUG</v>
      </c>
      <c r="D114" t="str" cm="1">
        <f t="array" ref="D1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4" t="s">
        <v>840</v>
      </c>
    </row>
    <row r="115" spans="1:5" x14ac:dyDescent="0.2">
      <c r="A115" t="s">
        <v>436</v>
      </c>
      <c r="B115" t="s">
        <v>931</v>
      </c>
      <c r="C115" t="str" cm="1">
        <f t="array" ref="C115">_xlfn.SWITCH(Tabla42[[#This Row],[SID 12R]],"UDGUV","UDGUV","OMSUK","ROTGI","ENEBA","NOSUG","NUDAL","NUDAL","TAKUX","CZM","HECAT","CZM","CZM","CZM","")</f>
        <v>UDGUV</v>
      </c>
      <c r="D115" t="str" cm="1">
        <f t="array" ref="D1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15" t="s">
        <v>841</v>
      </c>
    </row>
    <row r="116" spans="1:5" x14ac:dyDescent="0.2">
      <c r="A116" t="s">
        <v>877</v>
      </c>
      <c r="B116" t="s">
        <v>39</v>
      </c>
      <c r="C116" t="str" cm="1">
        <f t="array" ref="C116">_xlfn.SWITCH(Tabla42[[#This Row],[SID 12R]],"UDGUV","UDGUV","OMSUK","ROTGI","ENEBA","NOSUG","NUDAL","NUDAL","TAKUX","CZM","HECAT","CZM","CZM","CZM","")</f>
        <v>NUDAL</v>
      </c>
      <c r="D116" t="str" cm="1">
        <f t="array" ref="D1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6" t="s">
        <v>842</v>
      </c>
    </row>
    <row r="117" spans="1:5" x14ac:dyDescent="0.2">
      <c r="A117" t="s">
        <v>878</v>
      </c>
      <c r="B117" t="s">
        <v>936</v>
      </c>
      <c r="C117" t="str" cm="1">
        <f t="array" ref="C117">_xlfn.SWITCH(Tabla42[[#This Row],[SID 12R]],"UDGUV","UDGUV","OMSUK","ROTGI","ENEBA","NOSUG","NUDAL","NUDAL","TAKUX","CZM","HECAT","CZM","CZM","CZM","")</f>
        <v>CZM</v>
      </c>
      <c r="D117" t="str" cm="1">
        <f t="array" ref="D1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17" t="s">
        <v>844</v>
      </c>
    </row>
    <row r="118" spans="1:5" x14ac:dyDescent="0.2">
      <c r="A118" t="s">
        <v>507</v>
      </c>
      <c r="B118" t="s">
        <v>39</v>
      </c>
      <c r="C118" t="str" cm="1">
        <f t="array" ref="C118">_xlfn.SWITCH(Tabla42[[#This Row],[SID 12R]],"UDGUV","UDGUV","OMSUK","ROTGI","ENEBA","NOSUG","NUDAL","NUDAL","TAKUX","CZM","HECAT","CZM","CZM","CZM","")</f>
        <v>NUDAL</v>
      </c>
      <c r="D118" t="str" cm="1">
        <f t="array" ref="D11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8" t="s">
        <v>842</v>
      </c>
    </row>
    <row r="119" spans="1:5" x14ac:dyDescent="0.2">
      <c r="A119" t="s">
        <v>546</v>
      </c>
      <c r="B119" t="s">
        <v>39</v>
      </c>
      <c r="C119" t="str" cm="1">
        <f t="array" ref="C119">_xlfn.SWITCH(Tabla42[[#This Row],[SID 12R]],"UDGUV","UDGUV","OMSUK","ROTGI","ENEBA","NOSUG","NUDAL","NUDAL","TAKUX","CZM","HECAT","CZM","CZM","CZM","")</f>
        <v>NUDAL</v>
      </c>
      <c r="D119" t="str" cm="1">
        <f t="array" ref="D11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19" t="s">
        <v>842</v>
      </c>
    </row>
    <row r="120" spans="1:5" x14ac:dyDescent="0.2">
      <c r="A120" t="s">
        <v>209</v>
      </c>
      <c r="B120" t="s">
        <v>933</v>
      </c>
      <c r="C120" t="str" cm="1">
        <f t="array" ref="C120">_xlfn.SWITCH(Tabla42[[#This Row],[SID 12R]],"UDGUV","UDGUV","OMSUK","ROTGI","ENEBA","NOSUG","NUDAL","NUDAL","TAKUX","CZM","HECAT","CZM","CZM","CZM","")</f>
        <v>NOSUG</v>
      </c>
      <c r="D120" t="str" cm="1">
        <f t="array" ref="D12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0" t="s">
        <v>840</v>
      </c>
    </row>
    <row r="121" spans="1:5" x14ac:dyDescent="0.2">
      <c r="A121" t="s">
        <v>230</v>
      </c>
      <c r="B121" t="s">
        <v>937</v>
      </c>
      <c r="C121" t="str" cm="1">
        <f t="array" ref="C121">_xlfn.SWITCH(Tabla42[[#This Row],[SID 12R]],"UDGUV","UDGUV","OMSUK","ROTGI","ENEBA","NOSUG","NUDAL","NUDAL","TAKUX","CZM","HECAT","CZM","CZM","CZM","")</f>
        <v>CZM</v>
      </c>
      <c r="D121" t="str" cm="1">
        <f t="array" ref="D12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1" t="s">
        <v>844</v>
      </c>
    </row>
    <row r="122" spans="1:5" x14ac:dyDescent="0.2">
      <c r="A122" t="s">
        <v>290</v>
      </c>
      <c r="B122" t="s">
        <v>937</v>
      </c>
      <c r="C122" t="str" cm="1">
        <f t="array" ref="C122">_xlfn.SWITCH(Tabla42[[#This Row],[SID 12R]],"UDGUV","UDGUV","OMSUK","ROTGI","ENEBA","NOSUG","NUDAL","NUDAL","TAKUX","CZM","HECAT","CZM","CZM","CZM","")</f>
        <v>CZM</v>
      </c>
      <c r="D122" t="str" cm="1">
        <f t="array" ref="D12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2" t="s">
        <v>844</v>
      </c>
    </row>
    <row r="123" spans="1:5" x14ac:dyDescent="0.2">
      <c r="A123" t="s">
        <v>353</v>
      </c>
      <c r="B123" t="s">
        <v>932</v>
      </c>
      <c r="C123" t="str" cm="1">
        <f t="array" ref="C123">_xlfn.SWITCH(Tabla42[[#This Row],[SID 12R]],"UDGUV","UDGUV","OMSUK","ROTGI","ENEBA","NOSUG","NUDAL","NUDAL","TAKUX","CZM","HECAT","CZM","CZM","CZM","")</f>
        <v>ROTGI</v>
      </c>
      <c r="D123" t="str" cm="1">
        <f t="array" ref="D12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3" t="s">
        <v>842</v>
      </c>
    </row>
    <row r="124" spans="1:5" x14ac:dyDescent="0.2">
      <c r="A124" t="s">
        <v>286</v>
      </c>
      <c r="B124" t="s">
        <v>937</v>
      </c>
      <c r="C124" t="str" cm="1">
        <f t="array" ref="C124">_xlfn.SWITCH(Tabla42[[#This Row],[SID 12R]],"UDGUV","UDGUV","OMSUK","ROTGI","ENEBA","NOSUG","NUDAL","NUDAL","TAKUX","CZM","HECAT","CZM","CZM","CZM","")</f>
        <v>CZM</v>
      </c>
      <c r="D124" t="str" cm="1">
        <f t="array" ref="D12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4" t="s">
        <v>844</v>
      </c>
    </row>
    <row r="125" spans="1:5" x14ac:dyDescent="0.2">
      <c r="A125" t="s">
        <v>879</v>
      </c>
      <c r="B125" t="s">
        <v>936</v>
      </c>
      <c r="C125" t="str" cm="1">
        <f t="array" ref="C125">_xlfn.SWITCH(Tabla42[[#This Row],[SID 12R]],"UDGUV","UDGUV","OMSUK","ROTGI","ENEBA","NOSUG","NUDAL","NUDAL","TAKUX","CZM","HECAT","CZM","CZM","CZM","")</f>
        <v>CZM</v>
      </c>
      <c r="D125" t="str" cm="1">
        <f t="array" ref="D12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25" t="s">
        <v>844</v>
      </c>
    </row>
    <row r="126" spans="1:5" x14ac:dyDescent="0.2">
      <c r="A126" t="s">
        <v>87</v>
      </c>
      <c r="B126" t="s">
        <v>39</v>
      </c>
      <c r="C126" t="str" cm="1">
        <f t="array" ref="C126">_xlfn.SWITCH(Tabla42[[#This Row],[SID 12R]],"UDGUV","UDGUV","OMSUK","ROTGI","ENEBA","NOSUG","NUDAL","NUDAL","TAKUX","CZM","HECAT","CZM","CZM","CZM","")</f>
        <v>NUDAL</v>
      </c>
      <c r="D126" t="str" cm="1">
        <f t="array" ref="D12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26" t="s">
        <v>842</v>
      </c>
    </row>
    <row r="127" spans="1:5" x14ac:dyDescent="0.2">
      <c r="A127" t="s">
        <v>880</v>
      </c>
      <c r="B127" t="s">
        <v>931</v>
      </c>
      <c r="C127" t="str" cm="1">
        <f t="array" ref="C127">_xlfn.SWITCH(Tabla42[[#This Row],[SID 12R]],"UDGUV","UDGUV","OMSUK","ROTGI","ENEBA","NOSUG","NUDAL","NUDAL","TAKUX","CZM","HECAT","CZM","CZM","CZM","")</f>
        <v>UDGUV</v>
      </c>
      <c r="D127" t="str" cm="1">
        <f t="array" ref="D12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7" t="s">
        <v>841</v>
      </c>
    </row>
    <row r="128" spans="1:5" x14ac:dyDescent="0.2">
      <c r="A128" t="s">
        <v>881</v>
      </c>
      <c r="B128" t="s">
        <v>931</v>
      </c>
      <c r="C128" t="str" cm="1">
        <f t="array" ref="C128">_xlfn.SWITCH(Tabla42[[#This Row],[SID 12R]],"UDGUV","UDGUV","OMSUK","ROTGI","ENEBA","NOSUG","NUDAL","NUDAL","TAKUX","CZM","HECAT","CZM","CZM","CZM","")</f>
        <v>UDGUV</v>
      </c>
      <c r="D128" t="str" cm="1">
        <f t="array" ref="D12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8" t="s">
        <v>841</v>
      </c>
    </row>
    <row r="129" spans="1:5" x14ac:dyDescent="0.2">
      <c r="A129" t="s">
        <v>882</v>
      </c>
      <c r="B129" t="s">
        <v>931</v>
      </c>
      <c r="C129" t="str" cm="1">
        <f t="array" ref="C129">_xlfn.SWITCH(Tabla42[[#This Row],[SID 12R]],"UDGUV","UDGUV","OMSUK","ROTGI","ENEBA","NOSUG","NUDAL","NUDAL","TAKUX","CZM","HECAT","CZM","CZM","CZM","")</f>
        <v>UDGUV</v>
      </c>
      <c r="D129" t="str" cm="1">
        <f t="array" ref="D12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29" t="s">
        <v>838</v>
      </c>
    </row>
    <row r="130" spans="1:5" x14ac:dyDescent="0.2">
      <c r="A130" t="s">
        <v>883</v>
      </c>
      <c r="B130" t="s">
        <v>931</v>
      </c>
      <c r="C130" t="str" cm="1">
        <f t="array" ref="C130">_xlfn.SWITCH(Tabla42[[#This Row],[SID 12R]],"UDGUV","UDGUV","OMSUK","ROTGI","ENEBA","NOSUG","NUDAL","NUDAL","TAKUX","CZM","HECAT","CZM","CZM","CZM","")</f>
        <v>UDGUV</v>
      </c>
      <c r="D130" t="str" cm="1">
        <f t="array" ref="D13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0" t="s">
        <v>838</v>
      </c>
    </row>
    <row r="131" spans="1:5" x14ac:dyDescent="0.2">
      <c r="A131" t="s">
        <v>884</v>
      </c>
      <c r="B131" t="s">
        <v>931</v>
      </c>
      <c r="C131" t="str" cm="1">
        <f t="array" ref="C131">_xlfn.SWITCH(Tabla42[[#This Row],[SID 12R]],"UDGUV","UDGUV","OMSUK","ROTGI","ENEBA","NOSUG","NUDAL","NUDAL","TAKUX","CZM","HECAT","CZM","CZM","CZM","")</f>
        <v>UDGUV</v>
      </c>
      <c r="D131" t="str" cm="1">
        <f t="array" ref="D13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1" t="s">
        <v>841</v>
      </c>
    </row>
    <row r="132" spans="1:5" x14ac:dyDescent="0.2">
      <c r="A132" t="s">
        <v>885</v>
      </c>
      <c r="B132" t="s">
        <v>931</v>
      </c>
      <c r="C132" t="str" cm="1">
        <f t="array" ref="C132">_xlfn.SWITCH(Tabla42[[#This Row],[SID 12R]],"UDGUV","UDGUV","OMSUK","ROTGI","ENEBA","NOSUG","NUDAL","NUDAL","TAKUX","CZM","HECAT","CZM","CZM","CZM","")</f>
        <v>UDGUV</v>
      </c>
      <c r="D132" t="str" cm="1">
        <f t="array" ref="D13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2" t="s">
        <v>841</v>
      </c>
    </row>
    <row r="133" spans="1:5" x14ac:dyDescent="0.2">
      <c r="A133" t="s">
        <v>886</v>
      </c>
      <c r="B133" t="s">
        <v>931</v>
      </c>
      <c r="C133" t="str" cm="1">
        <f t="array" ref="C133">_xlfn.SWITCH(Tabla42[[#This Row],[SID 12R]],"UDGUV","UDGUV","OMSUK","ROTGI","ENEBA","NOSUG","NUDAL","NUDAL","TAKUX","CZM","HECAT","CZM","CZM","CZM","")</f>
        <v>UDGUV</v>
      </c>
      <c r="D133" t="str" cm="1">
        <f t="array" ref="D13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3" t="s">
        <v>841</v>
      </c>
    </row>
    <row r="134" spans="1:5" x14ac:dyDescent="0.2">
      <c r="A134" t="s">
        <v>887</v>
      </c>
      <c r="B134" t="s">
        <v>933</v>
      </c>
      <c r="C134" t="str" cm="1">
        <f t="array" ref="C134">_xlfn.SWITCH(Tabla42[[#This Row],[SID 12R]],"UDGUV","UDGUV","OMSUK","ROTGI","ENEBA","NOSUG","NUDAL","NUDAL","TAKUX","CZM","HECAT","CZM","CZM","CZM","")</f>
        <v>NOSUG</v>
      </c>
      <c r="D134" t="str" cm="1">
        <f t="array" ref="D13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4" t="s">
        <v>840</v>
      </c>
    </row>
    <row r="135" spans="1:5" x14ac:dyDescent="0.2">
      <c r="A135" t="s">
        <v>888</v>
      </c>
      <c r="B135" t="s">
        <v>933</v>
      </c>
      <c r="C135" t="str" cm="1">
        <f t="array" ref="C135">_xlfn.SWITCH(Tabla42[[#This Row],[SID 12R]],"UDGUV","UDGUV","OMSUK","ROTGI","ENEBA","NOSUG","NUDAL","NUDAL","TAKUX","CZM","HECAT","CZM","CZM","CZM","")</f>
        <v>NOSUG</v>
      </c>
      <c r="D135" t="str" cm="1">
        <f t="array" ref="D13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5" t="s">
        <v>840</v>
      </c>
    </row>
    <row r="136" spans="1:5" x14ac:dyDescent="0.2">
      <c r="A136" t="s">
        <v>889</v>
      </c>
      <c r="B136" t="s">
        <v>931</v>
      </c>
      <c r="C136" t="str" cm="1">
        <f t="array" ref="C136">_xlfn.SWITCH(Tabla42[[#This Row],[SID 12R]],"UDGUV","UDGUV","OMSUK","ROTGI","ENEBA","NOSUG","NUDAL","NUDAL","TAKUX","CZM","HECAT","CZM","CZM","CZM","")</f>
        <v>UDGUV</v>
      </c>
      <c r="D136" t="str" cm="1">
        <f t="array" ref="D13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6" t="s">
        <v>841</v>
      </c>
    </row>
    <row r="137" spans="1:5" x14ac:dyDescent="0.2">
      <c r="A137" t="s">
        <v>890</v>
      </c>
      <c r="B137" t="s">
        <v>931</v>
      </c>
      <c r="C137" t="str" cm="1">
        <f t="array" ref="C137">_xlfn.SWITCH(Tabla42[[#This Row],[SID 12R]],"UDGUV","UDGUV","OMSUK","ROTGI","ENEBA","NOSUG","NUDAL","NUDAL","TAKUX","CZM","HECAT","CZM","CZM","CZM","")</f>
        <v>UDGUV</v>
      </c>
      <c r="D137" t="str" cm="1">
        <f t="array" ref="D13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7" t="s">
        <v>841</v>
      </c>
    </row>
    <row r="138" spans="1:5" x14ac:dyDescent="0.2">
      <c r="A138" t="s">
        <v>891</v>
      </c>
      <c r="B138" t="s">
        <v>933</v>
      </c>
      <c r="C138" t="str" cm="1">
        <f t="array" ref="C138">_xlfn.SWITCH(Tabla42[[#This Row],[SID 12R]],"UDGUV","UDGUV","OMSUK","ROTGI","ENEBA","NOSUG","NUDAL","NUDAL","TAKUX","CZM","HECAT","CZM","CZM","CZM","")</f>
        <v>NOSUG</v>
      </c>
      <c r="D138" t="str" cm="1">
        <f t="array" ref="D13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38" t="s">
        <v>840</v>
      </c>
    </row>
    <row r="139" spans="1:5" x14ac:dyDescent="0.2">
      <c r="A139" t="s">
        <v>892</v>
      </c>
      <c r="B139" t="s">
        <v>931</v>
      </c>
      <c r="C139" t="str" cm="1">
        <f t="array" ref="C139">_xlfn.SWITCH(Tabla42[[#This Row],[SID 12R]],"UDGUV","UDGUV","OMSUK","ROTGI","ENEBA","NOSUG","NUDAL","NUDAL","TAKUX","CZM","HECAT","CZM","CZM","CZM","")</f>
        <v>UDGUV</v>
      </c>
      <c r="D139" t="str" cm="1">
        <f t="array" ref="D13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39" t="s">
        <v>841</v>
      </c>
    </row>
    <row r="140" spans="1:5" x14ac:dyDescent="0.2">
      <c r="A140" t="s">
        <v>893</v>
      </c>
      <c r="B140" t="s">
        <v>931</v>
      </c>
      <c r="C140" t="str" cm="1">
        <f t="array" ref="C140">_xlfn.SWITCH(Tabla42[[#This Row],[SID 12R]],"UDGUV","UDGUV","OMSUK","ROTGI","ENEBA","NOSUG","NUDAL","NUDAL","TAKUX","CZM","HECAT","CZM","CZM","CZM","")</f>
        <v>UDGUV</v>
      </c>
      <c r="D140" t="str" cm="1">
        <f t="array" ref="D14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0" t="s">
        <v>841</v>
      </c>
    </row>
    <row r="141" spans="1:5" x14ac:dyDescent="0.2">
      <c r="A141" t="s">
        <v>894</v>
      </c>
      <c r="B141" t="s">
        <v>933</v>
      </c>
      <c r="C141" t="str" cm="1">
        <f t="array" ref="C141">_xlfn.SWITCH(Tabla42[[#This Row],[SID 12R]],"UDGUV","UDGUV","OMSUK","ROTGI","ENEBA","NOSUG","NUDAL","NUDAL","TAKUX","CZM","HECAT","CZM","CZM","CZM","")</f>
        <v>NOSUG</v>
      </c>
      <c r="D141" t="str" cm="1">
        <f t="array" ref="D14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1" t="s">
        <v>840</v>
      </c>
    </row>
    <row r="142" spans="1:5" x14ac:dyDescent="0.2">
      <c r="A142" t="s">
        <v>895</v>
      </c>
      <c r="B142" t="s">
        <v>931</v>
      </c>
      <c r="C142" t="str" cm="1">
        <f t="array" ref="C142">_xlfn.SWITCH(Tabla42[[#This Row],[SID 12R]],"UDGUV","UDGUV","OMSUK","ROTGI","ENEBA","NOSUG","NUDAL","NUDAL","TAKUX","CZM","HECAT","CZM","CZM","CZM","")</f>
        <v>UDGUV</v>
      </c>
      <c r="D142" t="str" cm="1">
        <f t="array" ref="D14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2" t="s">
        <v>841</v>
      </c>
    </row>
    <row r="143" spans="1:5" x14ac:dyDescent="0.2">
      <c r="A143" t="s">
        <v>896</v>
      </c>
      <c r="B143" t="s">
        <v>931</v>
      </c>
      <c r="C143" t="str" cm="1">
        <f t="array" ref="C143">_xlfn.SWITCH(Tabla42[[#This Row],[SID 12R]],"UDGUV","UDGUV","OMSUK","ROTGI","ENEBA","NOSUG","NUDAL","NUDAL","TAKUX","CZM","HECAT","CZM","CZM","CZM","")</f>
        <v>UDGUV</v>
      </c>
      <c r="D143" t="str" cm="1">
        <f t="array" ref="D14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3" t="s">
        <v>838</v>
      </c>
    </row>
    <row r="144" spans="1:5" x14ac:dyDescent="0.2">
      <c r="A144" t="s">
        <v>897</v>
      </c>
      <c r="B144" t="s">
        <v>933</v>
      </c>
      <c r="C144" t="str" cm="1">
        <f t="array" ref="C144">_xlfn.SWITCH(Tabla42[[#This Row],[SID 12R]],"UDGUV","UDGUV","OMSUK","ROTGI","ENEBA","NOSUG","NUDAL","NUDAL","TAKUX","CZM","HECAT","CZM","CZM","CZM","")</f>
        <v>NOSUG</v>
      </c>
      <c r="D144" t="str" cm="1">
        <f t="array" ref="D14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4" t="s">
        <v>840</v>
      </c>
    </row>
    <row r="145" spans="1:5" x14ac:dyDescent="0.2">
      <c r="A145" t="s">
        <v>898</v>
      </c>
      <c r="B145" t="s">
        <v>932</v>
      </c>
      <c r="C145" t="str" cm="1">
        <f t="array" ref="C145">_xlfn.SWITCH(Tabla42[[#This Row],[SID 12R]],"UDGUV","UDGUV","OMSUK","ROTGI","ENEBA","NOSUG","NUDAL","NUDAL","TAKUX","CZM","HECAT","CZM","CZM","CZM","")</f>
        <v>ROTGI</v>
      </c>
      <c r="D145" t="str" cm="1">
        <f t="array" ref="D14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45" t="s">
        <v>840</v>
      </c>
    </row>
    <row r="146" spans="1:5" x14ac:dyDescent="0.2">
      <c r="A146" t="s">
        <v>899</v>
      </c>
      <c r="B146" t="s">
        <v>931</v>
      </c>
      <c r="C146" t="str" cm="1">
        <f t="array" ref="C146">_xlfn.SWITCH(Tabla42[[#This Row],[SID 12R]],"UDGUV","UDGUV","OMSUK","ROTGI","ENEBA","NOSUG","NUDAL","NUDAL","TAKUX","CZM","HECAT","CZM","CZM","CZM","")</f>
        <v>UDGUV</v>
      </c>
      <c r="D146" t="str" cm="1">
        <f t="array" ref="D14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6" t="s">
        <v>838</v>
      </c>
    </row>
    <row r="147" spans="1:5" x14ac:dyDescent="0.2">
      <c r="A147" t="s">
        <v>900</v>
      </c>
      <c r="B147" t="s">
        <v>931</v>
      </c>
      <c r="C147" t="str" cm="1">
        <f t="array" ref="C147">_xlfn.SWITCH(Tabla42[[#This Row],[SID 12R]],"UDGUV","UDGUV","OMSUK","ROTGI","ENEBA","NOSUG","NUDAL","NUDAL","TAKUX","CZM","HECAT","CZM","CZM","CZM","")</f>
        <v>UDGUV</v>
      </c>
      <c r="D147" t="str" cm="1">
        <f t="array" ref="D14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7" t="s">
        <v>838</v>
      </c>
    </row>
    <row r="148" spans="1:5" x14ac:dyDescent="0.2">
      <c r="A148" t="s">
        <v>901</v>
      </c>
      <c r="B148" t="s">
        <v>931</v>
      </c>
      <c r="C148" t="str" cm="1">
        <f t="array" ref="C148">_xlfn.SWITCH(Tabla42[[#This Row],[SID 12R]],"UDGUV","UDGUV","OMSUK","ROTGI","ENEBA","NOSUG","NUDAL","NUDAL","TAKUX","CZM","HECAT","CZM","CZM","CZM","")</f>
        <v>UDGUV</v>
      </c>
      <c r="D148" t="str" cm="1">
        <f t="array" ref="D14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48" t="s">
        <v>838</v>
      </c>
    </row>
    <row r="149" spans="1:5" x14ac:dyDescent="0.2">
      <c r="A149" t="s">
        <v>902</v>
      </c>
      <c r="B149" t="s">
        <v>936</v>
      </c>
      <c r="C149" t="str" cm="1">
        <f t="array" ref="C149">_xlfn.SWITCH(Tabla42[[#This Row],[SID 12R]],"UDGUV","UDGUV","OMSUK","ROTGI","ENEBA","NOSUG","NUDAL","NUDAL","TAKUX","CZM","HECAT","CZM","CZM","CZM","")</f>
        <v>CZM</v>
      </c>
      <c r="D149" t="str" cm="1">
        <f t="array" ref="D14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49" t="s">
        <v>844</v>
      </c>
    </row>
    <row r="150" spans="1:5" x14ac:dyDescent="0.2">
      <c r="A150" t="s">
        <v>903</v>
      </c>
      <c r="B150" t="s">
        <v>933</v>
      </c>
      <c r="C150" t="str" cm="1">
        <f t="array" ref="C150">_xlfn.SWITCH(Tabla42[[#This Row],[SID 12R]],"UDGUV","UDGUV","OMSUK","ROTGI","ENEBA","NOSUG","NUDAL","NUDAL","TAKUX","CZM","HECAT","CZM","CZM","CZM","")</f>
        <v>NOSUG</v>
      </c>
      <c r="D150" t="str" cm="1">
        <f t="array" ref="D15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0" t="s">
        <v>840</v>
      </c>
    </row>
    <row r="151" spans="1:5" x14ac:dyDescent="0.2">
      <c r="A151" t="s">
        <v>904</v>
      </c>
      <c r="B151" t="s">
        <v>933</v>
      </c>
      <c r="C151" t="str" cm="1">
        <f t="array" ref="C151">_xlfn.SWITCH(Tabla42[[#This Row],[SID 12R]],"UDGUV","UDGUV","OMSUK","ROTGI","ENEBA","NOSUG","NUDAL","NUDAL","TAKUX","CZM","HECAT","CZM","CZM","CZM","")</f>
        <v>NOSUG</v>
      </c>
      <c r="D151" t="str" cm="1">
        <f t="array" ref="D15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1" t="s">
        <v>840</v>
      </c>
    </row>
    <row r="152" spans="1:5" x14ac:dyDescent="0.2">
      <c r="A152" t="s">
        <v>905</v>
      </c>
      <c r="B152" t="s">
        <v>937</v>
      </c>
      <c r="C152" t="str" cm="1">
        <f t="array" ref="C152">_xlfn.SWITCH(Tabla42[[#This Row],[SID 12R]],"UDGUV","UDGUV","OMSUK","ROTGI","ENEBA","NOSUG","NUDAL","NUDAL","TAKUX","CZM","HECAT","CZM","CZM","CZM","")</f>
        <v>CZM</v>
      </c>
      <c r="D152" t="str" cm="1">
        <f t="array" ref="D15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2" t="s">
        <v>844</v>
      </c>
    </row>
    <row r="153" spans="1:5" x14ac:dyDescent="0.2">
      <c r="A153" t="s">
        <v>824</v>
      </c>
      <c r="B153" t="s">
        <v>931</v>
      </c>
      <c r="C153" t="str" cm="1">
        <f t="array" ref="C153">_xlfn.SWITCH(Tabla42[[#This Row],[SID 12R]],"UDGUV","UDGUV","OMSUK","ROTGI","ENEBA","NOSUG","NUDAL","NUDAL","TAKUX","CZM","HECAT","CZM","CZM","CZM","")</f>
        <v>UDGUV</v>
      </c>
      <c r="D153" t="str" cm="1">
        <f t="array" ref="D15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3" t="s">
        <v>838</v>
      </c>
    </row>
    <row r="154" spans="1:5" x14ac:dyDescent="0.2">
      <c r="A154" t="s">
        <v>154</v>
      </c>
      <c r="B154" t="s">
        <v>937</v>
      </c>
      <c r="C154" t="str" cm="1">
        <f t="array" ref="C154">_xlfn.SWITCH(Tabla42[[#This Row],[SID 12R]],"UDGUV","UDGUV","OMSUK","ROTGI","ENEBA","NOSUG","NUDAL","NUDAL","TAKUX","CZM","HECAT","CZM","CZM","CZM","")</f>
        <v>CZM</v>
      </c>
      <c r="D154" t="str" cm="1">
        <f t="array" ref="D15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4" t="s">
        <v>851</v>
      </c>
    </row>
    <row r="155" spans="1:5" x14ac:dyDescent="0.2">
      <c r="A155" t="s">
        <v>906</v>
      </c>
      <c r="B155" t="s">
        <v>937</v>
      </c>
      <c r="C155" t="str" cm="1">
        <f t="array" ref="C155">_xlfn.SWITCH(Tabla42[[#This Row],[SID 12R]],"UDGUV","UDGUV","OMSUK","ROTGI","ENEBA","NOSUG","NUDAL","NUDAL","TAKUX","CZM","HECAT","CZM","CZM","CZM","")</f>
        <v>CZM</v>
      </c>
      <c r="D155" t="str" cm="1">
        <f t="array" ref="D15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55" t="s">
        <v>844</v>
      </c>
    </row>
    <row r="156" spans="1:5" x14ac:dyDescent="0.2">
      <c r="A156" t="s">
        <v>907</v>
      </c>
      <c r="B156" t="s">
        <v>933</v>
      </c>
      <c r="C156" t="str" cm="1">
        <f t="array" ref="C156">_xlfn.SWITCH(Tabla42[[#This Row],[SID 12R]],"UDGUV","UDGUV","OMSUK","ROTGI","ENEBA","NOSUG","NUDAL","NUDAL","TAKUX","CZM","HECAT","CZM","CZM","CZM","")</f>
        <v>NOSUG</v>
      </c>
      <c r="D156" t="str" cm="1">
        <f t="array" ref="D15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6" t="s">
        <v>840</v>
      </c>
    </row>
    <row r="157" spans="1:5" x14ac:dyDescent="0.2">
      <c r="A157" t="s">
        <v>908</v>
      </c>
      <c r="B157" t="s">
        <v>931</v>
      </c>
      <c r="C157" t="str" cm="1">
        <f t="array" ref="C157">_xlfn.SWITCH(Tabla42[[#This Row],[SID 12R]],"UDGUV","UDGUV","OMSUK","ROTGI","ENEBA","NOSUG","NUDAL","NUDAL","TAKUX","CZM","HECAT","CZM","CZM","CZM","")</f>
        <v>UDGUV</v>
      </c>
      <c r="D157" t="str" cm="1">
        <f t="array" ref="D15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57" t="s">
        <v>838</v>
      </c>
    </row>
    <row r="158" spans="1:5" x14ac:dyDescent="0.2">
      <c r="A158" t="s">
        <v>909</v>
      </c>
      <c r="B158" t="s">
        <v>932</v>
      </c>
      <c r="C158" t="str" cm="1">
        <f t="array" ref="C158">_xlfn.SWITCH(Tabla42[[#This Row],[SID 12R]],"UDGUV","UDGUV","OMSUK","ROTGI","ENEBA","NOSUG","NUDAL","NUDAL","TAKUX","CZM","HECAT","CZM","CZM","CZM","")</f>
        <v>ROTGI</v>
      </c>
      <c r="D158" t="str" cm="1">
        <f t="array" ref="D15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8" t="s">
        <v>840</v>
      </c>
    </row>
    <row r="159" spans="1:5" x14ac:dyDescent="0.2">
      <c r="A159" t="s">
        <v>910</v>
      </c>
      <c r="B159" t="s">
        <v>933</v>
      </c>
      <c r="C159" t="str" cm="1">
        <f t="array" ref="C159">_xlfn.SWITCH(Tabla42[[#This Row],[SID 12R]],"UDGUV","UDGUV","OMSUK","ROTGI","ENEBA","NOSUG","NUDAL","NUDAL","TAKUX","CZM","HECAT","CZM","CZM","CZM","")</f>
        <v>NOSUG</v>
      </c>
      <c r="D159" t="str" cm="1">
        <f t="array" ref="D15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59" t="s">
        <v>840</v>
      </c>
    </row>
    <row r="160" spans="1:5" x14ac:dyDescent="0.2">
      <c r="A160" t="s">
        <v>911</v>
      </c>
      <c r="B160" t="s">
        <v>931</v>
      </c>
      <c r="C160" t="str" cm="1">
        <f t="array" ref="C160">_xlfn.SWITCH(Tabla42[[#This Row],[SID 12R]],"UDGUV","UDGUV","OMSUK","ROTGI","ENEBA","NOSUG","NUDAL","NUDAL","TAKUX","CZM","HECAT","CZM","CZM","CZM","")</f>
        <v>UDGUV</v>
      </c>
      <c r="D160" t="str" cm="1">
        <f t="array" ref="D16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0" t="s">
        <v>841</v>
      </c>
    </row>
    <row r="161" spans="1:5" x14ac:dyDescent="0.2">
      <c r="A161" t="s">
        <v>912</v>
      </c>
      <c r="B161" t="s">
        <v>932</v>
      </c>
      <c r="C161" t="str" cm="1">
        <f t="array" ref="C161">_xlfn.SWITCH(Tabla42[[#This Row],[SID 12R]],"UDGUV","UDGUV","OMSUK","ROTGI","ENEBA","NOSUG","NUDAL","NUDAL","TAKUX","CZM","HECAT","CZM","CZM","CZM","")</f>
        <v>ROTGI</v>
      </c>
      <c r="D161" t="str" cm="1">
        <f t="array" ref="D16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1" t="s">
        <v>840</v>
      </c>
    </row>
    <row r="162" spans="1:5" x14ac:dyDescent="0.2">
      <c r="A162" t="s">
        <v>536</v>
      </c>
      <c r="B162" t="s">
        <v>933</v>
      </c>
      <c r="C162" t="str" cm="1">
        <f t="array" ref="C162">_xlfn.SWITCH(Tabla42[[#This Row],[SID 12R]],"UDGUV","UDGUV","OMSUK","ROTGI","ENEBA","NOSUG","NUDAL","NUDAL","TAKUX","CZM","HECAT","CZM","CZM","CZM","")</f>
        <v>NOSUG</v>
      </c>
      <c r="D162" t="str" cm="1">
        <f t="array" ref="D16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2" t="s">
        <v>840</v>
      </c>
    </row>
    <row r="163" spans="1:5" x14ac:dyDescent="0.2">
      <c r="A163" t="s">
        <v>808</v>
      </c>
      <c r="B163" t="s">
        <v>932</v>
      </c>
      <c r="C163" t="str" cm="1">
        <f t="array" ref="C163">_xlfn.SWITCH(Tabla42[[#This Row],[SID 12R]],"UDGUV","UDGUV","OMSUK","ROTGI","ENEBA","NOSUG","NUDAL","NUDAL","TAKUX","CZM","HECAT","CZM","CZM","CZM","")</f>
        <v>ROTGI</v>
      </c>
      <c r="D163" t="str" cm="1">
        <f t="array" ref="D16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63" t="s">
        <v>840</v>
      </c>
    </row>
    <row r="164" spans="1:5" x14ac:dyDescent="0.2">
      <c r="A164" t="s">
        <v>913</v>
      </c>
      <c r="B164" t="s">
        <v>931</v>
      </c>
      <c r="C164" t="str" cm="1">
        <f t="array" ref="C164">_xlfn.SWITCH(Tabla42[[#This Row],[SID 12R]],"UDGUV","UDGUV","OMSUK","ROTGI","ENEBA","NOSUG","NUDAL","NUDAL","TAKUX","CZM","HECAT","CZM","CZM","CZM","")</f>
        <v>UDGUV</v>
      </c>
      <c r="D164" t="str" cm="1">
        <f t="array" ref="D16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4" t="s">
        <v>838</v>
      </c>
    </row>
    <row r="165" spans="1:5" x14ac:dyDescent="0.2">
      <c r="A165" t="s">
        <v>914</v>
      </c>
      <c r="B165" t="s">
        <v>931</v>
      </c>
      <c r="C165" t="str" cm="1">
        <f t="array" ref="C165">_xlfn.SWITCH(Tabla42[[#This Row],[SID 12R]],"UDGUV","UDGUV","OMSUK","ROTGI","ENEBA","NOSUG","NUDAL","NUDAL","TAKUX","CZM","HECAT","CZM","CZM","CZM","")</f>
        <v>UDGUV</v>
      </c>
      <c r="D165" t="str" cm="1">
        <f t="array" ref="D16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5" t="s">
        <v>841</v>
      </c>
    </row>
    <row r="166" spans="1:5" x14ac:dyDescent="0.2">
      <c r="A166" t="s">
        <v>915</v>
      </c>
      <c r="B166" t="s">
        <v>931</v>
      </c>
      <c r="C166" t="str" cm="1">
        <f t="array" ref="C166">_xlfn.SWITCH(Tabla42[[#This Row],[SID 12R]],"UDGUV","UDGUV","OMSUK","ROTGI","ENEBA","NOSUG","NUDAL","NUDAL","TAKUX","CZM","HECAT","CZM","CZM","CZM","")</f>
        <v>UDGUV</v>
      </c>
      <c r="D166" t="str" cm="1">
        <f t="array" ref="D16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6" t="s">
        <v>841</v>
      </c>
    </row>
    <row r="167" spans="1:5" x14ac:dyDescent="0.2">
      <c r="A167" t="s">
        <v>916</v>
      </c>
      <c r="B167" t="s">
        <v>931</v>
      </c>
      <c r="C167" t="str" cm="1">
        <f t="array" ref="C167">_xlfn.SWITCH(Tabla42[[#This Row],[SID 12R]],"UDGUV","UDGUV","OMSUK","ROTGI","ENEBA","NOSUG","NUDAL","NUDAL","TAKUX","CZM","HECAT","CZM","CZM","CZM","")</f>
        <v>UDGUV</v>
      </c>
      <c r="D167" t="str" cm="1">
        <f t="array" ref="D16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67" t="s">
        <v>851</v>
      </c>
    </row>
    <row r="168" spans="1:5" x14ac:dyDescent="0.2">
      <c r="A168" t="s">
        <v>917</v>
      </c>
      <c r="B168" t="s">
        <v>937</v>
      </c>
      <c r="C168" t="str" cm="1">
        <f t="array" ref="C168">_xlfn.SWITCH(Tabla42[[#This Row],[SID 12R]],"UDGUV","UDGUV","OMSUK","ROTGI","ENEBA","NOSUG","NUDAL","NUDAL","TAKUX","CZM","HECAT","CZM","CZM","CZM","")</f>
        <v>CZM</v>
      </c>
      <c r="D168" t="str" cm="1">
        <f t="array" ref="D16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8" t="s">
        <v>844</v>
      </c>
    </row>
    <row r="169" spans="1:5" x14ac:dyDescent="0.2">
      <c r="A169" t="s">
        <v>918</v>
      </c>
      <c r="B169" t="s">
        <v>937</v>
      </c>
      <c r="C169" t="str" cm="1">
        <f t="array" ref="C169">_xlfn.SWITCH(Tabla42[[#This Row],[SID 12R]],"UDGUV","UDGUV","OMSUK","ROTGI","ENEBA","NOSUG","NUDAL","NUDAL","TAKUX","CZM","HECAT","CZM","CZM","CZM","")</f>
        <v>CZM</v>
      </c>
      <c r="D169" t="str" cm="1">
        <f t="array" ref="D16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69" t="s">
        <v>844</v>
      </c>
    </row>
    <row r="170" spans="1:5" x14ac:dyDescent="0.2">
      <c r="A170" t="s">
        <v>919</v>
      </c>
      <c r="B170" t="s">
        <v>39</v>
      </c>
      <c r="C170" t="str" cm="1">
        <f t="array" ref="C170">_xlfn.SWITCH(Tabla42[[#This Row],[SID 12R]],"UDGUV","UDGUV","OMSUK","ROTGI","ENEBA","NOSUG","NUDAL","NUDAL","TAKUX","CZM","HECAT","CZM","CZM","CZM","")</f>
        <v>NUDAL</v>
      </c>
      <c r="D170" t="str" cm="1">
        <f t="array" ref="D17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0" t="s">
        <v>842</v>
      </c>
    </row>
    <row r="171" spans="1:5" x14ac:dyDescent="0.2">
      <c r="A171" t="s">
        <v>920</v>
      </c>
      <c r="B171" t="s">
        <v>39</v>
      </c>
      <c r="C171" t="str" cm="1">
        <f t="array" ref="C171">_xlfn.SWITCH(Tabla42[[#This Row],[SID 12R]],"UDGUV","UDGUV","OMSUK","ROTGI","ENEBA","NOSUG","NUDAL","NUDAL","TAKUX","CZM","HECAT","CZM","CZM","CZM","")</f>
        <v>NUDAL</v>
      </c>
      <c r="D171" t="str" cm="1">
        <f t="array" ref="D17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1" t="s">
        <v>842</v>
      </c>
    </row>
    <row r="172" spans="1:5" x14ac:dyDescent="0.2">
      <c r="A172" t="s">
        <v>789</v>
      </c>
      <c r="B172" t="s">
        <v>933</v>
      </c>
      <c r="C172" t="str" cm="1">
        <f t="array" ref="C172">_xlfn.SWITCH(Tabla42[[#This Row],[SID 12R]],"UDGUV","UDGUV","OMSUK","ROTGI","ENEBA","NOSUG","NUDAL","NUDAL","TAKUX","CZM","HECAT","CZM","CZM","CZM","")</f>
        <v>NOSUG</v>
      </c>
      <c r="D172" t="str" cm="1">
        <f t="array" ref="D17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2" t="s">
        <v>840</v>
      </c>
    </row>
    <row r="173" spans="1:5" x14ac:dyDescent="0.2">
      <c r="A173" t="s">
        <v>921</v>
      </c>
      <c r="B173" t="s">
        <v>936</v>
      </c>
      <c r="C173" t="str" cm="1">
        <f t="array" ref="C173">_xlfn.SWITCH(Tabla42[[#This Row],[SID 12R]],"UDGUV","UDGUV","OMSUK","ROTGI","ENEBA","NOSUG","NUDAL","NUDAL","TAKUX","CZM","HECAT","CZM","CZM","CZM","")</f>
        <v>CZM</v>
      </c>
      <c r="D173" t="str" cm="1">
        <f t="array" ref="D17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3" t="s">
        <v>844</v>
      </c>
    </row>
    <row r="174" spans="1:5" x14ac:dyDescent="0.2">
      <c r="A174" t="s">
        <v>801</v>
      </c>
      <c r="B174" t="s">
        <v>936</v>
      </c>
      <c r="C174" t="str" cm="1">
        <f t="array" ref="C174">_xlfn.SWITCH(Tabla42[[#This Row],[SID 12R]],"UDGUV","UDGUV","OMSUK","ROTGI","ENEBA","NOSUG","NUDAL","NUDAL","TAKUX","CZM","HECAT","CZM","CZM","CZM","")</f>
        <v>CZM</v>
      </c>
      <c r="D174" t="str" cm="1">
        <f t="array" ref="D17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4" t="s">
        <v>844</v>
      </c>
    </row>
    <row r="175" spans="1:5" x14ac:dyDescent="0.2">
      <c r="A175" t="s">
        <v>922</v>
      </c>
      <c r="B175" t="s">
        <v>39</v>
      </c>
      <c r="C175" t="str" cm="1">
        <f t="array" ref="C175">_xlfn.SWITCH(Tabla42[[#This Row],[SID 12R]],"UDGUV","UDGUV","OMSUK","ROTGI","ENEBA","NOSUG","NUDAL","NUDAL","TAKUX","CZM","HECAT","CZM","CZM","CZM","")</f>
        <v>NUDAL</v>
      </c>
      <c r="D175" t="str" cm="1">
        <f t="array" ref="D17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5" t="s">
        <v>842</v>
      </c>
    </row>
    <row r="176" spans="1:5" x14ac:dyDescent="0.2">
      <c r="A176" t="s">
        <v>923</v>
      </c>
      <c r="B176" t="s">
        <v>936</v>
      </c>
      <c r="C176" t="str" cm="1">
        <f t="array" ref="C176">_xlfn.SWITCH(Tabla42[[#This Row],[SID 12R]],"UDGUV","UDGUV","OMSUK","ROTGI","ENEBA","NOSUG","NUDAL","NUDAL","TAKUX","CZM","HECAT","CZM","CZM","CZM","")</f>
        <v>CZM</v>
      </c>
      <c r="D176" t="str" cm="1">
        <f t="array" ref="D17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76" t="s">
        <v>844</v>
      </c>
    </row>
    <row r="177" spans="1:5" x14ac:dyDescent="0.2">
      <c r="A177" t="s">
        <v>924</v>
      </c>
      <c r="B177" t="s">
        <v>933</v>
      </c>
      <c r="C177" t="str" cm="1">
        <f t="array" ref="C177">_xlfn.SWITCH(Tabla42[[#This Row],[SID 12R]],"UDGUV","UDGUV","OMSUK","ROTGI","ENEBA","NOSUG","NUDAL","NUDAL","TAKUX","CZM","HECAT","CZM","CZM","CZM","")</f>
        <v>NOSUG</v>
      </c>
      <c r="D177" t="str" cm="1">
        <f t="array" ref="D17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7" t="s">
        <v>840</v>
      </c>
    </row>
    <row r="178" spans="1:5" x14ac:dyDescent="0.2">
      <c r="A178" t="s">
        <v>925</v>
      </c>
      <c r="B178" t="s">
        <v>933</v>
      </c>
      <c r="C178" t="str" cm="1">
        <f t="array" ref="C178">_xlfn.SWITCH(Tabla42[[#This Row],[SID 12R]],"UDGUV","UDGUV","OMSUK","ROTGI","ENEBA","NOSUG","NUDAL","NUDAL","TAKUX","CZM","HECAT","CZM","CZM","CZM","")</f>
        <v>NOSUG</v>
      </c>
      <c r="D178" t="str" cm="1">
        <f t="array" ref="D17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8" t="s">
        <v>840</v>
      </c>
    </row>
    <row r="179" spans="1:5" x14ac:dyDescent="0.2">
      <c r="A179" t="s">
        <v>926</v>
      </c>
      <c r="B179" t="s">
        <v>932</v>
      </c>
      <c r="C179" t="str" cm="1">
        <f t="array" ref="C179">_xlfn.SWITCH(Tabla42[[#This Row],[SID 12R]],"UDGUV","UDGUV","OMSUK","ROTGI","ENEBA","NOSUG","NUDAL","NUDAL","TAKUX","CZM","HECAT","CZM","CZM","CZM","")</f>
        <v>ROTGI</v>
      </c>
      <c r="D179" t="str" cm="1">
        <f t="array" ref="D17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79" t="s">
        <v>840</v>
      </c>
    </row>
    <row r="180" spans="1:5" x14ac:dyDescent="0.2">
      <c r="A180" t="s">
        <v>703</v>
      </c>
      <c r="B180" t="s">
        <v>933</v>
      </c>
      <c r="C180" t="str" cm="1">
        <f t="array" ref="C180">_xlfn.SWITCH(Tabla42[[#This Row],[SID 12R]],"UDGUV","UDGUV","OMSUK","ROTGI","ENEBA","NOSUG","NUDAL","NUDAL","TAKUX","CZM","HECAT","CZM","CZM","CZM","")</f>
        <v>NOSUG</v>
      </c>
      <c r="D180" t="str" cm="1">
        <f t="array" ref="D18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0" t="s">
        <v>840</v>
      </c>
    </row>
    <row r="181" spans="1:5" x14ac:dyDescent="0.2">
      <c r="A181" t="s">
        <v>927</v>
      </c>
      <c r="B181" t="s">
        <v>933</v>
      </c>
      <c r="C181" t="str" cm="1">
        <f t="array" ref="C181">_xlfn.SWITCH(Tabla42[[#This Row],[SID 12R]],"UDGUV","UDGUV","OMSUK","ROTGI","ENEBA","NOSUG","NUDAL","NUDAL","TAKUX","CZM","HECAT","CZM","CZM","CZM","")</f>
        <v>NOSUG</v>
      </c>
      <c r="D181" t="str" cm="1">
        <f t="array" ref="D18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1" t="s">
        <v>840</v>
      </c>
    </row>
    <row r="182" spans="1:5" x14ac:dyDescent="0.2">
      <c r="A182" t="s">
        <v>928</v>
      </c>
      <c r="B182" t="s">
        <v>933</v>
      </c>
      <c r="C182" t="str" cm="1">
        <f t="array" ref="C182">_xlfn.SWITCH(Tabla42[[#This Row],[SID 12R]],"UDGUV","UDGUV","OMSUK","ROTGI","ENEBA","NOSUG","NUDAL","NUDAL","TAKUX","CZM","HECAT","CZM","CZM","CZM","")</f>
        <v>NOSUG</v>
      </c>
      <c r="D182" t="str" cm="1">
        <f t="array" ref="D18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2" t="s">
        <v>840</v>
      </c>
    </row>
    <row r="183" spans="1:5" x14ac:dyDescent="0.2">
      <c r="A183" t="s">
        <v>242</v>
      </c>
      <c r="B183" t="s">
        <v>39</v>
      </c>
      <c r="C183" t="str" cm="1">
        <f t="array" ref="C183">_xlfn.SWITCH(Tabla42[[#This Row],[SID 12R]],"UDGUV","UDGUV","OMSUK","ROTGI","ENEBA","NOSUG","NUDAL","NUDAL","TAKUX","CZM","HECAT","CZM","CZM","CZM","")</f>
        <v>NUDAL</v>
      </c>
      <c r="D183" t="str" cm="1">
        <f t="array" ref="D18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3" t="s">
        <v>842</v>
      </c>
    </row>
    <row r="184" spans="1:5" x14ac:dyDescent="0.2">
      <c r="A184" t="s">
        <v>929</v>
      </c>
      <c r="B184" t="s">
        <v>937</v>
      </c>
      <c r="C184" t="str" cm="1">
        <f t="array" ref="C184">_xlfn.SWITCH(Tabla42[[#This Row],[SID 12R]],"UDGUV","UDGUV","OMSUK","ROTGI","ENEBA","NOSUG","NUDAL","NUDAL","TAKUX","CZM","HECAT","CZM","CZM","CZM","")</f>
        <v>CZM</v>
      </c>
      <c r="D184" t="str" cm="1">
        <f t="array" ref="D18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4" t="s">
        <v>844</v>
      </c>
    </row>
    <row r="185" spans="1:5" x14ac:dyDescent="0.2">
      <c r="A185" t="s">
        <v>930</v>
      </c>
      <c r="B185" t="s">
        <v>931</v>
      </c>
      <c r="C185" t="str" cm="1">
        <f t="array" ref="C185">_xlfn.SWITCH(Tabla42[[#This Row],[SID 12R]],"UDGUV","UDGUV","OMSUK","ROTGI","ENEBA","NOSUG","NUDAL","NUDAL","TAKUX","CZM","HECAT","CZM","CZM","CZM","")</f>
        <v>UDGUV</v>
      </c>
      <c r="D185" t="str" cm="1">
        <f t="array" ref="D18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85" t="s">
        <v>838</v>
      </c>
    </row>
    <row r="186" spans="1:5" x14ac:dyDescent="0.2">
      <c r="A186" t="s">
        <v>763</v>
      </c>
      <c r="B186" t="s">
        <v>933</v>
      </c>
      <c r="C186" t="str" cm="1">
        <f t="array" ref="C186">_xlfn.SWITCH(Tabla42[[#This Row],[SID 12R]],"UDGUV","UDGUV","OMSUK","ROTGI","ENEBA","NOSUG","NUDAL","NUDAL","TAKUX","CZM","HECAT","CZM","CZM","CZM","")</f>
        <v>NOSUG</v>
      </c>
      <c r="D186" t="str" cm="1">
        <f t="array" ref="D18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6" t="s">
        <v>840</v>
      </c>
    </row>
    <row r="187" spans="1:5" x14ac:dyDescent="0.2">
      <c r="A187" t="s">
        <v>731</v>
      </c>
      <c r="B187" t="s">
        <v>933</v>
      </c>
      <c r="C187" t="str" cm="1">
        <f t="array" ref="C187">_xlfn.SWITCH(Tabla42[[#This Row],[SID 12R]],"UDGUV","UDGUV","OMSUK","ROTGI","ENEBA","NOSUG","NUDAL","NUDAL","TAKUX","CZM","HECAT","CZM","CZM","CZM","")</f>
        <v>NOSUG</v>
      </c>
      <c r="D187" t="str" cm="1">
        <f t="array" ref="D18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7" t="s">
        <v>840</v>
      </c>
    </row>
    <row r="188" spans="1:5" x14ac:dyDescent="0.2">
      <c r="A188" t="s">
        <v>720</v>
      </c>
      <c r="B188" t="s">
        <v>937</v>
      </c>
      <c r="C188" t="str" cm="1">
        <f t="array" ref="C188">_xlfn.SWITCH(Tabla42[[#This Row],[SID 12R]],"UDGUV","UDGUV","OMSUK","ROTGI","ENEBA","NOSUG","NUDAL","NUDAL","TAKUX","CZM","HECAT","CZM","CZM","CZM","")</f>
        <v>CZM</v>
      </c>
      <c r="D188" t="str" cm="1">
        <f t="array" ref="D18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88" t="s">
        <v>844</v>
      </c>
    </row>
    <row r="189" spans="1:5" x14ac:dyDescent="0.2">
      <c r="A189" t="s">
        <v>448</v>
      </c>
      <c r="B189" t="s">
        <v>932</v>
      </c>
      <c r="C189" t="str" cm="1">
        <f t="array" ref="C189">_xlfn.SWITCH(Tabla42[[#This Row],[SID 12R]],"UDGUV","UDGUV","OMSUK","ROTGI","ENEBA","NOSUG","NUDAL","NUDAL","TAKUX","CZM","HECAT","CZM","CZM","CZM","")</f>
        <v>ROTGI</v>
      </c>
      <c r="D189" t="str" cm="1">
        <f t="array" ref="D18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89" t="s">
        <v>840</v>
      </c>
    </row>
    <row r="190" spans="1:5" x14ac:dyDescent="0.2">
      <c r="A190" t="s">
        <v>683</v>
      </c>
      <c r="B190" t="s">
        <v>933</v>
      </c>
      <c r="C190" t="str" cm="1">
        <f t="array" ref="C190">_xlfn.SWITCH(Tabla42[[#This Row],[SID 12R]],"UDGUV","UDGUV","OMSUK","ROTGI","ENEBA","NOSUG","NUDAL","NUDAL","TAKUX","CZM","HECAT","CZM","CZM","CZM","")</f>
        <v>NOSUG</v>
      </c>
      <c r="D190" t="str" cm="1">
        <f t="array" ref="D19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0" t="s">
        <v>840</v>
      </c>
    </row>
    <row r="191" spans="1:5" x14ac:dyDescent="0.2">
      <c r="A191" t="s">
        <v>701</v>
      </c>
      <c r="B191" t="s">
        <v>933</v>
      </c>
      <c r="C191" t="str" cm="1">
        <f t="array" ref="C191">_xlfn.SWITCH(Tabla42[[#This Row],[SID 12R]],"UDGUV","UDGUV","OMSUK","ROTGI","ENEBA","NOSUG","NUDAL","NUDAL","TAKUX","CZM","HECAT","CZM","CZM","CZM","")</f>
        <v>NOSUG</v>
      </c>
      <c r="D191" t="str" cm="1">
        <f t="array" ref="D19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1" t="s">
        <v>840</v>
      </c>
    </row>
    <row r="192" spans="1:5" x14ac:dyDescent="0.2">
      <c r="A192" t="s">
        <v>356</v>
      </c>
      <c r="B192" t="s">
        <v>39</v>
      </c>
      <c r="C192" t="str" cm="1">
        <f t="array" ref="C192">_xlfn.SWITCH(Tabla42[[#This Row],[SID 12R]],"UDGUV","UDGUV","OMSUK","ROTGI","ENEBA","NOSUG","NUDAL","NUDAL","TAKUX","CZM","HECAT","CZM","CZM","CZM","")</f>
        <v>NUDAL</v>
      </c>
      <c r="D192" t="str" cm="1">
        <f t="array" ref="D19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2" t="s">
        <v>842</v>
      </c>
    </row>
    <row r="193" spans="1:5" x14ac:dyDescent="0.2">
      <c r="A193" t="s">
        <v>441</v>
      </c>
      <c r="B193" t="s">
        <v>937</v>
      </c>
      <c r="C193" t="str" cm="1">
        <f t="array" ref="C193">_xlfn.SWITCH(Tabla42[[#This Row],[SID 12R]],"UDGUV","UDGUV","OMSUK","ROTGI","ENEBA","NOSUG","NUDAL","NUDAL","TAKUX","CZM","HECAT","CZM","CZM","CZM","")</f>
        <v>CZM</v>
      </c>
      <c r="D193" t="str" cm="1">
        <f t="array" ref="D19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193" t="s">
        <v>851</v>
      </c>
    </row>
    <row r="194" spans="1:5" x14ac:dyDescent="0.2">
      <c r="A194" t="s">
        <v>660</v>
      </c>
      <c r="B194" t="s">
        <v>931</v>
      </c>
      <c r="C194" t="str" cm="1">
        <f t="array" ref="C194">_xlfn.SWITCH(Tabla42[[#This Row],[SID 12R]],"UDGUV","UDGUV","OMSUK","ROTGI","ENEBA","NOSUG","NUDAL","NUDAL","TAKUX","CZM","HECAT","CZM","CZM","CZM","")</f>
        <v>UDGUV</v>
      </c>
      <c r="D194" t="str" cm="1">
        <f t="array" ref="D19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4" t="s">
        <v>841</v>
      </c>
    </row>
    <row r="195" spans="1:5" x14ac:dyDescent="0.2">
      <c r="A195" t="s">
        <v>756</v>
      </c>
      <c r="B195" t="s">
        <v>931</v>
      </c>
      <c r="C195" t="str" cm="1">
        <f t="array" ref="C195">_xlfn.SWITCH(Tabla42[[#This Row],[SID 12R]],"UDGUV","UDGUV","OMSUK","ROTGI","ENEBA","NOSUG","NUDAL","NUDAL","TAKUX","CZM","HECAT","CZM","CZM","CZM","")</f>
        <v>UDGUV</v>
      </c>
      <c r="D195" t="str" cm="1">
        <f t="array" ref="D19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5" t="s">
        <v>851</v>
      </c>
    </row>
    <row r="196" spans="1:5" x14ac:dyDescent="0.2">
      <c r="A196" t="s">
        <v>762</v>
      </c>
      <c r="B196" t="s">
        <v>931</v>
      </c>
      <c r="C196" t="str" cm="1">
        <f t="array" ref="C196">_xlfn.SWITCH(Tabla42[[#This Row],[SID 12R]],"UDGUV","UDGUV","OMSUK","ROTGI","ENEBA","NOSUG","NUDAL","NUDAL","TAKUX","CZM","HECAT","CZM","CZM","CZM","")</f>
        <v>UDGUV</v>
      </c>
      <c r="D196" t="str" cm="1">
        <f t="array" ref="D19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196" t="s">
        <v>841</v>
      </c>
    </row>
    <row r="197" spans="1:5" x14ac:dyDescent="0.2">
      <c r="A197" t="s">
        <v>768</v>
      </c>
      <c r="B197" t="s">
        <v>933</v>
      </c>
      <c r="C197" t="str" cm="1">
        <f t="array" ref="C197">_xlfn.SWITCH(Tabla42[[#This Row],[SID 12R]],"UDGUV","UDGUV","OMSUK","ROTGI","ENEBA","NOSUG","NUDAL","NUDAL","TAKUX","CZM","HECAT","CZM","CZM","CZM","")</f>
        <v>NOSUG</v>
      </c>
      <c r="D197" t="str" cm="1">
        <f t="array" ref="D19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7" t="s">
        <v>840</v>
      </c>
    </row>
    <row r="198" spans="1:5" x14ac:dyDescent="0.2">
      <c r="A198" t="s">
        <v>772</v>
      </c>
      <c r="B198" t="s">
        <v>39</v>
      </c>
      <c r="C198" t="str" cm="1">
        <f t="array" ref="C198">_xlfn.SWITCH(Tabla42[[#This Row],[SID 12R]],"UDGUV","UDGUV","OMSUK","ROTGI","ENEBA","NOSUG","NUDAL","NUDAL","TAKUX","CZM","HECAT","CZM","CZM","CZM","")</f>
        <v>NUDAL</v>
      </c>
      <c r="D198" t="str" cm="1">
        <f t="array" ref="D19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8" t="s">
        <v>842</v>
      </c>
    </row>
    <row r="199" spans="1:5" x14ac:dyDescent="0.2">
      <c r="A199" t="s">
        <v>776</v>
      </c>
      <c r="B199" t="s">
        <v>933</v>
      </c>
      <c r="C199" t="str" cm="1">
        <f t="array" ref="C199">_xlfn.SWITCH(Tabla42[[#This Row],[SID 12R]],"UDGUV","UDGUV","OMSUK","ROTGI","ENEBA","NOSUG","NUDAL","NUDAL","TAKUX","CZM","HECAT","CZM","CZM","CZM","")</f>
        <v>NOSUG</v>
      </c>
      <c r="D199" t="str" cm="1">
        <f t="array" ref="D19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199" t="s">
        <v>840</v>
      </c>
    </row>
    <row r="200" spans="1:5" x14ac:dyDescent="0.2">
      <c r="A200" t="s">
        <v>795</v>
      </c>
      <c r="B200" t="s">
        <v>933</v>
      </c>
      <c r="C200" t="str" cm="1">
        <f t="array" ref="C200">_xlfn.SWITCH(Tabla42[[#This Row],[SID 12R]],"UDGUV","UDGUV","OMSUK","ROTGI","ENEBA","NOSUG","NUDAL","NUDAL","TAKUX","CZM","HECAT","CZM","CZM","CZM","")</f>
        <v>NOSUG</v>
      </c>
      <c r="D200" t="str" cm="1">
        <f t="array" ref="D20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0" t="s">
        <v>840</v>
      </c>
    </row>
    <row r="201" spans="1:5" x14ac:dyDescent="0.2">
      <c r="A201" t="s">
        <v>799</v>
      </c>
      <c r="B201" t="s">
        <v>933</v>
      </c>
      <c r="C201" t="str" cm="1">
        <f t="array" ref="C201">_xlfn.SWITCH(Tabla42[[#This Row],[SID 12R]],"UDGUV","UDGUV","OMSUK","ROTGI","ENEBA","NOSUG","NUDAL","NUDAL","TAKUX","CZM","HECAT","CZM","CZM","CZM","")</f>
        <v>NOSUG</v>
      </c>
      <c r="D201" t="str" cm="1">
        <f t="array" ref="D20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1" t="s">
        <v>840</v>
      </c>
    </row>
    <row r="202" spans="1:5" x14ac:dyDescent="0.2">
      <c r="A202" t="s">
        <v>800</v>
      </c>
      <c r="B202" t="s">
        <v>39</v>
      </c>
      <c r="C202" t="str" cm="1">
        <f t="array" ref="C202">_xlfn.SWITCH(Tabla42[[#This Row],[SID 12R]],"UDGUV","UDGUV","OMSUK","ROTGI","ENEBA","NOSUG","NUDAL","NUDAL","TAKUX","CZM","HECAT","CZM","CZM","CZM","")</f>
        <v>NUDAL</v>
      </c>
      <c r="D202" t="str" cm="1">
        <f t="array" ref="D20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2" t="s">
        <v>842</v>
      </c>
    </row>
    <row r="203" spans="1:5" x14ac:dyDescent="0.2">
      <c r="A203" t="s">
        <v>514</v>
      </c>
      <c r="B203" t="s">
        <v>39</v>
      </c>
      <c r="C203" t="str" cm="1">
        <f t="array" ref="C203">_xlfn.SWITCH(Tabla42[[#This Row],[SID 12R]],"UDGUV","UDGUV","OMSUK","ROTGI","ENEBA","NOSUG","NUDAL","NUDAL","TAKUX","CZM","HECAT","CZM","CZM","CZM","")</f>
        <v>NUDAL</v>
      </c>
      <c r="D203" t="str" cm="1">
        <f t="array" ref="D20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3" t="s">
        <v>842</v>
      </c>
    </row>
    <row r="204" spans="1:5" x14ac:dyDescent="0.2">
      <c r="A204" t="s">
        <v>537</v>
      </c>
      <c r="B204" t="s">
        <v>936</v>
      </c>
      <c r="C204" t="str" cm="1">
        <f t="array" ref="C204">_xlfn.SWITCH(Tabla42[[#This Row],[SID 12R]],"UDGUV","UDGUV","OMSUK","ROTGI","ENEBA","NOSUG","NUDAL","NUDAL","TAKUX","CZM","HECAT","CZM","CZM","CZM","")</f>
        <v>CZM</v>
      </c>
      <c r="D204" t="str" cm="1">
        <f t="array" ref="D20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4" t="s">
        <v>844</v>
      </c>
    </row>
    <row r="205" spans="1:5" x14ac:dyDescent="0.2">
      <c r="A205" t="s">
        <v>806</v>
      </c>
      <c r="B205" t="s">
        <v>932</v>
      </c>
      <c r="C205" t="str" cm="1">
        <f t="array" ref="C205">_xlfn.SWITCH(Tabla42[[#This Row],[SID 12R]],"UDGUV","UDGUV","OMSUK","ROTGI","ENEBA","NOSUG","NUDAL","NUDAL","TAKUX","CZM","HECAT","CZM","CZM","CZM","")</f>
        <v>ROTGI</v>
      </c>
      <c r="D205" t="str" cm="1">
        <f t="array" ref="D20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5" t="s">
        <v>840</v>
      </c>
    </row>
    <row r="206" spans="1:5" x14ac:dyDescent="0.2">
      <c r="A206" t="s">
        <v>563</v>
      </c>
      <c r="B206" t="s">
        <v>932</v>
      </c>
      <c r="C206" t="str" cm="1">
        <f t="array" ref="C206">_xlfn.SWITCH(Tabla42[[#This Row],[SID 12R]],"UDGUV","UDGUV","OMSUK","ROTGI","ENEBA","NOSUG","NUDAL","NUDAL","TAKUX","CZM","HECAT","CZM","CZM","CZM","")</f>
        <v>ROTGI</v>
      </c>
      <c r="D206" t="str" cm="1">
        <f t="array" ref="D20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6" t="s">
        <v>840</v>
      </c>
    </row>
    <row r="207" spans="1:5" x14ac:dyDescent="0.2">
      <c r="A207" t="s">
        <v>698</v>
      </c>
      <c r="B207" t="s">
        <v>39</v>
      </c>
      <c r="C207" t="str" cm="1">
        <f t="array" ref="C207">_xlfn.SWITCH(Tabla42[[#This Row],[SID 12R]],"UDGUV","UDGUV","OMSUK","ROTGI","ENEBA","NOSUG","NUDAL","NUDAL","TAKUX","CZM","HECAT","CZM","CZM","CZM","")</f>
        <v>NUDAL</v>
      </c>
      <c r="D207" t="str" cm="1">
        <f t="array" ref="D20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7" t="s">
        <v>842</v>
      </c>
    </row>
    <row r="208" spans="1:5" x14ac:dyDescent="0.2">
      <c r="A208" t="s">
        <v>827</v>
      </c>
      <c r="B208" t="s">
        <v>937</v>
      </c>
      <c r="C208" t="str" cm="1">
        <f t="array" ref="C208">_xlfn.SWITCH(Tabla42[[#This Row],[SID 12R]],"UDGUV","UDGUV","OMSUK","ROTGI","ENEBA","NOSUG","NUDAL","NUDAL","TAKUX","CZM","HECAT","CZM","CZM","CZM","")</f>
        <v>CZM</v>
      </c>
      <c r="D208" t="str" cm="1">
        <f t="array" ref="D208">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7</v>
      </c>
      <c r="E208" t="s">
        <v>851</v>
      </c>
    </row>
    <row r="209" spans="1:5" x14ac:dyDescent="0.2">
      <c r="A209" t="s">
        <v>833</v>
      </c>
      <c r="B209" t="s">
        <v>932</v>
      </c>
      <c r="C209" t="str" cm="1">
        <f t="array" ref="C209">_xlfn.SWITCH(Tabla42[[#This Row],[SID 12R]],"UDGUV","UDGUV","OMSUK","ROTGI","ENEBA","NOSUG","NUDAL","NUDAL","TAKUX","CZM","HECAT","CZM","CZM","CZM","")</f>
        <v>ROTGI</v>
      </c>
      <c r="D209" t="str" cm="1">
        <f t="array" ref="D209">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09" t="s">
        <v>840</v>
      </c>
    </row>
    <row r="210" spans="1:5" x14ac:dyDescent="0.2">
      <c r="A210" t="s">
        <v>2395</v>
      </c>
      <c r="B210" t="s">
        <v>933</v>
      </c>
      <c r="C210" t="str" cm="1">
        <f t="array" ref="C210">_xlfn.SWITCH(Tabla42[[#This Row],[SID 12R]],"UDGUV","UDGUV","OMSUK","ROTGI","ENEBA","NOSUG","NUDAL","NUDAL","TAKUX","CZM","HECAT","CZM","CZM","CZM","")</f>
        <v>NOSUG</v>
      </c>
      <c r="D210" t="str" cm="1">
        <f t="array" ref="D210">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0" t="s">
        <v>840</v>
      </c>
    </row>
    <row r="211" spans="1:5" x14ac:dyDescent="0.2">
      <c r="A211" t="s">
        <v>2068</v>
      </c>
      <c r="B211" t="s">
        <v>39</v>
      </c>
      <c r="C211" t="str" cm="1">
        <f t="array" ref="C211">_xlfn.SWITCH(Tabla42[[#This Row],[SID 12R]],"UDGUV","UDGUV","OMSUK","ROTGI","ENEBA","NOSUG","NUDAL","NUDAL","TAKUX","CZM","HECAT","CZM","CZM","CZM","")</f>
        <v>NUDAL</v>
      </c>
      <c r="D211" t="str" cm="1">
        <f t="array" ref="D211">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1" t="s">
        <v>840</v>
      </c>
    </row>
    <row r="212" spans="1:5" x14ac:dyDescent="0.2">
      <c r="A212" t="s">
        <v>1199</v>
      </c>
      <c r="B212" t="s">
        <v>931</v>
      </c>
      <c r="C212" t="str" cm="1">
        <f t="array" ref="C212">_xlfn.SWITCH(Tabla42[[#This Row],[SID 12R]],"UDGUV","UDGUV","OMSUK","ROTGI","ENEBA","NOSUG","NUDAL","NUDAL","TAKUX","CZM","HECAT","CZM","CZM","CZM","")</f>
        <v>UDGUV</v>
      </c>
      <c r="D212" t="str" cm="1">
        <f t="array" ref="D212">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2</v>
      </c>
      <c r="E212" t="s">
        <v>838</v>
      </c>
    </row>
    <row r="213" spans="1:5" x14ac:dyDescent="0.2">
      <c r="A213" t="s">
        <v>958</v>
      </c>
      <c r="B213" t="s">
        <v>39</v>
      </c>
      <c r="C213" t="str" cm="1">
        <f t="array" ref="C213">_xlfn.SWITCH(Tabla42[[#This Row],[SID 12R]],"UDGUV","UDGUV","OMSUK","ROTGI","ENEBA","NOSUG","NUDAL","NUDAL","TAKUX","CZM","HECAT","CZM","CZM","CZM","")</f>
        <v>NUDAL</v>
      </c>
      <c r="D213" t="str" cm="1">
        <f t="array" ref="D213">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Sector 3</v>
      </c>
      <c r="E213" t="s">
        <v>842</v>
      </c>
    </row>
    <row r="214" spans="1:5" x14ac:dyDescent="0.2">
      <c r="C214" t="str" cm="1">
        <f t="array" ref="C214">_xlfn.SWITCH(Tabla42[[#This Row],[SID 12R]],"UDGUV","UDGUV","OMSUK","ROTGI","ENEBA","NOSUG","NUDAL","NUDAL","TAKUX","CZM","HECAT","CZM","CZM","CZM","")</f>
        <v/>
      </c>
      <c r="D214" t="str" cm="1">
        <f t="array" ref="D214">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15" spans="1:5" x14ac:dyDescent="0.2">
      <c r="C215" t="str" cm="1">
        <f t="array" ref="C215">_xlfn.SWITCH(Tabla42[[#This Row],[SID 12R]],"UDGUV","UDGUV","OMSUK","ROTGI","ENEBA","NOSUG","NUDAL","NUDAL","TAKUX","CZM","HECAT","CZM","CZM","CZM","")</f>
        <v/>
      </c>
      <c r="D215" t="str" cm="1">
        <f t="array" ref="D215">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16" spans="1:5" x14ac:dyDescent="0.2">
      <c r="C216" t="str" cm="1">
        <f t="array" ref="C216">_xlfn.SWITCH(Tabla42[[#This Row],[SID 12R]],"UDGUV","UDGUV","OMSUK","ROTGI","ENEBA","NOSUG","NUDAL","NUDAL","TAKUX","CZM","HECAT","CZM","CZM","CZM","")</f>
        <v/>
      </c>
      <c r="D216" t="str" cm="1">
        <f t="array" ref="D216">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row r="217" spans="1:5" x14ac:dyDescent="0.2">
      <c r="C217" t="str" cm="1">
        <f t="array" ref="C217">_xlfn.SWITCH(Tabla42[[#This Row],[SID 12R]],"UDGUV","UDGUV","OMSUK","ROTGI","ENEBA","NOSUG","NUDAL","NUDAL","TAKUX","CZM","HECAT","CZM","CZM","CZM","")</f>
        <v/>
      </c>
      <c r="D217" t="str" cm="1">
        <f t="array" ref="D217">_xlfn.IFS(OR(Tabla42[[#This Row],[SID 12R]]="UDGUV",Tabla42[[#This Row],[SID 30L]]="UDGUV"),"Sector 2",OR(Tabla42[[#This Row],[SID 12R]]="OMSUK",Tabla42[[#This Row],[SID 30L]]="OMSUK",Tabla42[[#This Row],[SID 12R]]="ROTGI",Tabla42[[#This Row],[SID 30L]]="ROTGI",Tabla42[[#This Row],[SID 12R]]="ENEBA",Tabla42[[#This Row],[SID 30L]]="ENEBA",Tabla42[[#This Row],[SID 12R]]="NUDAL",Tabla42[[#This Row],[SID 30L]]="NUDAL"),"Sector 3",OR(Tabla42[[#This Row],[SID 12R]]="TAKUX",Tabla42[[#This Row],[SID 30L]]="TAKUX",Tabla42[[#This Row],[SID 12R]]="TAKUK",Tabla42[[#This Row],[SID 30L]]="TAKUK",Tabla42[[#This Row],[SID 12R]]="HECAT",Tabla42[[#This Row],[SID 30L]]="HECAT",Tabla42[[#This Row],[SID 12R]]="CZM",Tabla42[[#This Row],[SID 30L]]="CZM"),"Sector 7",TRUE,"")</f>
        <v/>
      </c>
    </row>
  </sheetData>
  <conditionalFormatting sqref="E3:E10">
    <cfRule type="colorScale" priority="11">
      <colorScale>
        <cfvo type="min"/>
        <cfvo type="percentile" val="50"/>
        <cfvo type="max"/>
        <color rgb="FFF8696B"/>
        <color rgb="FFFFEB84"/>
        <color rgb="FF63BE7B"/>
      </colorScale>
    </cfRule>
  </conditionalFormatting>
  <conditionalFormatting sqref="E14:E21">
    <cfRule type="colorScale" priority="12">
      <colorScale>
        <cfvo type="min"/>
        <cfvo type="percentile" val="50"/>
        <cfvo type="max"/>
        <color rgb="FFF8696B"/>
        <color rgb="FFFFEB84"/>
        <color rgb="FF63BE7B"/>
      </colorScale>
    </cfRule>
  </conditionalFormatting>
  <conditionalFormatting sqref="E25:E32">
    <cfRule type="colorScale" priority="15">
      <colorScale>
        <cfvo type="min"/>
        <cfvo type="percentile" val="50"/>
        <cfvo type="max"/>
        <color rgb="FFF8696B"/>
        <color rgb="FFFFEB84"/>
        <color rgb="FF63BE7B"/>
      </colorScale>
    </cfRule>
  </conditionalFormatting>
  <conditionalFormatting sqref="E38:E43">
    <cfRule type="colorScale" priority="14">
      <colorScale>
        <cfvo type="min"/>
        <cfvo type="percentile" val="50"/>
        <cfvo type="max"/>
        <color rgb="FFF8696B"/>
        <color rgb="FFFFEB84"/>
        <color rgb="FF63BE7B"/>
      </colorScale>
    </cfRule>
  </conditionalFormatting>
  <conditionalFormatting sqref="E48:E55">
    <cfRule type="colorScale" priority="13">
      <colorScale>
        <cfvo type="min"/>
        <cfvo type="percentile" val="50"/>
        <cfvo type="max"/>
        <color rgb="FFF8696B"/>
        <color rgb="FFFFEB84"/>
        <color rgb="FF63BE7B"/>
      </colorScale>
    </cfRule>
  </conditionalFormatting>
  <conditionalFormatting sqref="F3:H10">
    <cfRule type="colorScale" priority="10">
      <colorScale>
        <cfvo type="min"/>
        <cfvo type="percentile" val="50"/>
        <cfvo type="max"/>
        <color rgb="FFF8696B"/>
        <color rgb="FFFFEB84"/>
        <color rgb="FF63BE7B"/>
      </colorScale>
    </cfRule>
  </conditionalFormatting>
  <conditionalFormatting sqref="F14:H21">
    <cfRule type="colorScale" priority="9">
      <colorScale>
        <cfvo type="min"/>
        <cfvo type="percentile" val="50"/>
        <cfvo type="max"/>
        <color rgb="FFF8696B"/>
        <color rgb="FFFFEB84"/>
        <color rgb="FF63BE7B"/>
      </colorScale>
    </cfRule>
  </conditionalFormatting>
  <conditionalFormatting sqref="F48:H55">
    <cfRule type="colorScale" priority="6">
      <colorScale>
        <cfvo type="min"/>
        <cfvo type="percentile" val="50"/>
        <cfvo type="max"/>
        <color rgb="FFF8696B"/>
        <color rgb="FFFFEB84"/>
        <color rgb="FF63BE7B"/>
      </colorScale>
    </cfRule>
  </conditionalFormatting>
  <conditionalFormatting sqref="F38:I43">
    <cfRule type="colorScale" priority="7">
      <colorScale>
        <cfvo type="min"/>
        <cfvo type="percentile" val="50"/>
        <cfvo type="max"/>
        <color rgb="FFF8696B"/>
        <color rgb="FFFFEB84"/>
        <color rgb="FF63BE7B"/>
      </colorScale>
    </cfRule>
  </conditionalFormatting>
  <conditionalFormatting sqref="F25:K32">
    <cfRule type="colorScale" priority="8">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5E163-04CF-0248-A659-D7CB5AB85406}">
  <dimension ref="A1:T272"/>
  <sheetViews>
    <sheetView showGridLines="0" zoomScale="110" zoomScaleNormal="110" workbookViewId="0">
      <selection activeCell="L275" sqref="L27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334</v>
      </c>
      <c r="B2" s="13" t="s">
        <v>18</v>
      </c>
      <c r="C2" s="13" t="s">
        <v>42</v>
      </c>
      <c r="D2" s="13" t="s">
        <v>122</v>
      </c>
      <c r="E2" s="13" t="s">
        <v>517</v>
      </c>
      <c r="F2" s="14">
        <v>46296.013414351852</v>
      </c>
      <c r="G2" s="13" t="s">
        <v>21</v>
      </c>
      <c r="H2" s="13" t="s">
        <v>1073</v>
      </c>
      <c r="I2" s="15">
        <v>380</v>
      </c>
      <c r="J2" s="13" t="s">
        <v>22</v>
      </c>
      <c r="K2" s="13" t="s">
        <v>23</v>
      </c>
      <c r="L2" s="15">
        <v>873</v>
      </c>
      <c r="M2" s="13" t="s">
        <v>959</v>
      </c>
      <c r="N2" s="14">
        <v>46296.059166666666</v>
      </c>
      <c r="O2" s="15">
        <v>380</v>
      </c>
      <c r="P2" s="13" t="s">
        <v>25</v>
      </c>
      <c r="Q2" s="15">
        <v>190</v>
      </c>
      <c r="R2" s="3" t="str">
        <f>IF(OR(G2="12R",G2="12L"),_xlfn.XLOOKUP(C2,Tabla42[ADEP],Tabla42[SID 12R],""),IF(OR(G2="30L",G2="30R"),_xlfn.XLOOKUP(C2,Tabla42[ADEP],Tabla42[SID 30L],""),""))</f>
        <v>UDGUV</v>
      </c>
      <c r="S2" s="3">
        <f>HOUR(F2)</f>
        <v>0</v>
      </c>
      <c r="T2" s="3" t="str">
        <f>_xlfn.XLOOKUP(C2,Tabla42[ADEP],Tabla42[Sector],"")</f>
        <v>Sector 2</v>
      </c>
    </row>
    <row r="3" spans="1:20" x14ac:dyDescent="0.2">
      <c r="A3" s="13" t="s">
        <v>17</v>
      </c>
      <c r="B3" s="13" t="s">
        <v>18</v>
      </c>
      <c r="C3" s="13" t="s">
        <v>19</v>
      </c>
      <c r="D3" s="13" t="s">
        <v>20</v>
      </c>
      <c r="E3" s="13" t="s">
        <v>522</v>
      </c>
      <c r="F3" s="14">
        <v>46296.017060185186</v>
      </c>
      <c r="G3" s="13" t="s">
        <v>21</v>
      </c>
      <c r="H3" s="13" t="s">
        <v>1074</v>
      </c>
      <c r="I3" s="15">
        <v>360</v>
      </c>
      <c r="J3" s="13" t="s">
        <v>22</v>
      </c>
      <c r="K3" s="13" t="s">
        <v>23</v>
      </c>
      <c r="L3" s="15">
        <v>862</v>
      </c>
      <c r="M3" s="13" t="s">
        <v>24</v>
      </c>
      <c r="N3" s="14">
        <v>46296.061377314814</v>
      </c>
      <c r="O3" s="15">
        <v>360</v>
      </c>
      <c r="P3" s="13" t="s">
        <v>25</v>
      </c>
      <c r="Q3" s="15">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3" t="s">
        <v>31</v>
      </c>
      <c r="B4" s="13" t="s">
        <v>18</v>
      </c>
      <c r="C4" s="13" t="s">
        <v>32</v>
      </c>
      <c r="D4" s="13" t="s">
        <v>33</v>
      </c>
      <c r="E4" s="13" t="s">
        <v>539</v>
      </c>
      <c r="F4" s="14">
        <v>46296.034004629633</v>
      </c>
      <c r="G4" s="13" t="s">
        <v>21</v>
      </c>
      <c r="H4" s="13" t="s">
        <v>1075</v>
      </c>
      <c r="I4" s="15">
        <v>380</v>
      </c>
      <c r="J4" s="13" t="s">
        <v>22</v>
      </c>
      <c r="K4" s="13" t="s">
        <v>23</v>
      </c>
      <c r="L4" s="15">
        <v>885</v>
      </c>
      <c r="M4" s="13" t="s">
        <v>35</v>
      </c>
      <c r="N4" s="14">
        <v>46296.080613425926</v>
      </c>
      <c r="O4" s="15">
        <v>380</v>
      </c>
      <c r="P4" s="13" t="s">
        <v>25</v>
      </c>
      <c r="Q4" s="15">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3" t="s">
        <v>46</v>
      </c>
      <c r="B5" s="13" t="s">
        <v>18</v>
      </c>
      <c r="C5" s="13" t="s">
        <v>47</v>
      </c>
      <c r="D5" s="13" t="s">
        <v>48</v>
      </c>
      <c r="E5" s="13" t="s">
        <v>619</v>
      </c>
      <c r="F5" s="14">
        <v>46296.040451388893</v>
      </c>
      <c r="G5" s="13" t="s">
        <v>21</v>
      </c>
      <c r="H5" s="13" t="s">
        <v>1076</v>
      </c>
      <c r="I5" s="15">
        <v>370</v>
      </c>
      <c r="J5" s="13" t="s">
        <v>22</v>
      </c>
      <c r="K5" s="13" t="s">
        <v>23</v>
      </c>
      <c r="L5" s="15">
        <v>133</v>
      </c>
      <c r="M5" s="13" t="s">
        <v>39</v>
      </c>
      <c r="N5" s="14">
        <v>46296.050277777773</v>
      </c>
      <c r="O5" s="15">
        <v>232</v>
      </c>
      <c r="P5" s="13" t="s">
        <v>40</v>
      </c>
      <c r="Q5" s="15">
        <v>190</v>
      </c>
      <c r="R5" s="3" t="str">
        <f>IF(OR(G5="12R",G5="12L"),_xlfn.XLOOKUP(C5,Tabla42[ADEP],Tabla42[SID 12R],""),IF(OR(G5="30L",G5="30R"),_xlfn.XLOOKUP(C5,Tabla42[ADEP],Tabla42[SID 30L],""),""))</f>
        <v>NUDAL</v>
      </c>
      <c r="S5" s="3">
        <f t="shared" si="0"/>
        <v>0</v>
      </c>
      <c r="T5" s="3" t="str">
        <f>_xlfn.XLOOKUP(C5,Tabla42[ADEP],Tabla42[Sector],"")</f>
        <v>Sector 3</v>
      </c>
    </row>
    <row r="6" spans="1:20" x14ac:dyDescent="0.2">
      <c r="A6" s="13" t="s">
        <v>51</v>
      </c>
      <c r="B6" s="13" t="s">
        <v>18</v>
      </c>
      <c r="C6" s="13" t="s">
        <v>52</v>
      </c>
      <c r="D6" s="13" t="s">
        <v>53</v>
      </c>
      <c r="E6" s="13" t="s">
        <v>1023</v>
      </c>
      <c r="F6" s="14">
        <v>46296.061157407406</v>
      </c>
      <c r="G6" s="13" t="s">
        <v>21</v>
      </c>
      <c r="H6" s="13" t="s">
        <v>1077</v>
      </c>
      <c r="I6" s="15">
        <v>370</v>
      </c>
      <c r="J6" s="13" t="s">
        <v>22</v>
      </c>
      <c r="K6" s="13" t="s">
        <v>23</v>
      </c>
      <c r="L6" s="15">
        <v>198</v>
      </c>
      <c r="M6" s="13" t="s">
        <v>997</v>
      </c>
      <c r="N6" s="14">
        <v>46296.073749999996</v>
      </c>
      <c r="O6" s="15">
        <v>311</v>
      </c>
      <c r="P6" s="13" t="s">
        <v>25</v>
      </c>
      <c r="Q6" s="15">
        <v>190</v>
      </c>
      <c r="R6" s="3" t="str">
        <f>IF(OR(G6="12R",G6="12L"),_xlfn.XLOOKUP(C6,Tabla42[ADEP],Tabla42[SID 12R],""),IF(OR(G6="30L",G6="30R"),_xlfn.XLOOKUP(C6,Tabla42[ADEP],Tabla42[SID 30L],""),""))</f>
        <v>CZM</v>
      </c>
      <c r="S6" s="3">
        <f t="shared" si="0"/>
        <v>1</v>
      </c>
      <c r="T6" s="3" t="str">
        <f>_xlfn.XLOOKUP(C6,Tabla42[ADEP],Tabla42[Sector],"")</f>
        <v>Sector 7</v>
      </c>
    </row>
    <row r="7" spans="1:20" x14ac:dyDescent="0.2">
      <c r="A7" s="13" t="s">
        <v>56</v>
      </c>
      <c r="B7" s="13" t="s">
        <v>18</v>
      </c>
      <c r="C7" s="13" t="s">
        <v>42</v>
      </c>
      <c r="D7" s="13" t="s">
        <v>20</v>
      </c>
      <c r="E7" s="13" t="s">
        <v>57</v>
      </c>
      <c r="F7" s="14">
        <v>46296.068900462968</v>
      </c>
      <c r="G7" s="13" t="s">
        <v>21</v>
      </c>
      <c r="H7" s="13" t="s">
        <v>1078</v>
      </c>
      <c r="I7" s="15">
        <v>360</v>
      </c>
      <c r="J7" s="13" t="s">
        <v>22</v>
      </c>
      <c r="K7" s="13" t="s">
        <v>23</v>
      </c>
      <c r="L7" s="15">
        <v>855</v>
      </c>
      <c r="M7" s="13" t="s">
        <v>45</v>
      </c>
      <c r="N7" s="14">
        <v>46296.112881944442</v>
      </c>
      <c r="O7" s="15">
        <v>360</v>
      </c>
      <c r="P7" s="13" t="s">
        <v>25</v>
      </c>
      <c r="Q7" s="15">
        <v>190</v>
      </c>
      <c r="R7" s="3" t="str">
        <f>IF(OR(G7="12R",G7="12L"),_xlfn.XLOOKUP(C7,Tabla42[ADEP],Tabla42[SID 12R],""),IF(OR(G7="30L",G7="30R"),_xlfn.XLOOKUP(C7,Tabla42[ADEP],Tabla42[SID 30L],""),""))</f>
        <v>UDGUV</v>
      </c>
      <c r="S7" s="3">
        <f t="shared" si="0"/>
        <v>1</v>
      </c>
      <c r="T7" s="3" t="str">
        <f>_xlfn.XLOOKUP(C7,Tabla42[ADEP],Tabla42[Sector],"")</f>
        <v>Sector 2</v>
      </c>
    </row>
    <row r="8" spans="1:20" x14ac:dyDescent="0.2">
      <c r="A8" s="13" t="s">
        <v>61</v>
      </c>
      <c r="B8" s="13" t="s">
        <v>18</v>
      </c>
      <c r="C8" s="13" t="s">
        <v>62</v>
      </c>
      <c r="D8" s="13" t="s">
        <v>63</v>
      </c>
      <c r="E8" s="13" t="s">
        <v>1079</v>
      </c>
      <c r="F8" s="14">
        <v>46296.070138888885</v>
      </c>
      <c r="G8" s="13" t="s">
        <v>21</v>
      </c>
      <c r="H8" s="13" t="s">
        <v>1080</v>
      </c>
      <c r="I8" s="15">
        <v>320</v>
      </c>
      <c r="J8" s="13" t="s">
        <v>22</v>
      </c>
      <c r="K8" s="13" t="s">
        <v>23</v>
      </c>
      <c r="L8" s="15">
        <v>867</v>
      </c>
      <c r="M8" s="13" t="s">
        <v>1081</v>
      </c>
      <c r="N8" s="14">
        <v>46296.115451388891</v>
      </c>
      <c r="O8" s="15">
        <v>320</v>
      </c>
      <c r="P8" s="13" t="s">
        <v>25</v>
      </c>
      <c r="Q8" s="15">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13" t="s">
        <v>970</v>
      </c>
      <c r="B9" s="13" t="s">
        <v>18</v>
      </c>
      <c r="C9" s="13" t="s">
        <v>49</v>
      </c>
      <c r="D9" s="13" t="s">
        <v>220</v>
      </c>
      <c r="E9" s="13"/>
      <c r="F9" s="14">
        <v>46296.071296296301</v>
      </c>
      <c r="G9" s="13" t="s">
        <v>21</v>
      </c>
      <c r="H9" s="13" t="s">
        <v>1082</v>
      </c>
      <c r="I9" s="15">
        <v>430</v>
      </c>
      <c r="J9" s="13" t="s">
        <v>22</v>
      </c>
      <c r="K9" s="13" t="s">
        <v>50</v>
      </c>
      <c r="L9" s="15">
        <v>856</v>
      </c>
      <c r="M9" s="13" t="s">
        <v>83</v>
      </c>
      <c r="N9" s="14">
        <v>46296.118101851855</v>
      </c>
      <c r="O9" s="15">
        <v>430</v>
      </c>
      <c r="P9" s="13" t="s">
        <v>25</v>
      </c>
      <c r="Q9" s="15">
        <v>30</v>
      </c>
      <c r="R9" s="3" t="str">
        <f>IF(OR(G9="12R",G9="12L"),_xlfn.XLOOKUP(C9,Tabla42[ADEP],Tabla42[SID 12R],""),IF(OR(G9="30L",G9="30R"),_xlfn.XLOOKUP(C9,Tabla42[ADEP],Tabla42[SID 30L],""),""))</f>
        <v>UDGUV</v>
      </c>
      <c r="S9" s="3">
        <f t="shared" si="0"/>
        <v>1</v>
      </c>
      <c r="T9" s="3" t="str">
        <f>_xlfn.XLOOKUP(C9,Tabla42[ADEP],Tabla42[Sector],"")</f>
        <v>Sector 2</v>
      </c>
    </row>
    <row r="10" spans="1:20" x14ac:dyDescent="0.2">
      <c r="A10" s="13" t="s">
        <v>41</v>
      </c>
      <c r="B10" s="13" t="s">
        <v>18</v>
      </c>
      <c r="C10" s="13" t="s">
        <v>42</v>
      </c>
      <c r="D10" s="13" t="s">
        <v>43</v>
      </c>
      <c r="E10" s="13" t="s">
        <v>470</v>
      </c>
      <c r="F10" s="14">
        <v>46296.072592592594</v>
      </c>
      <c r="G10" s="13" t="s">
        <v>21</v>
      </c>
      <c r="H10" s="13" t="s">
        <v>1018</v>
      </c>
      <c r="I10" s="15">
        <v>360</v>
      </c>
      <c r="J10" s="13" t="s">
        <v>22</v>
      </c>
      <c r="K10" s="13" t="s">
        <v>23</v>
      </c>
      <c r="L10" s="15">
        <v>859</v>
      </c>
      <c r="M10" s="13" t="s">
        <v>45</v>
      </c>
      <c r="N10" s="14">
        <v>46296.115648148145</v>
      </c>
      <c r="O10" s="15">
        <v>360</v>
      </c>
      <c r="P10" s="13" t="s">
        <v>25</v>
      </c>
      <c r="Q10" s="15">
        <v>190</v>
      </c>
      <c r="R10" s="3" t="str">
        <f>IF(OR(G10="12R",G10="12L"),_xlfn.XLOOKUP(C10,Tabla42[ADEP],Tabla42[SID 12R],""),IF(OR(G10="30L",G10="30R"),_xlfn.XLOOKUP(C10,Tabla42[ADEP],Tabla42[SID 30L],""),""))</f>
        <v>UDGUV</v>
      </c>
      <c r="S10" s="3">
        <f t="shared" si="0"/>
        <v>1</v>
      </c>
      <c r="T10" s="3" t="str">
        <f>_xlfn.XLOOKUP(C10,Tabla42[ADEP],Tabla42[Sector],"")</f>
        <v>Sector 2</v>
      </c>
    </row>
    <row r="11" spans="1:20" x14ac:dyDescent="0.2">
      <c r="A11" s="13" t="s">
        <v>64</v>
      </c>
      <c r="B11" s="13" t="s">
        <v>18</v>
      </c>
      <c r="C11" s="13" t="s">
        <v>65</v>
      </c>
      <c r="D11" s="13" t="s">
        <v>63</v>
      </c>
      <c r="E11" s="13" t="s">
        <v>66</v>
      </c>
      <c r="F11" s="14">
        <v>46296.086550925931</v>
      </c>
      <c r="G11" s="13" t="s">
        <v>21</v>
      </c>
      <c r="H11" s="13" t="s">
        <v>1083</v>
      </c>
      <c r="I11" s="15">
        <v>220</v>
      </c>
      <c r="J11" s="13" t="s">
        <v>22</v>
      </c>
      <c r="K11" s="13" t="s">
        <v>23</v>
      </c>
      <c r="L11" s="15">
        <v>378</v>
      </c>
      <c r="M11" s="13" t="s">
        <v>65</v>
      </c>
      <c r="N11" s="14">
        <v>46296.114930555559</v>
      </c>
      <c r="O11" s="15">
        <v>0</v>
      </c>
      <c r="P11" s="13" t="s">
        <v>25</v>
      </c>
      <c r="Q11" s="15">
        <v>190</v>
      </c>
      <c r="R11" s="3" t="str">
        <f>IF(OR(G11="12R",G11="12L"),_xlfn.XLOOKUP(C11,Tabla42[ADEP],Tabla42[SID 12R],""),IF(OR(G11="30L",G11="30R"),_xlfn.XLOOKUP(C11,Tabla42[ADEP],Tabla42[SID 30L],""),""))</f>
        <v>UDGUV</v>
      </c>
      <c r="S11" s="3">
        <f t="shared" si="0"/>
        <v>2</v>
      </c>
      <c r="T11" s="3" t="str">
        <f>_xlfn.XLOOKUP(C11,Tabla42[ADEP],Tabla42[Sector],"")</f>
        <v>Sector 2</v>
      </c>
    </row>
    <row r="12" spans="1:20" x14ac:dyDescent="0.2">
      <c r="A12" s="13" t="s">
        <v>59</v>
      </c>
      <c r="B12" s="13" t="s">
        <v>18</v>
      </c>
      <c r="C12" s="13" t="s">
        <v>27</v>
      </c>
      <c r="D12" s="13" t="s">
        <v>28</v>
      </c>
      <c r="E12" s="13" t="s">
        <v>1026</v>
      </c>
      <c r="F12" s="14">
        <v>46296.096898148149</v>
      </c>
      <c r="G12" s="13" t="s">
        <v>21</v>
      </c>
      <c r="H12" s="13" t="s">
        <v>1084</v>
      </c>
      <c r="I12" s="15">
        <v>350</v>
      </c>
      <c r="J12" s="13" t="s">
        <v>22</v>
      </c>
      <c r="K12" s="13" t="s">
        <v>23</v>
      </c>
      <c r="L12" s="15">
        <v>224</v>
      </c>
      <c r="M12" s="13" t="s">
        <v>355</v>
      </c>
      <c r="N12" s="14">
        <v>46296.110891203702</v>
      </c>
      <c r="O12" s="15">
        <v>276</v>
      </c>
      <c r="P12" s="13" t="s">
        <v>25</v>
      </c>
      <c r="Q12" s="15">
        <v>40</v>
      </c>
      <c r="R12" s="3" t="str">
        <f>IF(OR(G12="12R",G12="12L"),_xlfn.XLOOKUP(C12,Tabla42[ADEP],Tabla42[SID 12R],""),IF(OR(G12="30L",G12="30R"),_xlfn.XLOOKUP(C12,Tabla42[ADEP],Tabla42[SID 30L],""),""))</f>
        <v>OMSUK</v>
      </c>
      <c r="S12" s="3">
        <f t="shared" si="0"/>
        <v>2</v>
      </c>
      <c r="T12" s="3" t="str">
        <f>_xlfn.XLOOKUP(C12,Tabla42[ADEP],Tabla42[Sector],"")</f>
        <v>Sector 3</v>
      </c>
    </row>
    <row r="13" spans="1:20" x14ac:dyDescent="0.2">
      <c r="A13" s="13" t="s">
        <v>72</v>
      </c>
      <c r="B13" s="13" t="s">
        <v>18</v>
      </c>
      <c r="C13" s="13" t="s">
        <v>73</v>
      </c>
      <c r="D13" s="13" t="s">
        <v>63</v>
      </c>
      <c r="E13" s="13" t="s">
        <v>74</v>
      </c>
      <c r="F13" s="14">
        <v>46296.115104166667</v>
      </c>
      <c r="G13" s="13" t="s">
        <v>21</v>
      </c>
      <c r="H13" s="13" t="s">
        <v>1085</v>
      </c>
      <c r="I13" s="15">
        <v>320</v>
      </c>
      <c r="J13" s="13" t="s">
        <v>22</v>
      </c>
      <c r="K13" s="13" t="s">
        <v>23</v>
      </c>
      <c r="L13" s="15">
        <v>712</v>
      </c>
      <c r="M13" s="13" t="s">
        <v>73</v>
      </c>
      <c r="N13" s="14">
        <v>46296.16070601852</v>
      </c>
      <c r="O13" s="15">
        <v>0</v>
      </c>
      <c r="P13" s="13" t="s">
        <v>25</v>
      </c>
      <c r="Q13" s="15">
        <v>190</v>
      </c>
      <c r="R13" s="3" t="str">
        <f>IF(OR(G13="12R",G13="12L"),_xlfn.XLOOKUP(C13,Tabla42[ADEP],Tabla42[SID 12R],""),IF(OR(G13="30L",G13="30R"),_xlfn.XLOOKUP(C13,Tabla42[ADEP],Tabla42[SID 30L],""),""))</f>
        <v>UDGUV</v>
      </c>
      <c r="S13" s="3">
        <f t="shared" si="0"/>
        <v>2</v>
      </c>
      <c r="T13" s="3" t="str">
        <f>_xlfn.XLOOKUP(C13,Tabla42[ADEP],Tabla42[Sector],"")</f>
        <v>Sector 2</v>
      </c>
    </row>
    <row r="14" spans="1:20" x14ac:dyDescent="0.2">
      <c r="A14" s="13" t="s">
        <v>69</v>
      </c>
      <c r="B14" s="13" t="s">
        <v>18</v>
      </c>
      <c r="C14" s="13" t="s">
        <v>42</v>
      </c>
      <c r="D14" s="13" t="s">
        <v>53</v>
      </c>
      <c r="E14" s="13" t="s">
        <v>97</v>
      </c>
      <c r="F14" s="14">
        <v>46296.116631944446</v>
      </c>
      <c r="G14" s="13" t="s">
        <v>21</v>
      </c>
      <c r="H14" s="13" t="s">
        <v>71</v>
      </c>
      <c r="I14" s="15">
        <v>380</v>
      </c>
      <c r="J14" s="13" t="s">
        <v>22</v>
      </c>
      <c r="K14" s="13" t="s">
        <v>23</v>
      </c>
      <c r="L14" s="15">
        <v>859</v>
      </c>
      <c r="M14" s="13" t="s">
        <v>45</v>
      </c>
      <c r="N14" s="14">
        <v>46296.160486111112</v>
      </c>
      <c r="O14" s="15">
        <v>380</v>
      </c>
      <c r="P14" s="13" t="s">
        <v>25</v>
      </c>
      <c r="Q14" s="15">
        <v>190</v>
      </c>
      <c r="R14" s="3" t="str">
        <f>IF(OR(G14="12R",G14="12L"),_xlfn.XLOOKUP(C14,Tabla42[ADEP],Tabla42[SID 12R],""),IF(OR(G14="30L",G14="30R"),_xlfn.XLOOKUP(C14,Tabla42[ADEP],Tabla42[SID 30L],""),""))</f>
        <v>UDGUV</v>
      </c>
      <c r="S14" s="3">
        <f t="shared" si="0"/>
        <v>2</v>
      </c>
      <c r="T14" s="3" t="str">
        <f>_xlfn.XLOOKUP(C14,Tabla42[ADEP],Tabla42[Sector],"")</f>
        <v>Sector 2</v>
      </c>
    </row>
    <row r="15" spans="1:20" x14ac:dyDescent="0.2">
      <c r="A15" s="13" t="s">
        <v>1086</v>
      </c>
      <c r="B15" s="13" t="s">
        <v>18</v>
      </c>
      <c r="C15" s="13" t="s">
        <v>42</v>
      </c>
      <c r="D15" s="13" t="s">
        <v>427</v>
      </c>
      <c r="E15" s="13" t="s">
        <v>1086</v>
      </c>
      <c r="F15" s="14">
        <v>46296.122291666667</v>
      </c>
      <c r="G15" s="13" t="s">
        <v>21</v>
      </c>
      <c r="H15" s="13" t="s">
        <v>58</v>
      </c>
      <c r="I15" s="15">
        <v>400</v>
      </c>
      <c r="J15" s="13" t="s">
        <v>22</v>
      </c>
      <c r="K15" s="13" t="s">
        <v>25</v>
      </c>
      <c r="L15" s="15">
        <v>859</v>
      </c>
      <c r="M15" s="13" t="s">
        <v>45</v>
      </c>
      <c r="N15" s="14">
        <v>46296.167071759264</v>
      </c>
      <c r="O15" s="15">
        <v>400</v>
      </c>
      <c r="P15" s="13" t="s">
        <v>25</v>
      </c>
      <c r="Q15" s="15">
        <v>30</v>
      </c>
      <c r="R15" s="3" t="str">
        <f>IF(OR(G15="12R",G15="12L"),_xlfn.XLOOKUP(C15,Tabla42[ADEP],Tabla42[SID 12R],""),IF(OR(G15="30L",G15="30R"),_xlfn.XLOOKUP(C15,Tabla42[ADEP],Tabla42[SID 30L],""),""))</f>
        <v>UDGUV</v>
      </c>
      <c r="S15" s="3">
        <f t="shared" si="0"/>
        <v>2</v>
      </c>
      <c r="T15" s="3" t="str">
        <f>_xlfn.XLOOKUP(C15,Tabla42[ADEP],Tabla42[Sector],"")</f>
        <v>Sector 2</v>
      </c>
    </row>
    <row r="16" spans="1:20" x14ac:dyDescent="0.2">
      <c r="A16" s="13" t="s">
        <v>81</v>
      </c>
      <c r="B16" s="13" t="s">
        <v>18</v>
      </c>
      <c r="C16" s="13" t="s">
        <v>49</v>
      </c>
      <c r="D16" s="13" t="s">
        <v>33</v>
      </c>
      <c r="E16" s="13" t="s">
        <v>89</v>
      </c>
      <c r="F16" s="14">
        <v>46296.128506944442</v>
      </c>
      <c r="G16" s="13" t="s">
        <v>623</v>
      </c>
      <c r="H16" s="13" t="s">
        <v>1087</v>
      </c>
      <c r="I16" s="15">
        <v>380</v>
      </c>
      <c r="J16" s="13" t="s">
        <v>22</v>
      </c>
      <c r="K16" s="13" t="s">
        <v>23</v>
      </c>
      <c r="L16" s="15">
        <v>853</v>
      </c>
      <c r="M16" s="13" t="s">
        <v>83</v>
      </c>
      <c r="N16" s="14">
        <v>46296.172268518523</v>
      </c>
      <c r="O16" s="15">
        <v>380</v>
      </c>
      <c r="P16" s="13" t="s">
        <v>25</v>
      </c>
      <c r="Q16" s="15">
        <v>190</v>
      </c>
      <c r="R16" s="3" t="str">
        <f>IF(OR(G16="12R",G16="12L"),_xlfn.XLOOKUP(C16,Tabla42[ADEP],Tabla42[SID 12R],""),IF(OR(G16="30L",G16="30R"),_xlfn.XLOOKUP(C16,Tabla42[ADEP],Tabla42[SID 30L],""),""))</f>
        <v>UDGUV</v>
      </c>
      <c r="S16" s="3">
        <f t="shared" si="0"/>
        <v>3</v>
      </c>
      <c r="T16" s="3" t="str">
        <f>_xlfn.XLOOKUP(C16,Tabla42[ADEP],Tabla42[Sector],"")</f>
        <v>Sector 2</v>
      </c>
    </row>
    <row r="17" spans="1:20" x14ac:dyDescent="0.2">
      <c r="A17" s="13" t="s">
        <v>75</v>
      </c>
      <c r="B17" s="13" t="s">
        <v>18</v>
      </c>
      <c r="C17" s="13" t="s">
        <v>19</v>
      </c>
      <c r="D17" s="13" t="s">
        <v>20</v>
      </c>
      <c r="E17" s="13" t="s">
        <v>819</v>
      </c>
      <c r="F17" s="14">
        <v>46296.134675925925</v>
      </c>
      <c r="G17" s="13" t="s">
        <v>623</v>
      </c>
      <c r="H17" s="13" t="s">
        <v>1088</v>
      </c>
      <c r="I17" s="15">
        <v>360</v>
      </c>
      <c r="J17" s="13" t="s">
        <v>22</v>
      </c>
      <c r="K17" s="13" t="s">
        <v>23</v>
      </c>
      <c r="L17" s="15">
        <v>866</v>
      </c>
      <c r="M17" s="13" t="s">
        <v>650</v>
      </c>
      <c r="N17" s="14">
        <v>46296.178414351853</v>
      </c>
      <c r="O17" s="15">
        <v>360</v>
      </c>
      <c r="P17" s="13" t="s">
        <v>25</v>
      </c>
      <c r="Q17" s="15">
        <v>190</v>
      </c>
      <c r="R17" s="3" t="str">
        <f>IF(OR(G17="12R",G17="12L"),_xlfn.XLOOKUP(C17,Tabla42[ADEP],Tabla42[SID 12R],""),IF(OR(G17="30L",G17="30R"),_xlfn.XLOOKUP(C17,Tabla42[ADEP],Tabla42[SID 30L],""),""))</f>
        <v>UDGUV</v>
      </c>
      <c r="S17" s="3">
        <f t="shared" si="0"/>
        <v>3</v>
      </c>
      <c r="T17" s="3" t="str">
        <f>_xlfn.XLOOKUP(C17,Tabla42[ADEP],Tabla42[Sector],"")</f>
        <v>Sector 2</v>
      </c>
    </row>
    <row r="18" spans="1:20" x14ac:dyDescent="0.2">
      <c r="A18" s="13" t="s">
        <v>1017</v>
      </c>
      <c r="B18" s="13" t="s">
        <v>18</v>
      </c>
      <c r="C18" s="13" t="s">
        <v>806</v>
      </c>
      <c r="D18" s="13" t="s">
        <v>689</v>
      </c>
      <c r="E18" s="13"/>
      <c r="F18" s="14">
        <v>46296.181030092594</v>
      </c>
      <c r="G18" s="13" t="s">
        <v>623</v>
      </c>
      <c r="H18" s="13" t="s">
        <v>1089</v>
      </c>
      <c r="I18" s="15">
        <v>250</v>
      </c>
      <c r="J18" s="13" t="s">
        <v>22</v>
      </c>
      <c r="K18" s="13" t="s">
        <v>455</v>
      </c>
      <c r="L18" s="15">
        <v>348</v>
      </c>
      <c r="M18" s="13" t="s">
        <v>30</v>
      </c>
      <c r="N18" s="14">
        <v>46296.199918981481</v>
      </c>
      <c r="O18" s="15">
        <v>258</v>
      </c>
      <c r="P18" s="13" t="s">
        <v>25</v>
      </c>
      <c r="Q18" s="15">
        <v>40</v>
      </c>
      <c r="R18" s="3" t="str">
        <f>IF(OR(G18="12R",G18="12L"),_xlfn.XLOOKUP(C18,Tabla42[ADEP],Tabla42[SID 12R],""),IF(OR(G18="30L",G18="30R"),_xlfn.XLOOKUP(C18,Tabla42[ADEP],Tabla42[SID 30L],""),""))</f>
        <v>OMSUK</v>
      </c>
      <c r="S18" s="3">
        <f t="shared" si="0"/>
        <v>4</v>
      </c>
      <c r="T18" s="3" t="str">
        <f>_xlfn.XLOOKUP(C18,Tabla42[ADEP],Tabla42[Sector],"")</f>
        <v>Sector 3</v>
      </c>
    </row>
    <row r="19" spans="1:20" x14ac:dyDescent="0.2">
      <c r="A19" s="13" t="s">
        <v>88</v>
      </c>
      <c r="B19" s="13" t="s">
        <v>18</v>
      </c>
      <c r="C19" s="13" t="s">
        <v>32</v>
      </c>
      <c r="D19" s="13" t="s">
        <v>60</v>
      </c>
      <c r="E19" s="13" t="s">
        <v>641</v>
      </c>
      <c r="F19" s="14">
        <v>46296.18204861111</v>
      </c>
      <c r="G19" s="13" t="s">
        <v>623</v>
      </c>
      <c r="H19" s="13" t="s">
        <v>1090</v>
      </c>
      <c r="I19" s="15">
        <v>340</v>
      </c>
      <c r="J19" s="13" t="s">
        <v>22</v>
      </c>
      <c r="K19" s="13" t="s">
        <v>23</v>
      </c>
      <c r="L19" s="15">
        <v>838</v>
      </c>
      <c r="M19" s="13" t="s">
        <v>35</v>
      </c>
      <c r="N19" s="14">
        <v>46296.225810185184</v>
      </c>
      <c r="O19" s="15">
        <v>340</v>
      </c>
      <c r="P19" s="13" t="s">
        <v>25</v>
      </c>
      <c r="Q19" s="15">
        <v>190</v>
      </c>
      <c r="R19" s="3" t="str">
        <f>IF(OR(G19="12R",G19="12L"),_xlfn.XLOOKUP(C19,Tabla42[ADEP],Tabla42[SID 12R],""),IF(OR(G19="30L",G19="30R"),_xlfn.XLOOKUP(C19,Tabla42[ADEP],Tabla42[SID 30L],""),""))</f>
        <v>UDGUV</v>
      </c>
      <c r="S19" s="3">
        <f t="shared" si="0"/>
        <v>4</v>
      </c>
      <c r="T19" s="3" t="str">
        <f>_xlfn.XLOOKUP(C19,Tabla42[ADEP],Tabla42[Sector],"")</f>
        <v>Sector 2</v>
      </c>
    </row>
    <row r="20" spans="1:20" x14ac:dyDescent="0.2">
      <c r="A20" s="13" t="s">
        <v>78</v>
      </c>
      <c r="B20" s="13" t="s">
        <v>18</v>
      </c>
      <c r="C20" s="13" t="s">
        <v>42</v>
      </c>
      <c r="D20" s="13" t="s">
        <v>60</v>
      </c>
      <c r="E20" s="13" t="s">
        <v>79</v>
      </c>
      <c r="F20" s="14">
        <v>46296.210370370369</v>
      </c>
      <c r="G20" s="13" t="s">
        <v>623</v>
      </c>
      <c r="H20" s="13" t="s">
        <v>1091</v>
      </c>
      <c r="I20" s="15">
        <v>360</v>
      </c>
      <c r="J20" s="13" t="s">
        <v>22</v>
      </c>
      <c r="K20" s="13" t="s">
        <v>23</v>
      </c>
      <c r="L20" s="15">
        <v>855</v>
      </c>
      <c r="M20" s="13" t="s">
        <v>45</v>
      </c>
      <c r="N20" s="14">
        <v>46296.253969907411</v>
      </c>
      <c r="O20" s="15">
        <v>360</v>
      </c>
      <c r="P20" s="13" t="s">
        <v>25</v>
      </c>
      <c r="Q20" s="15">
        <v>190</v>
      </c>
      <c r="R20" s="3" t="str">
        <f>IF(OR(G20="12R",G20="12L"),_xlfn.XLOOKUP(C20,Tabla42[ADEP],Tabla42[SID 12R],""),IF(OR(G20="30L",G20="30R"),_xlfn.XLOOKUP(C20,Tabla42[ADEP],Tabla42[SID 30L],""),""))</f>
        <v>UDGUV</v>
      </c>
      <c r="S20" s="3">
        <f t="shared" si="0"/>
        <v>5</v>
      </c>
      <c r="T20" s="3" t="str">
        <f>_xlfn.XLOOKUP(C20,Tabla42[ADEP],Tabla42[Sector],"")</f>
        <v>Sector 2</v>
      </c>
    </row>
    <row r="21" spans="1:20" x14ac:dyDescent="0.2">
      <c r="A21" s="13" t="s">
        <v>86</v>
      </c>
      <c r="B21" s="13" t="s">
        <v>18</v>
      </c>
      <c r="C21" s="13" t="s">
        <v>42</v>
      </c>
      <c r="D21" s="13" t="s">
        <v>20</v>
      </c>
      <c r="E21" s="13" t="s">
        <v>562</v>
      </c>
      <c r="F21" s="14">
        <v>46296.260370370372</v>
      </c>
      <c r="G21" s="13" t="s">
        <v>623</v>
      </c>
      <c r="H21" s="13" t="s">
        <v>1092</v>
      </c>
      <c r="I21" s="15">
        <v>360</v>
      </c>
      <c r="J21" s="13" t="s">
        <v>22</v>
      </c>
      <c r="K21" s="13" t="s">
        <v>23</v>
      </c>
      <c r="L21" s="15">
        <v>855</v>
      </c>
      <c r="M21" s="13" t="s">
        <v>738</v>
      </c>
      <c r="N21" s="14">
        <v>46296.304872685185</v>
      </c>
      <c r="O21" s="15">
        <v>360</v>
      </c>
      <c r="P21" s="13" t="s">
        <v>25</v>
      </c>
      <c r="Q21" s="15">
        <v>190</v>
      </c>
      <c r="R21" s="3" t="str">
        <f>IF(OR(G21="12R",G21="12L"),_xlfn.XLOOKUP(C21,Tabla42[ADEP],Tabla42[SID 12R],""),IF(OR(G21="30L",G21="30R"),_xlfn.XLOOKUP(C21,Tabla42[ADEP],Tabla42[SID 30L],""),""))</f>
        <v>UDGUV</v>
      </c>
      <c r="S21" s="3">
        <f t="shared" si="0"/>
        <v>6</v>
      </c>
      <c r="T21" s="3" t="str">
        <f>_xlfn.XLOOKUP(C21,Tabla42[ADEP],Tabla42[Sector],"")</f>
        <v>Sector 2</v>
      </c>
    </row>
    <row r="22" spans="1:20" x14ac:dyDescent="0.2">
      <c r="A22" s="13" t="s">
        <v>90</v>
      </c>
      <c r="B22" s="13" t="s">
        <v>18</v>
      </c>
      <c r="C22" s="13" t="s">
        <v>42</v>
      </c>
      <c r="D22" s="13" t="s">
        <v>20</v>
      </c>
      <c r="E22" s="13" t="s">
        <v>737</v>
      </c>
      <c r="F22" s="14">
        <v>46296.437268518523</v>
      </c>
      <c r="G22" s="13" t="s">
        <v>623</v>
      </c>
      <c r="H22" s="13" t="s">
        <v>1093</v>
      </c>
      <c r="I22" s="15">
        <v>360</v>
      </c>
      <c r="J22" s="13" t="s">
        <v>22</v>
      </c>
      <c r="K22" s="13" t="s">
        <v>23</v>
      </c>
      <c r="L22" s="15">
        <v>860</v>
      </c>
      <c r="M22" s="13" t="s">
        <v>45</v>
      </c>
      <c r="N22" s="14">
        <v>46296.481759259259</v>
      </c>
      <c r="O22" s="15">
        <v>360</v>
      </c>
      <c r="P22" s="13" t="s">
        <v>25</v>
      </c>
      <c r="Q22" s="15">
        <v>190</v>
      </c>
      <c r="R22" s="3" t="str">
        <f>IF(OR(G22="12R",G22="12L"),_xlfn.XLOOKUP(C22,Tabla42[ADEP],Tabla42[SID 12R],""),IF(OR(G22="30L",G22="30R"),_xlfn.XLOOKUP(C22,Tabla42[ADEP],Tabla42[SID 30L],""),""))</f>
        <v>UDGUV</v>
      </c>
      <c r="S22" s="3">
        <f t="shared" si="0"/>
        <v>10</v>
      </c>
      <c r="T22" s="3" t="str">
        <f>_xlfn.XLOOKUP(C22,Tabla42[ADEP],Tabla42[Sector],"")</f>
        <v>Sector 2</v>
      </c>
    </row>
    <row r="23" spans="1:20" x14ac:dyDescent="0.2">
      <c r="A23" s="13" t="s">
        <v>92</v>
      </c>
      <c r="B23" s="13" t="s">
        <v>18</v>
      </c>
      <c r="C23" s="13" t="s">
        <v>93</v>
      </c>
      <c r="D23" s="13" t="s">
        <v>20</v>
      </c>
      <c r="E23" s="13" t="s">
        <v>712</v>
      </c>
      <c r="F23" s="14">
        <v>46296.463159722218</v>
      </c>
      <c r="G23" s="13" t="s">
        <v>623</v>
      </c>
      <c r="H23" s="13" t="s">
        <v>1094</v>
      </c>
      <c r="I23" s="15">
        <v>360</v>
      </c>
      <c r="J23" s="13" t="s">
        <v>22</v>
      </c>
      <c r="K23" s="13" t="s">
        <v>23</v>
      </c>
      <c r="L23" s="15">
        <v>878</v>
      </c>
      <c r="M23" s="13" t="s">
        <v>94</v>
      </c>
      <c r="N23" s="14">
        <v>46296.509745370371</v>
      </c>
      <c r="O23" s="15">
        <v>200</v>
      </c>
      <c r="P23" s="13" t="s">
        <v>25</v>
      </c>
      <c r="Q23" s="15">
        <v>190</v>
      </c>
      <c r="R23" s="3" t="str">
        <f>IF(OR(G23="12R",G23="12L"),_xlfn.XLOOKUP(C23,Tabla42[ADEP],Tabla42[SID 12R],""),IF(OR(G23="30L",G23="30R"),_xlfn.XLOOKUP(C23,Tabla42[ADEP],Tabla42[SID 30L],""),""))</f>
        <v>UDGUV</v>
      </c>
      <c r="S23" s="3">
        <f t="shared" si="0"/>
        <v>11</v>
      </c>
      <c r="T23" s="3" t="str">
        <f>_xlfn.XLOOKUP(C23,Tabla42[ADEP],Tabla42[Sector],"")</f>
        <v>Sector 2</v>
      </c>
    </row>
    <row r="24" spans="1:20" x14ac:dyDescent="0.2">
      <c r="A24" s="13" t="s">
        <v>98</v>
      </c>
      <c r="B24" s="13" t="s">
        <v>18</v>
      </c>
      <c r="C24" s="13" t="s">
        <v>42</v>
      </c>
      <c r="D24" s="13" t="s">
        <v>43</v>
      </c>
      <c r="E24" s="13" t="s">
        <v>44</v>
      </c>
      <c r="F24" s="14">
        <v>46296.466134259259</v>
      </c>
      <c r="G24" s="13" t="s">
        <v>623</v>
      </c>
      <c r="H24" s="13" t="s">
        <v>1095</v>
      </c>
      <c r="I24" s="15">
        <v>360</v>
      </c>
      <c r="J24" s="13" t="s">
        <v>22</v>
      </c>
      <c r="K24" s="13" t="s">
        <v>23</v>
      </c>
      <c r="L24" s="15">
        <v>862</v>
      </c>
      <c r="M24" s="13" t="s">
        <v>420</v>
      </c>
      <c r="N24" s="14">
        <v>46296.510648148149</v>
      </c>
      <c r="O24" s="15">
        <v>360</v>
      </c>
      <c r="P24" s="13" t="s">
        <v>25</v>
      </c>
      <c r="Q24" s="15">
        <v>190</v>
      </c>
      <c r="R24" s="3" t="str">
        <f>IF(OR(G24="12R",G24="12L"),_xlfn.XLOOKUP(C24,Tabla42[ADEP],Tabla42[SID 12R],""),IF(OR(G24="30L",G24="30R"),_xlfn.XLOOKUP(C24,Tabla42[ADEP],Tabla42[SID 30L],""),""))</f>
        <v>UDGUV</v>
      </c>
      <c r="S24" s="3">
        <f t="shared" si="0"/>
        <v>11</v>
      </c>
      <c r="T24" s="3" t="str">
        <f>_xlfn.XLOOKUP(C24,Tabla42[ADEP],Tabla42[Sector],"")</f>
        <v>Sector 2</v>
      </c>
    </row>
    <row r="25" spans="1:20" x14ac:dyDescent="0.2">
      <c r="A25" s="13" t="s">
        <v>95</v>
      </c>
      <c r="B25" s="13" t="s">
        <v>18</v>
      </c>
      <c r="C25" s="13" t="s">
        <v>96</v>
      </c>
      <c r="D25" s="13" t="s">
        <v>53</v>
      </c>
      <c r="E25" s="13" t="s">
        <v>207</v>
      </c>
      <c r="F25" s="14">
        <v>46296.470092592594</v>
      </c>
      <c r="G25" s="13" t="s">
        <v>623</v>
      </c>
      <c r="H25" s="13" t="s">
        <v>1096</v>
      </c>
      <c r="I25" s="15">
        <v>380</v>
      </c>
      <c r="J25" s="13" t="s">
        <v>22</v>
      </c>
      <c r="K25" s="13" t="s">
        <v>23</v>
      </c>
      <c r="L25" s="15">
        <v>861</v>
      </c>
      <c r="M25" s="13" t="s">
        <v>45</v>
      </c>
      <c r="N25" s="14">
        <v>46296.514745370368</v>
      </c>
      <c r="O25" s="15">
        <v>380</v>
      </c>
      <c r="P25" s="13" t="s">
        <v>25</v>
      </c>
      <c r="Q25" s="15">
        <v>190</v>
      </c>
      <c r="R25" s="3" t="str">
        <f>IF(OR(G25="12R",G25="12L"),_xlfn.XLOOKUP(C25,Tabla42[ADEP],Tabla42[SID 12R],""),IF(OR(G25="30L",G25="30R"),_xlfn.XLOOKUP(C25,Tabla42[ADEP],Tabla42[SID 30L],""),""))</f>
        <v>UDGUV</v>
      </c>
      <c r="S25" s="3">
        <f t="shared" si="0"/>
        <v>11</v>
      </c>
      <c r="T25" s="3" t="str">
        <f>_xlfn.XLOOKUP(C25,Tabla42[ADEP],Tabla42[Sector],"")</f>
        <v>Sector 2</v>
      </c>
    </row>
    <row r="26" spans="1:20" x14ac:dyDescent="0.2">
      <c r="A26" s="13" t="s">
        <v>100</v>
      </c>
      <c r="B26" s="13" t="s">
        <v>18</v>
      </c>
      <c r="C26" s="13" t="s">
        <v>42</v>
      </c>
      <c r="D26" s="13" t="s">
        <v>20</v>
      </c>
      <c r="E26" s="13" t="s">
        <v>169</v>
      </c>
      <c r="F26" s="14">
        <v>46296.474444444444</v>
      </c>
      <c r="G26" s="13" t="s">
        <v>623</v>
      </c>
      <c r="H26" s="13" t="s">
        <v>1097</v>
      </c>
      <c r="I26" s="15">
        <v>340</v>
      </c>
      <c r="J26" s="13" t="s">
        <v>22</v>
      </c>
      <c r="K26" s="13" t="s">
        <v>23</v>
      </c>
      <c r="L26" s="15">
        <v>862</v>
      </c>
      <c r="M26" s="13" t="s">
        <v>420</v>
      </c>
      <c r="N26" s="14">
        <v>46296.517824074079</v>
      </c>
      <c r="O26" s="15">
        <v>340</v>
      </c>
      <c r="P26" s="13" t="s">
        <v>25</v>
      </c>
      <c r="Q26" s="15">
        <v>190</v>
      </c>
      <c r="R26" s="3" t="str">
        <f>IF(OR(G26="12R",G26="12L"),_xlfn.XLOOKUP(C26,Tabla42[ADEP],Tabla42[SID 12R],""),IF(OR(G26="30L",G26="30R"),_xlfn.XLOOKUP(C26,Tabla42[ADEP],Tabla42[SID 30L],""),""))</f>
        <v>UDGUV</v>
      </c>
      <c r="S26" s="3">
        <f t="shared" si="0"/>
        <v>11</v>
      </c>
      <c r="T26" s="3" t="str">
        <f>_xlfn.XLOOKUP(C26,Tabla42[ADEP],Tabla42[Sector],"")</f>
        <v>Sector 2</v>
      </c>
    </row>
    <row r="27" spans="1:20" x14ac:dyDescent="0.2">
      <c r="A27" s="13" t="s">
        <v>101</v>
      </c>
      <c r="B27" s="13" t="s">
        <v>18</v>
      </c>
      <c r="C27" s="13" t="s">
        <v>102</v>
      </c>
      <c r="D27" s="13" t="s">
        <v>53</v>
      </c>
      <c r="E27" s="13" t="s">
        <v>393</v>
      </c>
      <c r="F27" s="14">
        <v>46296.495150462964</v>
      </c>
      <c r="G27" s="13" t="s">
        <v>623</v>
      </c>
      <c r="H27" s="13" t="s">
        <v>1098</v>
      </c>
      <c r="I27" s="15">
        <v>290</v>
      </c>
      <c r="J27" s="13" t="s">
        <v>22</v>
      </c>
      <c r="K27" s="13" t="s">
        <v>23</v>
      </c>
      <c r="L27" s="15">
        <v>144</v>
      </c>
      <c r="M27" s="13" t="s">
        <v>39</v>
      </c>
      <c r="N27" s="14">
        <v>46296.505300925928</v>
      </c>
      <c r="O27" s="15">
        <v>269</v>
      </c>
      <c r="P27" s="13" t="s">
        <v>25</v>
      </c>
      <c r="Q27" s="15">
        <v>190</v>
      </c>
      <c r="R27" s="3" t="str">
        <f>IF(OR(G27="12R",G27="12L"),_xlfn.XLOOKUP(C27,Tabla42[ADEP],Tabla42[SID 12R],""),IF(OR(G27="30L",G27="30R"),_xlfn.XLOOKUP(C27,Tabla42[ADEP],Tabla42[SID 30L],""),""))</f>
        <v>NUDAL</v>
      </c>
      <c r="S27" s="3">
        <f t="shared" si="0"/>
        <v>11</v>
      </c>
      <c r="T27" s="3" t="str">
        <f>_xlfn.XLOOKUP(C27,Tabla42[ADEP],Tabla42[Sector],"")</f>
        <v>Sector 3</v>
      </c>
    </row>
    <row r="28" spans="1:20" x14ac:dyDescent="0.2">
      <c r="A28" s="13" t="s">
        <v>105</v>
      </c>
      <c r="B28" s="13" t="s">
        <v>18</v>
      </c>
      <c r="C28" s="13" t="s">
        <v>32</v>
      </c>
      <c r="D28" s="13" t="s">
        <v>20</v>
      </c>
      <c r="E28" s="13" t="s">
        <v>57</v>
      </c>
      <c r="F28" s="14">
        <v>46296.501550925925</v>
      </c>
      <c r="G28" s="13" t="s">
        <v>623</v>
      </c>
      <c r="H28" s="13" t="s">
        <v>1099</v>
      </c>
      <c r="I28" s="15">
        <v>340</v>
      </c>
      <c r="J28" s="13" t="s">
        <v>22</v>
      </c>
      <c r="K28" s="13" t="s">
        <v>23</v>
      </c>
      <c r="L28" s="15">
        <v>858</v>
      </c>
      <c r="M28" s="13" t="s">
        <v>35</v>
      </c>
      <c r="N28" s="14">
        <v>46296.545844907407</v>
      </c>
      <c r="O28" s="15">
        <v>340</v>
      </c>
      <c r="P28" s="13" t="s">
        <v>25</v>
      </c>
      <c r="Q28" s="15">
        <v>190</v>
      </c>
      <c r="R28" s="3" t="str">
        <f>IF(OR(G28="12R",G28="12L"),_xlfn.XLOOKUP(C28,Tabla42[ADEP],Tabla42[SID 12R],""),IF(OR(G28="30L",G28="30R"),_xlfn.XLOOKUP(C28,Tabla42[ADEP],Tabla42[SID 30L],""),""))</f>
        <v>UDGUV</v>
      </c>
      <c r="S28" s="3">
        <f t="shared" si="0"/>
        <v>12</v>
      </c>
      <c r="T28" s="3" t="str">
        <f>_xlfn.XLOOKUP(C28,Tabla42[ADEP],Tabla42[Sector],"")</f>
        <v>Sector 2</v>
      </c>
    </row>
    <row r="29" spans="1:20" x14ac:dyDescent="0.2">
      <c r="A29" s="13" t="s">
        <v>107</v>
      </c>
      <c r="B29" s="13" t="s">
        <v>18</v>
      </c>
      <c r="C29" s="13" t="s">
        <v>42</v>
      </c>
      <c r="D29" s="13" t="s">
        <v>28</v>
      </c>
      <c r="E29" s="13" t="s">
        <v>975</v>
      </c>
      <c r="F29" s="14">
        <v>46296.508032407408</v>
      </c>
      <c r="G29" s="13" t="s">
        <v>623</v>
      </c>
      <c r="H29" s="13" t="s">
        <v>1100</v>
      </c>
      <c r="I29" s="15">
        <v>380</v>
      </c>
      <c r="J29" s="13" t="s">
        <v>22</v>
      </c>
      <c r="K29" s="13" t="s">
        <v>23</v>
      </c>
      <c r="L29" s="15">
        <v>858</v>
      </c>
      <c r="M29" s="13" t="s">
        <v>45</v>
      </c>
      <c r="N29" s="14">
        <v>46296.552233796298</v>
      </c>
      <c r="O29" s="15">
        <v>380</v>
      </c>
      <c r="P29" s="13" t="s">
        <v>25</v>
      </c>
      <c r="Q29" s="15">
        <v>190</v>
      </c>
      <c r="R29" s="3" t="str">
        <f>IF(OR(G29="12R",G29="12L"),_xlfn.XLOOKUP(C29,Tabla42[ADEP],Tabla42[SID 12R],""),IF(OR(G29="30L",G29="30R"),_xlfn.XLOOKUP(C29,Tabla42[ADEP],Tabla42[SID 30L],""),""))</f>
        <v>UDGUV</v>
      </c>
      <c r="S29" s="3">
        <f t="shared" si="0"/>
        <v>12</v>
      </c>
      <c r="T29" s="3" t="str">
        <f>_xlfn.XLOOKUP(C29,Tabla42[ADEP],Tabla42[Sector],"")</f>
        <v>Sector 2</v>
      </c>
    </row>
    <row r="30" spans="1:20" x14ac:dyDescent="0.2">
      <c r="A30" s="13" t="s">
        <v>108</v>
      </c>
      <c r="B30" s="13" t="s">
        <v>18</v>
      </c>
      <c r="C30" s="13" t="s">
        <v>109</v>
      </c>
      <c r="D30" s="13" t="s">
        <v>122</v>
      </c>
      <c r="E30" s="13" t="s">
        <v>1022</v>
      </c>
      <c r="F30" s="14">
        <v>46296.509641203702</v>
      </c>
      <c r="G30" s="13" t="s">
        <v>623</v>
      </c>
      <c r="H30" s="13" t="s">
        <v>1101</v>
      </c>
      <c r="I30" s="15">
        <v>370</v>
      </c>
      <c r="J30" s="13" t="s">
        <v>22</v>
      </c>
      <c r="K30" s="13" t="s">
        <v>23</v>
      </c>
      <c r="L30" s="15">
        <v>168</v>
      </c>
      <c r="M30" s="13" t="s">
        <v>111</v>
      </c>
      <c r="N30" s="14">
        <v>46296.521504629629</v>
      </c>
      <c r="O30" s="15">
        <v>340</v>
      </c>
      <c r="P30" s="13" t="s">
        <v>25</v>
      </c>
      <c r="Q30" s="15">
        <v>190</v>
      </c>
      <c r="R30" s="3" t="str">
        <f>IF(OR(G30="12R",G30="12L"),_xlfn.XLOOKUP(C30,Tabla42[ADEP],Tabla42[SID 12R],""),IF(OR(G30="30L",G30="30R"),_xlfn.XLOOKUP(C30,Tabla42[ADEP],Tabla42[SID 30L],""),""))</f>
        <v>TAKUX</v>
      </c>
      <c r="S30" s="3">
        <f t="shared" si="0"/>
        <v>12</v>
      </c>
      <c r="T30" s="3" t="str">
        <f>_xlfn.XLOOKUP(C30,Tabla42[ADEP],Tabla42[Sector],"")</f>
        <v>Sector 7</v>
      </c>
    </row>
    <row r="31" spans="1:20" x14ac:dyDescent="0.2">
      <c r="A31" s="13" t="s">
        <v>495</v>
      </c>
      <c r="B31" s="13" t="s">
        <v>18</v>
      </c>
      <c r="C31" s="13" t="s">
        <v>371</v>
      </c>
      <c r="D31" s="13" t="s">
        <v>458</v>
      </c>
      <c r="E31" s="13"/>
      <c r="F31" s="14">
        <v>46296.54387731482</v>
      </c>
      <c r="G31" s="13" t="s">
        <v>623</v>
      </c>
      <c r="H31" s="13" t="s">
        <v>155</v>
      </c>
      <c r="I31" s="15">
        <v>15</v>
      </c>
      <c r="J31" s="13" t="s">
        <v>130</v>
      </c>
      <c r="K31" s="13" t="s">
        <v>50</v>
      </c>
      <c r="L31" s="15">
        <v>69</v>
      </c>
      <c r="M31" s="13" t="s">
        <v>371</v>
      </c>
      <c r="N31" s="14">
        <v>46296.555555555555</v>
      </c>
      <c r="O31" s="15">
        <v>0</v>
      </c>
      <c r="P31" s="13" t="s">
        <v>129</v>
      </c>
      <c r="Q31" s="15">
        <v>15</v>
      </c>
      <c r="R31" s="3" t="str">
        <f>IF(OR(G31="12R",G31="12L"),_xlfn.XLOOKUP(C31,Tabla42[ADEP],Tabla42[SID 12R],""),IF(OR(G31="30L",G31="30R"),_xlfn.XLOOKUP(C31,Tabla42[ADEP],Tabla42[SID 30L],""),""))</f>
        <v/>
      </c>
      <c r="S31" s="3">
        <f t="shared" si="0"/>
        <v>13</v>
      </c>
      <c r="T31" s="3" t="str">
        <f>_xlfn.XLOOKUP(C31,Tabla42[ADEP],Tabla42[Sector],"")</f>
        <v/>
      </c>
    </row>
    <row r="32" spans="1:20" x14ac:dyDescent="0.2">
      <c r="A32" s="13" t="s">
        <v>115</v>
      </c>
      <c r="B32" s="13" t="s">
        <v>18</v>
      </c>
      <c r="C32" s="13" t="s">
        <v>116</v>
      </c>
      <c r="D32" s="13" t="s">
        <v>117</v>
      </c>
      <c r="E32" s="13" t="s">
        <v>1014</v>
      </c>
      <c r="F32" s="14">
        <v>46296.545891203699</v>
      </c>
      <c r="G32" s="13" t="s">
        <v>21</v>
      </c>
      <c r="H32" s="13" t="s">
        <v>1102</v>
      </c>
      <c r="I32" s="15">
        <v>380</v>
      </c>
      <c r="J32" s="13" t="s">
        <v>22</v>
      </c>
      <c r="K32" s="13" t="s">
        <v>23</v>
      </c>
      <c r="L32" s="15">
        <v>538</v>
      </c>
      <c r="M32" s="13" t="s">
        <v>123</v>
      </c>
      <c r="N32" s="14">
        <v>46296.574189814812</v>
      </c>
      <c r="O32" s="15">
        <v>380</v>
      </c>
      <c r="P32" s="13" t="s">
        <v>25</v>
      </c>
      <c r="Q32" s="15">
        <v>40</v>
      </c>
      <c r="R32" s="3" t="str">
        <f>IF(OR(G32="12R",G32="12L"),_xlfn.XLOOKUP(C32,Tabla42[ADEP],Tabla42[SID 12R],""),IF(OR(G32="30L",G32="30R"),_xlfn.XLOOKUP(C32,Tabla42[ADEP],Tabla42[SID 30L],""),""))</f>
        <v>ENEBA</v>
      </c>
      <c r="S32" s="3">
        <f t="shared" si="0"/>
        <v>13</v>
      </c>
      <c r="T32" s="3" t="str">
        <f>_xlfn.XLOOKUP(C32,Tabla42[ADEP],Tabla42[Sector],"")</f>
        <v>Sector 3</v>
      </c>
    </row>
    <row r="33" spans="1:20" x14ac:dyDescent="0.2">
      <c r="A33" s="13" t="s">
        <v>125</v>
      </c>
      <c r="B33" s="13" t="s">
        <v>18</v>
      </c>
      <c r="C33" s="13" t="s">
        <v>126</v>
      </c>
      <c r="D33" s="13" t="s">
        <v>122</v>
      </c>
      <c r="E33" s="13" t="s">
        <v>1103</v>
      </c>
      <c r="F33" s="14">
        <v>46296.547256944439</v>
      </c>
      <c r="G33" s="13" t="s">
        <v>21</v>
      </c>
      <c r="H33" s="13" t="s">
        <v>1104</v>
      </c>
      <c r="I33" s="15">
        <v>370</v>
      </c>
      <c r="J33" s="13" t="s">
        <v>22</v>
      </c>
      <c r="K33" s="13" t="s">
        <v>23</v>
      </c>
      <c r="L33" s="15">
        <v>362</v>
      </c>
      <c r="M33" s="13" t="s">
        <v>30</v>
      </c>
      <c r="N33" s="14">
        <v>46296.565972222219</v>
      </c>
      <c r="O33" s="15">
        <v>370</v>
      </c>
      <c r="P33" s="13" t="s">
        <v>25</v>
      </c>
      <c r="Q33" s="15">
        <v>40</v>
      </c>
      <c r="R33" s="3" t="str">
        <f>IF(OR(G33="12R",G33="12L"),_xlfn.XLOOKUP(C33,Tabla42[ADEP],Tabla42[SID 12R],""),IF(OR(G33="30L",G33="30R"),_xlfn.XLOOKUP(C33,Tabla42[ADEP],Tabla42[SID 30L],""),""))</f>
        <v>ENEBA</v>
      </c>
      <c r="S33" s="3">
        <f t="shared" si="0"/>
        <v>13</v>
      </c>
      <c r="T33" s="3" t="str">
        <f>_xlfn.XLOOKUP(C33,Tabla42[ADEP],Tabla42[Sector],"")</f>
        <v>Sector 3</v>
      </c>
    </row>
    <row r="34" spans="1:20" x14ac:dyDescent="0.2">
      <c r="A34" s="13" t="s">
        <v>119</v>
      </c>
      <c r="B34" s="13" t="s">
        <v>18</v>
      </c>
      <c r="C34" s="13" t="s">
        <v>42</v>
      </c>
      <c r="D34" s="13" t="s">
        <v>43</v>
      </c>
      <c r="E34" s="13" t="s">
        <v>502</v>
      </c>
      <c r="F34" s="14">
        <v>46296.548032407409</v>
      </c>
      <c r="G34" s="13" t="s">
        <v>21</v>
      </c>
      <c r="H34" s="13" t="s">
        <v>773</v>
      </c>
      <c r="I34" s="15">
        <v>360</v>
      </c>
      <c r="J34" s="13" t="s">
        <v>22</v>
      </c>
      <c r="K34" s="13" t="s">
        <v>23</v>
      </c>
      <c r="L34" s="15">
        <v>859</v>
      </c>
      <c r="M34" s="13" t="s">
        <v>45</v>
      </c>
      <c r="N34" s="14">
        <v>46296.592430555553</v>
      </c>
      <c r="O34" s="15">
        <v>360</v>
      </c>
      <c r="P34" s="13" t="s">
        <v>25</v>
      </c>
      <c r="Q34" s="15">
        <v>190</v>
      </c>
      <c r="R34" s="3" t="str">
        <f>IF(OR(G34="12R",G34="12L"),_xlfn.XLOOKUP(C34,Tabla42[ADEP],Tabla42[SID 12R],""),IF(OR(G34="30L",G34="30R"),_xlfn.XLOOKUP(C34,Tabla42[ADEP],Tabla42[SID 30L],""),""))</f>
        <v>UDGUV</v>
      </c>
      <c r="S34" s="3">
        <f t="shared" si="0"/>
        <v>13</v>
      </c>
      <c r="T34" s="3" t="str">
        <f>_xlfn.XLOOKUP(C34,Tabla42[ADEP],Tabla42[Sector],"")</f>
        <v>Sector 2</v>
      </c>
    </row>
    <row r="35" spans="1:20" x14ac:dyDescent="0.2">
      <c r="A35" s="13" t="s">
        <v>127</v>
      </c>
      <c r="B35" s="13" t="s">
        <v>18</v>
      </c>
      <c r="C35" s="13" t="s">
        <v>128</v>
      </c>
      <c r="D35" s="13" t="s">
        <v>43</v>
      </c>
      <c r="E35" s="13" t="s">
        <v>1061</v>
      </c>
      <c r="F35" s="14">
        <v>46296.577199074076</v>
      </c>
      <c r="G35" s="13" t="s">
        <v>21</v>
      </c>
      <c r="H35" s="13" t="s">
        <v>1105</v>
      </c>
      <c r="I35" s="15">
        <v>330</v>
      </c>
      <c r="J35" s="13" t="s">
        <v>22</v>
      </c>
      <c r="K35" s="13" t="s">
        <v>23</v>
      </c>
      <c r="L35" s="15">
        <v>360</v>
      </c>
      <c r="M35" s="13" t="s">
        <v>30</v>
      </c>
      <c r="N35" s="14">
        <v>46296.597442129627</v>
      </c>
      <c r="O35" s="15">
        <v>330</v>
      </c>
      <c r="P35" s="13" t="s">
        <v>25</v>
      </c>
      <c r="Q35" s="15">
        <v>40</v>
      </c>
      <c r="R35" s="3" t="str">
        <f>IF(OR(G35="12R",G35="12L"),_xlfn.XLOOKUP(C35,Tabla42[ADEP],Tabla42[SID 12R],""),IF(OR(G35="30L",G35="30R"),_xlfn.XLOOKUP(C35,Tabla42[ADEP],Tabla42[SID 30L],""),""))</f>
        <v>OMSUK</v>
      </c>
      <c r="S35" s="3">
        <f t="shared" si="0"/>
        <v>13</v>
      </c>
      <c r="T35" s="3" t="str">
        <f>_xlfn.XLOOKUP(C35,Tabla42[ADEP],Tabla42[Sector],"")</f>
        <v>Sector 3</v>
      </c>
    </row>
    <row r="36" spans="1:20" x14ac:dyDescent="0.2">
      <c r="A36" s="13" t="s">
        <v>173</v>
      </c>
      <c r="B36" s="13" t="s">
        <v>18</v>
      </c>
      <c r="C36" s="13" t="s">
        <v>154</v>
      </c>
      <c r="D36" s="13" t="s">
        <v>174</v>
      </c>
      <c r="E36" s="13"/>
      <c r="F36" s="14">
        <v>46296.597407407404</v>
      </c>
      <c r="G36" s="13" t="s">
        <v>21</v>
      </c>
      <c r="H36" s="13" t="s">
        <v>1106</v>
      </c>
      <c r="I36" s="15">
        <v>15</v>
      </c>
      <c r="J36" s="13" t="s">
        <v>130</v>
      </c>
      <c r="K36" s="13" t="s">
        <v>50</v>
      </c>
      <c r="L36" s="15">
        <v>62</v>
      </c>
      <c r="M36" s="13" t="s">
        <v>154</v>
      </c>
      <c r="N36" s="14">
        <v>46296.624606481477</v>
      </c>
      <c r="O36" s="15">
        <v>0</v>
      </c>
      <c r="P36" s="13" t="s">
        <v>129</v>
      </c>
      <c r="Q36" s="15">
        <v>15</v>
      </c>
      <c r="R36" s="3" t="str">
        <f>IF(OR(G36="12R",G36="12L"),_xlfn.XLOOKUP(C36,Tabla42[ADEP],Tabla42[SID 12R],""),IF(OR(G36="30L",G36="30R"),_xlfn.XLOOKUP(C36,Tabla42[ADEP],Tabla42[SID 30L],""),""))</f>
        <v>CZM</v>
      </c>
      <c r="S36" s="3">
        <f t="shared" si="0"/>
        <v>14</v>
      </c>
      <c r="T36" s="3" t="str">
        <f>_xlfn.XLOOKUP(C36,Tabla42[ADEP],Tabla42[Sector],"")</f>
        <v>Sector 7</v>
      </c>
    </row>
    <row r="37" spans="1:20" x14ac:dyDescent="0.2">
      <c r="A37" s="13" t="s">
        <v>131</v>
      </c>
      <c r="B37" s="13" t="s">
        <v>18</v>
      </c>
      <c r="C37" s="13" t="s">
        <v>42</v>
      </c>
      <c r="D37" s="13" t="s">
        <v>43</v>
      </c>
      <c r="E37" s="13" t="s">
        <v>711</v>
      </c>
      <c r="F37" s="14">
        <v>46296.603715277779</v>
      </c>
      <c r="G37" s="13" t="s">
        <v>21</v>
      </c>
      <c r="H37" s="13" t="s">
        <v>1107</v>
      </c>
      <c r="I37" s="15">
        <v>360</v>
      </c>
      <c r="J37" s="13" t="s">
        <v>22</v>
      </c>
      <c r="K37" s="13" t="s">
        <v>23</v>
      </c>
      <c r="L37" s="15">
        <v>859</v>
      </c>
      <c r="M37" s="13" t="s">
        <v>45</v>
      </c>
      <c r="N37" s="14">
        <v>46296.648009259261</v>
      </c>
      <c r="O37" s="15">
        <v>360</v>
      </c>
      <c r="P37" s="13" t="s">
        <v>25</v>
      </c>
      <c r="Q37" s="15">
        <v>190</v>
      </c>
      <c r="R37" s="3" t="str">
        <f>IF(OR(G37="12R",G37="12L"),_xlfn.XLOOKUP(C37,Tabla42[ADEP],Tabla42[SID 12R],""),IF(OR(G37="30L",G37="30R"),_xlfn.XLOOKUP(C37,Tabla42[ADEP],Tabla42[SID 30L],""),""))</f>
        <v>UDGUV</v>
      </c>
      <c r="S37" s="3">
        <f t="shared" si="0"/>
        <v>14</v>
      </c>
      <c r="T37" s="3" t="str">
        <f>_xlfn.XLOOKUP(C37,Tabla42[ADEP],Tabla42[Sector],"")</f>
        <v>Sector 2</v>
      </c>
    </row>
    <row r="38" spans="1:20" x14ac:dyDescent="0.2">
      <c r="A38" s="13" t="s">
        <v>423</v>
      </c>
      <c r="B38" s="13" t="s">
        <v>18</v>
      </c>
      <c r="C38" s="13" t="s">
        <v>154</v>
      </c>
      <c r="D38" s="13" t="s">
        <v>424</v>
      </c>
      <c r="E38" s="13"/>
      <c r="F38" s="14">
        <v>46296.614953703705</v>
      </c>
      <c r="G38" s="13" t="s">
        <v>21</v>
      </c>
      <c r="H38" s="13" t="s">
        <v>155</v>
      </c>
      <c r="I38" s="15">
        <v>15</v>
      </c>
      <c r="J38" s="13" t="s">
        <v>130</v>
      </c>
      <c r="K38" s="13" t="s">
        <v>50</v>
      </c>
      <c r="L38" s="15">
        <v>58</v>
      </c>
      <c r="M38" s="13" t="s">
        <v>154</v>
      </c>
      <c r="N38" s="14">
        <v>46296.627604166672</v>
      </c>
      <c r="O38" s="15">
        <v>0</v>
      </c>
      <c r="P38" s="13" t="s">
        <v>129</v>
      </c>
      <c r="Q38" s="15">
        <v>15</v>
      </c>
      <c r="R38" s="3" t="str">
        <f>IF(OR(G38="12R",G38="12L"),_xlfn.XLOOKUP(C38,Tabla42[ADEP],Tabla42[SID 12R],""),IF(OR(G38="30L",G38="30R"),_xlfn.XLOOKUP(C38,Tabla42[ADEP],Tabla42[SID 30L],""),""))</f>
        <v>CZM</v>
      </c>
      <c r="S38" s="3">
        <f t="shared" si="0"/>
        <v>14</v>
      </c>
      <c r="T38" s="3" t="str">
        <f>_xlfn.XLOOKUP(C38,Tabla42[ADEP],Tabla42[Sector],"")</f>
        <v>Sector 7</v>
      </c>
    </row>
    <row r="39" spans="1:20" x14ac:dyDescent="0.2">
      <c r="A39" s="13" t="s">
        <v>135</v>
      </c>
      <c r="B39" s="13" t="s">
        <v>18</v>
      </c>
      <c r="C39" s="13" t="s">
        <v>32</v>
      </c>
      <c r="D39" s="13" t="s">
        <v>33</v>
      </c>
      <c r="E39" s="13" t="s">
        <v>539</v>
      </c>
      <c r="F39" s="14">
        <v>46296.63113425926</v>
      </c>
      <c r="G39" s="13" t="s">
        <v>21</v>
      </c>
      <c r="H39" s="13" t="s">
        <v>1108</v>
      </c>
      <c r="I39" s="15">
        <v>380</v>
      </c>
      <c r="J39" s="13" t="s">
        <v>22</v>
      </c>
      <c r="K39" s="13" t="s">
        <v>23</v>
      </c>
      <c r="L39" s="15">
        <v>860</v>
      </c>
      <c r="M39" s="13" t="s">
        <v>1109</v>
      </c>
      <c r="N39" s="14">
        <v>46296.67597222222</v>
      </c>
      <c r="O39" s="15">
        <v>380</v>
      </c>
      <c r="P39" s="13" t="s">
        <v>25</v>
      </c>
      <c r="Q39" s="15">
        <v>190</v>
      </c>
      <c r="R39" s="3" t="str">
        <f>IF(OR(G39="12R",G39="12L"),_xlfn.XLOOKUP(C39,Tabla42[ADEP],Tabla42[SID 12R],""),IF(OR(G39="30L",G39="30R"),_xlfn.XLOOKUP(C39,Tabla42[ADEP],Tabla42[SID 30L],""),""))</f>
        <v>UDGUV</v>
      </c>
      <c r="S39" s="3">
        <f t="shared" si="0"/>
        <v>15</v>
      </c>
      <c r="T39" s="3" t="str">
        <f>_xlfn.XLOOKUP(C39,Tabla42[ADEP],Tabla42[Sector],"")</f>
        <v>Sector 2</v>
      </c>
    </row>
    <row r="40" spans="1:20" x14ac:dyDescent="0.2">
      <c r="A40" s="13" t="s">
        <v>146</v>
      </c>
      <c r="B40" s="13" t="s">
        <v>18</v>
      </c>
      <c r="C40" s="13" t="s">
        <v>96</v>
      </c>
      <c r="D40" s="13" t="s">
        <v>33</v>
      </c>
      <c r="E40" s="13" t="s">
        <v>456</v>
      </c>
      <c r="F40" s="14">
        <v>46296.650243055556</v>
      </c>
      <c r="G40" s="13" t="s">
        <v>21</v>
      </c>
      <c r="H40" s="13" t="s">
        <v>1110</v>
      </c>
      <c r="I40" s="15">
        <v>360</v>
      </c>
      <c r="J40" s="13" t="s">
        <v>22</v>
      </c>
      <c r="K40" s="13" t="s">
        <v>23</v>
      </c>
      <c r="L40" s="15">
        <v>859</v>
      </c>
      <c r="M40" s="13" t="s">
        <v>45</v>
      </c>
      <c r="N40" s="14">
        <v>46296.693865740745</v>
      </c>
      <c r="O40" s="15">
        <v>360</v>
      </c>
      <c r="P40" s="13" t="s">
        <v>25</v>
      </c>
      <c r="Q40" s="15">
        <v>190</v>
      </c>
      <c r="R40" s="3" t="str">
        <f>IF(OR(G40="12R",G40="12L"),_xlfn.XLOOKUP(C40,Tabla42[ADEP],Tabla42[SID 12R],""),IF(OR(G40="30L",G40="30R"),_xlfn.XLOOKUP(C40,Tabla42[ADEP],Tabla42[SID 30L],""),""))</f>
        <v>UDGUV</v>
      </c>
      <c r="S40" s="3">
        <f t="shared" si="0"/>
        <v>15</v>
      </c>
      <c r="T40" s="3" t="str">
        <f>_xlfn.XLOOKUP(C40,Tabla42[ADEP],Tabla42[Sector],"")</f>
        <v>Sector 2</v>
      </c>
    </row>
    <row r="41" spans="1:20" x14ac:dyDescent="0.2">
      <c r="A41" s="13" t="s">
        <v>178</v>
      </c>
      <c r="B41" s="13" t="s">
        <v>18</v>
      </c>
      <c r="C41" s="13" t="s">
        <v>179</v>
      </c>
      <c r="D41" s="13" t="s">
        <v>53</v>
      </c>
      <c r="E41" s="13" t="s">
        <v>106</v>
      </c>
      <c r="F41" s="14">
        <v>46296.65247685185</v>
      </c>
      <c r="G41" s="13" t="s">
        <v>21</v>
      </c>
      <c r="H41" s="13" t="s">
        <v>1111</v>
      </c>
      <c r="I41" s="15">
        <v>380</v>
      </c>
      <c r="J41" s="13" t="s">
        <v>22</v>
      </c>
      <c r="K41" s="13" t="s">
        <v>23</v>
      </c>
      <c r="L41" s="15">
        <v>831</v>
      </c>
      <c r="M41" s="13" t="s">
        <v>179</v>
      </c>
      <c r="N41" s="14">
        <v>46296.702326388884</v>
      </c>
      <c r="O41" s="15">
        <v>15</v>
      </c>
      <c r="P41" s="13" t="s">
        <v>25</v>
      </c>
      <c r="Q41" s="15">
        <v>190</v>
      </c>
      <c r="R41" s="3" t="str">
        <f>IF(OR(G41="12R",G41="12L"),_xlfn.XLOOKUP(C41,Tabla42[ADEP],Tabla42[SID 12R],""),IF(OR(G41="30L",G41="30R"),_xlfn.XLOOKUP(C41,Tabla42[ADEP],Tabla42[SID 30L],""),""))</f>
        <v>UDGUV</v>
      </c>
      <c r="S41" s="3">
        <f t="shared" si="0"/>
        <v>15</v>
      </c>
      <c r="T41" s="3" t="str">
        <f>_xlfn.XLOOKUP(C41,Tabla42[ADEP],Tabla42[Sector],"")</f>
        <v>Sector 2</v>
      </c>
    </row>
    <row r="42" spans="1:20" x14ac:dyDescent="0.2">
      <c r="A42" s="13" t="s">
        <v>425</v>
      </c>
      <c r="B42" s="13" t="s">
        <v>18</v>
      </c>
      <c r="C42" s="13" t="s">
        <v>49</v>
      </c>
      <c r="D42" s="13" t="s">
        <v>33</v>
      </c>
      <c r="E42" s="13" t="s">
        <v>434</v>
      </c>
      <c r="F42" s="14">
        <v>46296.654849537037</v>
      </c>
      <c r="G42" s="13" t="s">
        <v>21</v>
      </c>
      <c r="H42" s="13" t="s">
        <v>1112</v>
      </c>
      <c r="I42" s="15">
        <v>360</v>
      </c>
      <c r="J42" s="13" t="s">
        <v>22</v>
      </c>
      <c r="K42" s="13" t="s">
        <v>23</v>
      </c>
      <c r="L42" s="15">
        <v>859</v>
      </c>
      <c r="M42" s="13" t="s">
        <v>45</v>
      </c>
      <c r="N42" s="14">
        <v>46296.698958333334</v>
      </c>
      <c r="O42" s="15">
        <v>360</v>
      </c>
      <c r="P42" s="13" t="s">
        <v>25</v>
      </c>
      <c r="Q42" s="15">
        <v>190</v>
      </c>
      <c r="R42" s="3" t="str">
        <f>IF(OR(G42="12R",G42="12L"),_xlfn.XLOOKUP(C42,Tabla42[ADEP],Tabla42[SID 12R],""),IF(OR(G42="30L",G42="30R"),_xlfn.XLOOKUP(C42,Tabla42[ADEP],Tabla42[SID 30L],""),""))</f>
        <v>UDGUV</v>
      </c>
      <c r="S42" s="3">
        <f t="shared" si="0"/>
        <v>15</v>
      </c>
      <c r="T42" s="3" t="str">
        <f>_xlfn.XLOOKUP(C42,Tabla42[ADEP],Tabla42[Sector],"")</f>
        <v>Sector 2</v>
      </c>
    </row>
    <row r="43" spans="1:20" x14ac:dyDescent="0.2">
      <c r="A43" s="13" t="s">
        <v>151</v>
      </c>
      <c r="B43" s="13" t="s">
        <v>18</v>
      </c>
      <c r="C43" s="13" t="s">
        <v>96</v>
      </c>
      <c r="D43" s="13" t="s">
        <v>122</v>
      </c>
      <c r="E43" s="13" t="s">
        <v>752</v>
      </c>
      <c r="F43" s="14">
        <v>46296.65797453704</v>
      </c>
      <c r="G43" s="13" t="s">
        <v>21</v>
      </c>
      <c r="H43" s="13" t="s">
        <v>1113</v>
      </c>
      <c r="I43" s="15">
        <v>380</v>
      </c>
      <c r="J43" s="13" t="s">
        <v>22</v>
      </c>
      <c r="K43" s="13" t="s">
        <v>23</v>
      </c>
      <c r="L43" s="15">
        <v>859</v>
      </c>
      <c r="M43" s="13" t="s">
        <v>45</v>
      </c>
      <c r="N43" s="14">
        <v>46296.700937500005</v>
      </c>
      <c r="O43" s="15">
        <v>380</v>
      </c>
      <c r="P43" s="13" t="s">
        <v>25</v>
      </c>
      <c r="Q43" s="15">
        <v>190</v>
      </c>
      <c r="R43" s="3" t="str">
        <f>IF(OR(G43="12R",G43="12L"),_xlfn.XLOOKUP(C43,Tabla42[ADEP],Tabla42[SID 12R],""),IF(OR(G43="30L",G43="30R"),_xlfn.XLOOKUP(C43,Tabla42[ADEP],Tabla42[SID 30L],""),""))</f>
        <v>UDGUV</v>
      </c>
      <c r="S43" s="3">
        <f t="shared" si="0"/>
        <v>15</v>
      </c>
      <c r="T43" s="3" t="str">
        <f>_xlfn.XLOOKUP(C43,Tabla42[ADEP],Tabla42[Sector],"")</f>
        <v>Sector 2</v>
      </c>
    </row>
    <row r="44" spans="1:20" x14ac:dyDescent="0.2">
      <c r="A44" s="13" t="s">
        <v>145</v>
      </c>
      <c r="B44" s="13" t="s">
        <v>18</v>
      </c>
      <c r="C44" s="13" t="s">
        <v>19</v>
      </c>
      <c r="D44" s="13" t="s">
        <v>53</v>
      </c>
      <c r="E44" s="13" t="s">
        <v>675</v>
      </c>
      <c r="F44" s="14">
        <v>46296.659791666665</v>
      </c>
      <c r="G44" s="13" t="s">
        <v>21</v>
      </c>
      <c r="H44" s="13" t="s">
        <v>1114</v>
      </c>
      <c r="I44" s="15">
        <v>380</v>
      </c>
      <c r="J44" s="13" t="s">
        <v>22</v>
      </c>
      <c r="K44" s="13" t="s">
        <v>23</v>
      </c>
      <c r="L44" s="15">
        <v>859</v>
      </c>
      <c r="M44" s="13" t="s">
        <v>24</v>
      </c>
      <c r="N44" s="14">
        <v>46296.703819444447</v>
      </c>
      <c r="O44" s="15">
        <v>380</v>
      </c>
      <c r="P44" s="13" t="s">
        <v>25</v>
      </c>
      <c r="Q44" s="15">
        <v>190</v>
      </c>
      <c r="R44" s="3" t="str">
        <f>IF(OR(G44="12R",G44="12L"),_xlfn.XLOOKUP(C44,Tabla42[ADEP],Tabla42[SID 12R],""),IF(OR(G44="30L",G44="30R"),_xlfn.XLOOKUP(C44,Tabla42[ADEP],Tabla42[SID 30L],""),""))</f>
        <v>UDGUV</v>
      </c>
      <c r="S44" s="3">
        <f t="shared" si="0"/>
        <v>15</v>
      </c>
      <c r="T44" s="3" t="str">
        <f>_xlfn.XLOOKUP(C44,Tabla42[ADEP],Tabla42[Sector],"")</f>
        <v>Sector 2</v>
      </c>
    </row>
    <row r="45" spans="1:20" x14ac:dyDescent="0.2">
      <c r="A45" s="13" t="s">
        <v>142</v>
      </c>
      <c r="B45" s="13" t="s">
        <v>18</v>
      </c>
      <c r="C45" s="13" t="s">
        <v>42</v>
      </c>
      <c r="D45" s="13" t="s">
        <v>60</v>
      </c>
      <c r="E45" s="13" t="s">
        <v>144</v>
      </c>
      <c r="F45" s="14">
        <v>46296.661435185189</v>
      </c>
      <c r="G45" s="13" t="s">
        <v>21</v>
      </c>
      <c r="H45" s="13" t="s">
        <v>1115</v>
      </c>
      <c r="I45" s="15">
        <v>360</v>
      </c>
      <c r="J45" s="13" t="s">
        <v>22</v>
      </c>
      <c r="K45" s="13" t="s">
        <v>23</v>
      </c>
      <c r="L45" s="15">
        <v>859</v>
      </c>
      <c r="M45" s="13" t="s">
        <v>45</v>
      </c>
      <c r="N45" s="14">
        <v>46296.705324074079</v>
      </c>
      <c r="O45" s="15">
        <v>360</v>
      </c>
      <c r="P45" s="13" t="s">
        <v>25</v>
      </c>
      <c r="Q45" s="15">
        <v>190</v>
      </c>
      <c r="R45" s="3" t="str">
        <f>IF(OR(G45="12R",G45="12L"),_xlfn.XLOOKUP(C45,Tabla42[ADEP],Tabla42[SID 12R],""),IF(OR(G45="30L",G45="30R"),_xlfn.XLOOKUP(C45,Tabla42[ADEP],Tabla42[SID 30L],""),""))</f>
        <v>UDGUV</v>
      </c>
      <c r="S45" s="3">
        <f t="shared" si="0"/>
        <v>15</v>
      </c>
      <c r="T45" s="3" t="str">
        <f>_xlfn.XLOOKUP(C45,Tabla42[ADEP],Tabla42[Sector],"")</f>
        <v>Sector 2</v>
      </c>
    </row>
    <row r="46" spans="1:20" x14ac:dyDescent="0.2">
      <c r="A46" s="13" t="s">
        <v>139</v>
      </c>
      <c r="B46" s="13" t="s">
        <v>18</v>
      </c>
      <c r="C46" s="13" t="s">
        <v>49</v>
      </c>
      <c r="D46" s="13" t="s">
        <v>33</v>
      </c>
      <c r="E46" s="13" t="s">
        <v>472</v>
      </c>
      <c r="F46" s="14">
        <v>46296.663518518515</v>
      </c>
      <c r="G46" s="13" t="s">
        <v>21</v>
      </c>
      <c r="H46" s="13" t="s">
        <v>1116</v>
      </c>
      <c r="I46" s="15">
        <v>360</v>
      </c>
      <c r="J46" s="13" t="s">
        <v>22</v>
      </c>
      <c r="K46" s="13" t="s">
        <v>141</v>
      </c>
      <c r="L46" s="15">
        <v>858</v>
      </c>
      <c r="M46" s="13" t="s">
        <v>45</v>
      </c>
      <c r="N46" s="14">
        <v>46296.707025462965</v>
      </c>
      <c r="O46" s="15">
        <v>360</v>
      </c>
      <c r="P46" s="13" t="s">
        <v>25</v>
      </c>
      <c r="Q46" s="15">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3" t="s">
        <v>362</v>
      </c>
      <c r="B47" s="13" t="s">
        <v>18</v>
      </c>
      <c r="C47" s="13" t="s">
        <v>27</v>
      </c>
      <c r="D47" s="13" t="s">
        <v>28</v>
      </c>
      <c r="E47" s="13" t="s">
        <v>1117</v>
      </c>
      <c r="F47" s="14">
        <v>46296.664490740739</v>
      </c>
      <c r="G47" s="13" t="s">
        <v>21</v>
      </c>
      <c r="H47" s="13" t="s">
        <v>1118</v>
      </c>
      <c r="I47" s="15">
        <v>350</v>
      </c>
      <c r="J47" s="13" t="s">
        <v>22</v>
      </c>
      <c r="K47" s="13" t="s">
        <v>23</v>
      </c>
      <c r="L47" s="15">
        <v>369</v>
      </c>
      <c r="M47" s="13" t="s">
        <v>30</v>
      </c>
      <c r="N47" s="14">
        <v>46296.685428240744</v>
      </c>
      <c r="O47" s="15">
        <v>350</v>
      </c>
      <c r="P47" s="13" t="s">
        <v>25</v>
      </c>
      <c r="Q47" s="15">
        <v>40</v>
      </c>
      <c r="R47" s="3" t="str">
        <f>IF(OR(G47="12R",G47="12L"),_xlfn.XLOOKUP(C47,Tabla42[ADEP],Tabla42[SID 12R],""),IF(OR(G47="30L",G47="30R"),_xlfn.XLOOKUP(C47,Tabla42[ADEP],Tabla42[SID 30L],""),""))</f>
        <v>OMSUK</v>
      </c>
      <c r="S47" s="3">
        <f t="shared" si="0"/>
        <v>15</v>
      </c>
      <c r="T47" s="3" t="str">
        <f>_xlfn.XLOOKUP(C47,Tabla42[ADEP],Tabla42[Sector],"")</f>
        <v>Sector 3</v>
      </c>
    </row>
    <row r="48" spans="1:20" x14ac:dyDescent="0.2">
      <c r="A48" s="13" t="s">
        <v>364</v>
      </c>
      <c r="B48" s="13" t="s">
        <v>18</v>
      </c>
      <c r="C48" s="13" t="s">
        <v>27</v>
      </c>
      <c r="D48" s="13" t="s">
        <v>28</v>
      </c>
      <c r="E48" s="13" t="s">
        <v>1026</v>
      </c>
      <c r="F48" s="14">
        <v>46296.666400462964</v>
      </c>
      <c r="G48" s="13" t="s">
        <v>21</v>
      </c>
      <c r="H48" s="13" t="s">
        <v>1119</v>
      </c>
      <c r="I48" s="15">
        <v>370</v>
      </c>
      <c r="J48" s="13" t="s">
        <v>22</v>
      </c>
      <c r="K48" s="13" t="s">
        <v>23</v>
      </c>
      <c r="L48" s="15">
        <v>368</v>
      </c>
      <c r="M48" s="13" t="s">
        <v>30</v>
      </c>
      <c r="N48" s="14">
        <v>46296.687291666662</v>
      </c>
      <c r="O48" s="15">
        <v>370</v>
      </c>
      <c r="P48" s="13" t="s">
        <v>25</v>
      </c>
      <c r="Q48" s="15">
        <v>40</v>
      </c>
      <c r="R48" s="3" t="str">
        <f>IF(OR(G48="12R",G48="12L"),_xlfn.XLOOKUP(C48,Tabla42[ADEP],Tabla42[SID 12R],""),IF(OR(G48="30L",G48="30R"),_xlfn.XLOOKUP(C48,Tabla42[ADEP],Tabla42[SID 30L],""),""))</f>
        <v>OMSUK</v>
      </c>
      <c r="S48" s="3">
        <f t="shared" si="0"/>
        <v>15</v>
      </c>
      <c r="T48" s="3" t="str">
        <f>_xlfn.XLOOKUP(C48,Tabla42[ADEP],Tabla42[Sector],"")</f>
        <v>Sector 3</v>
      </c>
    </row>
    <row r="49" spans="1:20" x14ac:dyDescent="0.2">
      <c r="A49" s="13" t="s">
        <v>208</v>
      </c>
      <c r="B49" s="13" t="s">
        <v>18</v>
      </c>
      <c r="C49" s="13" t="s">
        <v>209</v>
      </c>
      <c r="D49" s="13" t="s">
        <v>28</v>
      </c>
      <c r="E49" s="13" t="s">
        <v>1120</v>
      </c>
      <c r="F49" s="14">
        <v>46296.667685185181</v>
      </c>
      <c r="G49" s="13" t="s">
        <v>21</v>
      </c>
      <c r="H49" s="13" t="s">
        <v>1121</v>
      </c>
      <c r="I49" s="15">
        <v>380</v>
      </c>
      <c r="J49" s="13" t="s">
        <v>22</v>
      </c>
      <c r="K49" s="13" t="s">
        <v>23</v>
      </c>
      <c r="L49" s="15">
        <v>541</v>
      </c>
      <c r="M49" s="13" t="s">
        <v>123</v>
      </c>
      <c r="N49" s="14">
        <v>46296.695289351846</v>
      </c>
      <c r="O49" s="15">
        <v>380</v>
      </c>
      <c r="P49" s="13" t="s">
        <v>25</v>
      </c>
      <c r="Q49" s="15">
        <v>40</v>
      </c>
      <c r="R49" s="3" t="str">
        <f>IF(OR(G49="12R",G49="12L"),_xlfn.XLOOKUP(C49,Tabla42[ADEP],Tabla42[SID 12R],""),IF(OR(G49="30L",G49="30R"),_xlfn.XLOOKUP(C49,Tabla42[ADEP],Tabla42[SID 30L],""),""))</f>
        <v>ENEBA</v>
      </c>
      <c r="S49" s="3">
        <f t="shared" si="0"/>
        <v>16</v>
      </c>
      <c r="T49" s="3" t="str">
        <f>_xlfn.XLOOKUP(C49,Tabla42[ADEP],Tabla42[Sector],"")</f>
        <v>Sector 3</v>
      </c>
    </row>
    <row r="50" spans="1:20" x14ac:dyDescent="0.2">
      <c r="A50" s="13" t="s">
        <v>429</v>
      </c>
      <c r="B50" s="13" t="s">
        <v>18</v>
      </c>
      <c r="C50" s="13" t="s">
        <v>121</v>
      </c>
      <c r="D50" s="13" t="s">
        <v>122</v>
      </c>
      <c r="E50" s="13" t="s">
        <v>1059</v>
      </c>
      <c r="F50" s="14">
        <v>46296.67633101852</v>
      </c>
      <c r="G50" s="13" t="s">
        <v>21</v>
      </c>
      <c r="H50" s="13" t="s">
        <v>1122</v>
      </c>
      <c r="I50" s="15">
        <v>320</v>
      </c>
      <c r="J50" s="13" t="s">
        <v>22</v>
      </c>
      <c r="K50" s="13" t="s">
        <v>23</v>
      </c>
      <c r="L50" s="15">
        <v>850</v>
      </c>
      <c r="M50" s="13" t="s">
        <v>1123</v>
      </c>
      <c r="N50" s="14">
        <v>46296.720949074079</v>
      </c>
      <c r="O50" s="15">
        <v>340</v>
      </c>
      <c r="P50" s="13" t="s">
        <v>25</v>
      </c>
      <c r="Q50" s="15">
        <v>190</v>
      </c>
      <c r="R50" s="3" t="str">
        <f>IF(OR(G50="12R",G50="12L"),_xlfn.XLOOKUP(C50,Tabla42[ADEP],Tabla42[SID 12R],""),IF(OR(G50="30L",G50="30R"),_xlfn.XLOOKUP(C50,Tabla42[ADEP],Tabla42[SID 30L],""),""))</f>
        <v>ENEBA</v>
      </c>
      <c r="S50" s="3">
        <f t="shared" si="0"/>
        <v>16</v>
      </c>
      <c r="T50" s="3" t="str">
        <f>_xlfn.XLOOKUP(C50,Tabla42[ADEP],Tabla42[Sector],"")</f>
        <v>Sector 3</v>
      </c>
    </row>
    <row r="51" spans="1:20" x14ac:dyDescent="0.2">
      <c r="A51" s="13" t="s">
        <v>161</v>
      </c>
      <c r="B51" s="13" t="s">
        <v>18</v>
      </c>
      <c r="C51" s="13" t="s">
        <v>27</v>
      </c>
      <c r="D51" s="13" t="s">
        <v>60</v>
      </c>
      <c r="E51" s="13" t="s">
        <v>638</v>
      </c>
      <c r="F51" s="14">
        <v>46296.677835648152</v>
      </c>
      <c r="G51" s="13" t="s">
        <v>21</v>
      </c>
      <c r="H51" s="13" t="s">
        <v>1124</v>
      </c>
      <c r="I51" s="15">
        <v>330</v>
      </c>
      <c r="J51" s="13" t="s">
        <v>22</v>
      </c>
      <c r="K51" s="13" t="s">
        <v>23</v>
      </c>
      <c r="L51" s="15">
        <v>355</v>
      </c>
      <c r="M51" s="13" t="s">
        <v>30</v>
      </c>
      <c r="N51" s="14">
        <v>46296.698842592596</v>
      </c>
      <c r="O51" s="15">
        <v>326</v>
      </c>
      <c r="P51" s="13" t="s">
        <v>25</v>
      </c>
      <c r="Q51" s="15">
        <v>40</v>
      </c>
      <c r="R51" s="3" t="str">
        <f>IF(OR(G51="12R",G51="12L"),_xlfn.XLOOKUP(C51,Tabla42[ADEP],Tabla42[SID 12R],""),IF(OR(G51="30L",G51="30R"),_xlfn.XLOOKUP(C51,Tabla42[ADEP],Tabla42[SID 30L],""),""))</f>
        <v>OMSUK</v>
      </c>
      <c r="S51" s="3">
        <f t="shared" si="0"/>
        <v>16</v>
      </c>
      <c r="T51" s="3" t="str">
        <f>_xlfn.XLOOKUP(C51,Tabla42[ADEP],Tabla42[Sector],"")</f>
        <v>Sector 3</v>
      </c>
    </row>
    <row r="52" spans="1:20" x14ac:dyDescent="0.2">
      <c r="A52" s="13" t="s">
        <v>136</v>
      </c>
      <c r="B52" s="13" t="s">
        <v>18</v>
      </c>
      <c r="C52" s="13" t="s">
        <v>137</v>
      </c>
      <c r="D52" s="13" t="s">
        <v>63</v>
      </c>
      <c r="E52" s="13" t="s">
        <v>66</v>
      </c>
      <c r="F52" s="14">
        <v>46296.679189814815</v>
      </c>
      <c r="G52" s="13" t="s">
        <v>21</v>
      </c>
      <c r="H52" s="13" t="s">
        <v>1125</v>
      </c>
      <c r="I52" s="15">
        <v>330</v>
      </c>
      <c r="J52" s="13" t="s">
        <v>22</v>
      </c>
      <c r="K52" s="13" t="s">
        <v>23</v>
      </c>
      <c r="L52" s="15">
        <v>142</v>
      </c>
      <c r="M52" s="13" t="s">
        <v>39</v>
      </c>
      <c r="N52" s="14">
        <v>46296.688773148147</v>
      </c>
      <c r="O52" s="15">
        <v>258</v>
      </c>
      <c r="P52" s="13" t="s">
        <v>25</v>
      </c>
      <c r="Q52" s="15">
        <v>190</v>
      </c>
      <c r="R52" s="3" t="str">
        <f>IF(OR(G52="12R",G52="12L"),_xlfn.XLOOKUP(C52,Tabla42[ADEP],Tabla42[SID 12R],""),IF(OR(G52="30L",G52="30R"),_xlfn.XLOOKUP(C52,Tabla42[ADEP],Tabla42[SID 30L],""),""))</f>
        <v>NUDAL</v>
      </c>
      <c r="S52" s="3">
        <f t="shared" si="0"/>
        <v>16</v>
      </c>
      <c r="T52" s="3" t="str">
        <f>_xlfn.XLOOKUP(C52,Tabla42[ADEP],Tabla42[Sector],"")</f>
        <v>Sector 3</v>
      </c>
    </row>
    <row r="53" spans="1:20" x14ac:dyDescent="0.2">
      <c r="A53" s="13" t="s">
        <v>152</v>
      </c>
      <c r="B53" s="13" t="s">
        <v>18</v>
      </c>
      <c r="C53" s="13" t="s">
        <v>153</v>
      </c>
      <c r="D53" s="13" t="s">
        <v>33</v>
      </c>
      <c r="E53" s="13" t="s">
        <v>368</v>
      </c>
      <c r="F53" s="14">
        <v>46296.680821759262</v>
      </c>
      <c r="G53" s="13" t="s">
        <v>21</v>
      </c>
      <c r="H53" s="13" t="s">
        <v>1126</v>
      </c>
      <c r="I53" s="15">
        <v>380</v>
      </c>
      <c r="J53" s="13" t="s">
        <v>22</v>
      </c>
      <c r="K53" s="13" t="s">
        <v>23</v>
      </c>
      <c r="L53" s="15">
        <v>872</v>
      </c>
      <c r="M53" s="13" t="s">
        <v>35</v>
      </c>
      <c r="N53" s="14">
        <v>46296.724976851852</v>
      </c>
      <c r="O53" s="15">
        <v>380</v>
      </c>
      <c r="P53" s="13" t="s">
        <v>25</v>
      </c>
      <c r="Q53" s="15">
        <v>190</v>
      </c>
      <c r="R53" s="3" t="str">
        <f>IF(OR(G53="12R",G53="12L"),_xlfn.XLOOKUP(C53,Tabla42[ADEP],Tabla42[SID 12R],""),IF(OR(G53="30L",G53="30R"),_xlfn.XLOOKUP(C53,Tabla42[ADEP],Tabla42[SID 30L],""),""))</f>
        <v>UDGUV</v>
      </c>
      <c r="S53" s="3">
        <f t="shared" si="0"/>
        <v>16</v>
      </c>
      <c r="T53" s="3" t="str">
        <f>_xlfn.XLOOKUP(C53,Tabla42[ADEP],Tabla42[Sector],"")</f>
        <v>Sector 2</v>
      </c>
    </row>
    <row r="54" spans="1:20" x14ac:dyDescent="0.2">
      <c r="A54" s="13" t="s">
        <v>148</v>
      </c>
      <c r="B54" s="13" t="s">
        <v>18</v>
      </c>
      <c r="C54" s="13" t="s">
        <v>42</v>
      </c>
      <c r="D54" s="13" t="s">
        <v>20</v>
      </c>
      <c r="E54" s="13" t="s">
        <v>667</v>
      </c>
      <c r="F54" s="14">
        <v>46296.685717592598</v>
      </c>
      <c r="G54" s="13" t="s">
        <v>21</v>
      </c>
      <c r="H54" s="13" t="s">
        <v>1127</v>
      </c>
      <c r="I54" s="15">
        <v>360</v>
      </c>
      <c r="J54" s="13" t="s">
        <v>22</v>
      </c>
      <c r="K54" s="13" t="s">
        <v>23</v>
      </c>
      <c r="L54" s="15">
        <v>858</v>
      </c>
      <c r="M54" s="13" t="s">
        <v>45</v>
      </c>
      <c r="N54" s="14">
        <v>46296.730428240742</v>
      </c>
      <c r="O54" s="15">
        <v>360</v>
      </c>
      <c r="P54" s="13" t="s">
        <v>25</v>
      </c>
      <c r="Q54" s="15">
        <v>190</v>
      </c>
      <c r="R54" s="3" t="str">
        <f>IF(OR(G54="12R",G54="12L"),_xlfn.XLOOKUP(C54,Tabla42[ADEP],Tabla42[SID 12R],""),IF(OR(G54="30L",G54="30R"),_xlfn.XLOOKUP(C54,Tabla42[ADEP],Tabla42[SID 30L],""),""))</f>
        <v>UDGUV</v>
      </c>
      <c r="S54" s="3">
        <f t="shared" si="0"/>
        <v>16</v>
      </c>
      <c r="T54" s="3" t="str">
        <f>_xlfn.XLOOKUP(C54,Tabla42[ADEP],Tabla42[Sector],"")</f>
        <v>Sector 2</v>
      </c>
    </row>
    <row r="55" spans="1:20" x14ac:dyDescent="0.2">
      <c r="A55" s="13" t="s">
        <v>163</v>
      </c>
      <c r="B55" s="13" t="s">
        <v>18</v>
      </c>
      <c r="C55" s="13" t="s">
        <v>164</v>
      </c>
      <c r="D55" s="13" t="s">
        <v>43</v>
      </c>
      <c r="E55" s="13" t="s">
        <v>788</v>
      </c>
      <c r="F55" s="14">
        <v>46296.686747685184</v>
      </c>
      <c r="G55" s="13" t="s">
        <v>21</v>
      </c>
      <c r="H55" s="13" t="s">
        <v>1128</v>
      </c>
      <c r="I55" s="15">
        <v>330</v>
      </c>
      <c r="J55" s="13" t="s">
        <v>22</v>
      </c>
      <c r="K55" s="13" t="s">
        <v>23</v>
      </c>
      <c r="L55" s="15">
        <v>358</v>
      </c>
      <c r="M55" s="13" t="s">
        <v>30</v>
      </c>
      <c r="N55" s="14">
        <v>46296.705995370372</v>
      </c>
      <c r="O55" s="15">
        <v>330</v>
      </c>
      <c r="P55" s="13" t="s">
        <v>25</v>
      </c>
      <c r="Q55" s="15">
        <v>40</v>
      </c>
      <c r="R55" s="3" t="str">
        <f>IF(OR(G55="12R",G55="12L"),_xlfn.XLOOKUP(C55,Tabla42[ADEP],Tabla42[SID 12R],""),IF(OR(G55="30L",G55="30R"),_xlfn.XLOOKUP(C55,Tabla42[ADEP],Tabla42[SID 30L],""),""))</f>
        <v>OMSUK</v>
      </c>
      <c r="S55" s="3">
        <f t="shared" si="0"/>
        <v>16</v>
      </c>
      <c r="T55" s="3" t="str">
        <f>_xlfn.XLOOKUP(C55,Tabla42[ADEP],Tabla42[Sector],"")</f>
        <v>Sector 3</v>
      </c>
    </row>
    <row r="56" spans="1:20" x14ac:dyDescent="0.2">
      <c r="A56" s="13" t="s">
        <v>156</v>
      </c>
      <c r="B56" s="13" t="s">
        <v>18</v>
      </c>
      <c r="C56" s="13" t="s">
        <v>109</v>
      </c>
      <c r="D56" s="13" t="s">
        <v>122</v>
      </c>
      <c r="E56" s="13" t="s">
        <v>717</v>
      </c>
      <c r="F56" s="14">
        <v>46296.688055555554</v>
      </c>
      <c r="G56" s="13" t="s">
        <v>21</v>
      </c>
      <c r="H56" s="13" t="s">
        <v>1129</v>
      </c>
      <c r="I56" s="15">
        <v>360</v>
      </c>
      <c r="J56" s="13" t="s">
        <v>22</v>
      </c>
      <c r="K56" s="13" t="s">
        <v>23</v>
      </c>
      <c r="L56" s="15">
        <v>263</v>
      </c>
      <c r="M56" s="13" t="s">
        <v>1130</v>
      </c>
      <c r="N56" s="14">
        <v>46296.704467592594</v>
      </c>
      <c r="O56" s="15">
        <v>370</v>
      </c>
      <c r="P56" s="13" t="s">
        <v>25</v>
      </c>
      <c r="Q56" s="15">
        <v>190</v>
      </c>
      <c r="R56" s="3" t="str">
        <f>IF(OR(G56="12R",G56="12L"),_xlfn.XLOOKUP(C56,Tabla42[ADEP],Tabla42[SID 12R],""),IF(OR(G56="30L",G56="30R"),_xlfn.XLOOKUP(C56,Tabla42[ADEP],Tabla42[SID 30L],""),""))</f>
        <v>TAKUX</v>
      </c>
      <c r="S56" s="3">
        <f t="shared" si="0"/>
        <v>16</v>
      </c>
      <c r="T56" s="3" t="str">
        <f>_xlfn.XLOOKUP(C56,Tabla42[ADEP],Tabla42[Sector],"")</f>
        <v>Sector 7</v>
      </c>
    </row>
    <row r="57" spans="1:20" x14ac:dyDescent="0.2">
      <c r="A57" s="13" t="s">
        <v>159</v>
      </c>
      <c r="B57" s="13" t="s">
        <v>18</v>
      </c>
      <c r="C57" s="13" t="s">
        <v>160</v>
      </c>
      <c r="D57" s="13" t="s">
        <v>33</v>
      </c>
      <c r="E57" s="13" t="s">
        <v>91</v>
      </c>
      <c r="F57" s="14">
        <v>46296.689189814817</v>
      </c>
      <c r="G57" s="13" t="s">
        <v>21</v>
      </c>
      <c r="H57" s="13" t="s">
        <v>1131</v>
      </c>
      <c r="I57" s="15">
        <v>380</v>
      </c>
      <c r="J57" s="13" t="s">
        <v>22</v>
      </c>
      <c r="K57" s="13" t="s">
        <v>23</v>
      </c>
      <c r="L57" s="15">
        <v>338</v>
      </c>
      <c r="M57" s="13" t="s">
        <v>1132</v>
      </c>
      <c r="N57" s="14">
        <v>46296.710428240738</v>
      </c>
      <c r="O57" s="15">
        <v>380</v>
      </c>
      <c r="P57" s="13" t="s">
        <v>25</v>
      </c>
      <c r="Q57" s="15">
        <v>190</v>
      </c>
      <c r="R57" s="3" t="str">
        <f>IF(OR(G57="12R",G57="12L"),_xlfn.XLOOKUP(C57,Tabla42[ADEP],Tabla42[SID 12R],""),IF(OR(G57="30L",G57="30R"),_xlfn.XLOOKUP(C57,Tabla42[ADEP],Tabla42[SID 30L],""),""))</f>
        <v>CZM</v>
      </c>
      <c r="S57" s="3">
        <f t="shared" si="0"/>
        <v>16</v>
      </c>
      <c r="T57" s="3" t="str">
        <f>_xlfn.XLOOKUP(C57,Tabla42[ADEP],Tabla42[Sector],"")</f>
        <v>Sector 7</v>
      </c>
    </row>
    <row r="58" spans="1:20" x14ac:dyDescent="0.2">
      <c r="A58" s="13" t="s">
        <v>143</v>
      </c>
      <c r="B58" s="13" t="s">
        <v>18</v>
      </c>
      <c r="C58" s="13" t="s">
        <v>32</v>
      </c>
      <c r="D58" s="13" t="s">
        <v>53</v>
      </c>
      <c r="E58" s="13" t="s">
        <v>277</v>
      </c>
      <c r="F58" s="14">
        <v>46296.691921296297</v>
      </c>
      <c r="G58" s="13" t="s">
        <v>21</v>
      </c>
      <c r="H58" s="13" t="s">
        <v>1133</v>
      </c>
      <c r="I58" s="15">
        <v>360</v>
      </c>
      <c r="J58" s="13" t="s">
        <v>22</v>
      </c>
      <c r="K58" s="13" t="s">
        <v>23</v>
      </c>
      <c r="L58" s="15">
        <v>874</v>
      </c>
      <c r="M58" s="13" t="s">
        <v>35</v>
      </c>
      <c r="N58" s="14">
        <v>46296.736620370371</v>
      </c>
      <c r="O58" s="15">
        <v>360</v>
      </c>
      <c r="P58" s="13" t="s">
        <v>25</v>
      </c>
      <c r="Q58" s="15">
        <v>190</v>
      </c>
      <c r="R58" s="3" t="str">
        <f>IF(OR(G58="12R",G58="12L"),_xlfn.XLOOKUP(C58,Tabla42[ADEP],Tabla42[SID 12R],""),IF(OR(G58="30L",G58="30R"),_xlfn.XLOOKUP(C58,Tabla42[ADEP],Tabla42[SID 30L],""),""))</f>
        <v>UDGUV</v>
      </c>
      <c r="S58" s="3">
        <f t="shared" si="0"/>
        <v>16</v>
      </c>
      <c r="T58" s="3" t="str">
        <f>_xlfn.XLOOKUP(C58,Tabla42[ADEP],Tabla42[Sector],"")</f>
        <v>Sector 2</v>
      </c>
    </row>
    <row r="59" spans="1:20" x14ac:dyDescent="0.2">
      <c r="A59" s="13" t="s">
        <v>709</v>
      </c>
      <c r="B59" s="13" t="s">
        <v>18</v>
      </c>
      <c r="C59" s="13" t="s">
        <v>49</v>
      </c>
      <c r="D59" s="13" t="s">
        <v>124</v>
      </c>
      <c r="E59" s="13"/>
      <c r="F59" s="14">
        <v>46296.694479166668</v>
      </c>
      <c r="G59" s="13" t="s">
        <v>21</v>
      </c>
      <c r="H59" s="13" t="s">
        <v>1134</v>
      </c>
      <c r="I59" s="15">
        <v>380</v>
      </c>
      <c r="J59" s="13" t="s">
        <v>22</v>
      </c>
      <c r="K59" s="13" t="s">
        <v>50</v>
      </c>
      <c r="L59" s="15">
        <v>858</v>
      </c>
      <c r="M59" s="13" t="s">
        <v>540</v>
      </c>
      <c r="N59" s="14">
        <v>46296.741412037038</v>
      </c>
      <c r="O59" s="15">
        <v>380</v>
      </c>
      <c r="P59" s="13" t="s">
        <v>25</v>
      </c>
      <c r="Q59" s="15">
        <v>30</v>
      </c>
      <c r="R59" s="3" t="str">
        <f>IF(OR(G59="12R",G59="12L"),_xlfn.XLOOKUP(C59,Tabla42[ADEP],Tabla42[SID 12R],""),IF(OR(G59="30L",G59="30R"),_xlfn.XLOOKUP(C59,Tabla42[ADEP],Tabla42[SID 30L],""),""))</f>
        <v>UDGUV</v>
      </c>
      <c r="S59" s="3">
        <f t="shared" si="0"/>
        <v>16</v>
      </c>
      <c r="T59" s="3" t="str">
        <f>_xlfn.XLOOKUP(C59,Tabla42[ADEP],Tabla42[Sector],"")</f>
        <v>Sector 2</v>
      </c>
    </row>
    <row r="60" spans="1:20" x14ac:dyDescent="0.2">
      <c r="A60" s="13" t="s">
        <v>175</v>
      </c>
      <c r="B60" s="13" t="s">
        <v>18</v>
      </c>
      <c r="C60" s="13" t="s">
        <v>52</v>
      </c>
      <c r="D60" s="13" t="s">
        <v>53</v>
      </c>
      <c r="E60" s="13" t="s">
        <v>956</v>
      </c>
      <c r="F60" s="14">
        <v>46296.695763888885</v>
      </c>
      <c r="G60" s="13" t="s">
        <v>21</v>
      </c>
      <c r="H60" s="13" t="s">
        <v>1135</v>
      </c>
      <c r="I60" s="15">
        <v>380</v>
      </c>
      <c r="J60" s="13" t="s">
        <v>22</v>
      </c>
      <c r="K60" s="13" t="s">
        <v>23</v>
      </c>
      <c r="L60" s="15">
        <v>251</v>
      </c>
      <c r="M60" s="13" t="s">
        <v>1136</v>
      </c>
      <c r="N60" s="14">
        <v>46296.711550925931</v>
      </c>
      <c r="O60" s="15">
        <v>390</v>
      </c>
      <c r="P60" s="13" t="s">
        <v>25</v>
      </c>
      <c r="Q60" s="15">
        <v>190</v>
      </c>
      <c r="R60" s="3" t="str">
        <f>IF(OR(G60="12R",G60="12L"),_xlfn.XLOOKUP(C60,Tabla42[ADEP],Tabla42[SID 12R],""),IF(OR(G60="30L",G60="30R"),_xlfn.XLOOKUP(C60,Tabla42[ADEP],Tabla42[SID 30L],""),""))</f>
        <v>CZM</v>
      </c>
      <c r="S60" s="3">
        <f t="shared" si="0"/>
        <v>16</v>
      </c>
      <c r="T60" s="3" t="str">
        <f>_xlfn.XLOOKUP(C60,Tabla42[ADEP],Tabla42[Sector],"")</f>
        <v>Sector 7</v>
      </c>
    </row>
    <row r="61" spans="1:20" x14ac:dyDescent="0.2">
      <c r="A61" s="13" t="s">
        <v>365</v>
      </c>
      <c r="B61" s="13" t="s">
        <v>18</v>
      </c>
      <c r="C61" s="13" t="s">
        <v>96</v>
      </c>
      <c r="D61" s="13" t="s">
        <v>33</v>
      </c>
      <c r="E61" s="13" t="s">
        <v>635</v>
      </c>
      <c r="F61" s="14">
        <v>46296.698414351849</v>
      </c>
      <c r="G61" s="13" t="s">
        <v>21</v>
      </c>
      <c r="H61" s="13" t="s">
        <v>1137</v>
      </c>
      <c r="I61" s="15">
        <v>360</v>
      </c>
      <c r="J61" s="13" t="s">
        <v>22</v>
      </c>
      <c r="K61" s="13" t="s">
        <v>141</v>
      </c>
      <c r="L61" s="15">
        <v>859</v>
      </c>
      <c r="M61" s="13" t="s">
        <v>45</v>
      </c>
      <c r="N61" s="14">
        <v>46296.742291666669</v>
      </c>
      <c r="O61" s="15">
        <v>360</v>
      </c>
      <c r="P61" s="13" t="s">
        <v>25</v>
      </c>
      <c r="Q61" s="15">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13" t="s">
        <v>232</v>
      </c>
      <c r="B62" s="13" t="s">
        <v>18</v>
      </c>
      <c r="C62" s="13" t="s">
        <v>233</v>
      </c>
      <c r="D62" s="13" t="s">
        <v>110</v>
      </c>
      <c r="E62" s="13" t="s">
        <v>234</v>
      </c>
      <c r="F62" s="14">
        <v>46296.699814814812</v>
      </c>
      <c r="G62" s="13" t="s">
        <v>21</v>
      </c>
      <c r="H62" s="13" t="s">
        <v>1138</v>
      </c>
      <c r="I62" s="15">
        <v>400</v>
      </c>
      <c r="J62" s="13" t="s">
        <v>22</v>
      </c>
      <c r="K62" s="13" t="s">
        <v>23</v>
      </c>
      <c r="L62" s="15">
        <v>533</v>
      </c>
      <c r="M62" s="13" t="s">
        <v>123</v>
      </c>
      <c r="N62" s="14">
        <v>46296.727500000001</v>
      </c>
      <c r="O62" s="15">
        <v>400</v>
      </c>
      <c r="P62" s="13" t="s">
        <v>25</v>
      </c>
      <c r="Q62" s="15">
        <v>40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13" t="s">
        <v>524</v>
      </c>
      <c r="B63" s="13" t="s">
        <v>18</v>
      </c>
      <c r="C63" s="13" t="s">
        <v>19</v>
      </c>
      <c r="D63" s="13" t="s">
        <v>20</v>
      </c>
      <c r="E63" s="13" t="s">
        <v>76</v>
      </c>
      <c r="F63" s="14">
        <v>46296.701574074075</v>
      </c>
      <c r="G63" s="13" t="s">
        <v>21</v>
      </c>
      <c r="H63" s="13" t="s">
        <v>1139</v>
      </c>
      <c r="I63" s="15">
        <v>360</v>
      </c>
      <c r="J63" s="13" t="s">
        <v>22</v>
      </c>
      <c r="K63" s="13" t="s">
        <v>141</v>
      </c>
      <c r="L63" s="15">
        <v>868</v>
      </c>
      <c r="M63" s="13" t="s">
        <v>167</v>
      </c>
      <c r="N63" s="14">
        <v>46296.745729166665</v>
      </c>
      <c r="O63" s="15">
        <v>360</v>
      </c>
      <c r="P63" s="13" t="s">
        <v>25</v>
      </c>
      <c r="Q63" s="15">
        <v>190</v>
      </c>
      <c r="R63" s="3" t="str">
        <f>IF(OR(G63="12R",G63="12L"),_xlfn.XLOOKUP(C63,Tabla42[ADEP],Tabla42[SID 12R],""),IF(OR(G63="30L",G63="30R"),_xlfn.XLOOKUP(C63,Tabla42[ADEP],Tabla42[SID 30L],""),""))</f>
        <v>UDGUV</v>
      </c>
      <c r="S63" s="3">
        <f t="shared" si="0"/>
        <v>16</v>
      </c>
      <c r="T63" s="3" t="str">
        <f>_xlfn.XLOOKUP(C63,Tabla42[ADEP],Tabla42[Sector],"")</f>
        <v>Sector 2</v>
      </c>
    </row>
    <row r="64" spans="1:20" x14ac:dyDescent="0.2">
      <c r="A64" s="13" t="s">
        <v>523</v>
      </c>
      <c r="B64" s="13" t="s">
        <v>18</v>
      </c>
      <c r="C64" s="13" t="s">
        <v>109</v>
      </c>
      <c r="D64" s="13" t="s">
        <v>122</v>
      </c>
      <c r="E64" s="13" t="s">
        <v>755</v>
      </c>
      <c r="F64" s="14">
        <v>46296.703888888893</v>
      </c>
      <c r="G64" s="13" t="s">
        <v>21</v>
      </c>
      <c r="H64" s="13" t="s">
        <v>1140</v>
      </c>
      <c r="I64" s="15">
        <v>360</v>
      </c>
      <c r="J64" s="13" t="s">
        <v>22</v>
      </c>
      <c r="K64" s="13" t="s">
        <v>23</v>
      </c>
      <c r="L64" s="15">
        <v>190</v>
      </c>
      <c r="M64" s="13" t="s">
        <v>620</v>
      </c>
      <c r="N64" s="14">
        <v>46296.716469907406</v>
      </c>
      <c r="O64" s="15">
        <v>340</v>
      </c>
      <c r="P64" s="13" t="s">
        <v>25</v>
      </c>
      <c r="Q64" s="15">
        <v>190</v>
      </c>
      <c r="R64" s="3" t="str">
        <f>IF(OR(G64="12R",G64="12L"),_xlfn.XLOOKUP(C64,Tabla42[ADEP],Tabla42[SID 12R],""),IF(OR(G64="30L",G64="30R"),_xlfn.XLOOKUP(C64,Tabla42[ADEP],Tabla42[SID 30L],""),""))</f>
        <v>TAKUX</v>
      </c>
      <c r="S64" s="3">
        <f t="shared" si="0"/>
        <v>16</v>
      </c>
      <c r="T64" s="3" t="str">
        <f>_xlfn.XLOOKUP(C64,Tabla42[ADEP],Tabla42[Sector],"")</f>
        <v>Sector 7</v>
      </c>
    </row>
    <row r="65" spans="1:20" x14ac:dyDescent="0.2">
      <c r="A65" s="13" t="s">
        <v>714</v>
      </c>
      <c r="B65" s="13" t="s">
        <v>18</v>
      </c>
      <c r="C65" s="13" t="s">
        <v>197</v>
      </c>
      <c r="D65" s="13" t="s">
        <v>124</v>
      </c>
      <c r="E65" s="13"/>
      <c r="F65" s="14">
        <v>46296.706817129627</v>
      </c>
      <c r="G65" s="13" t="s">
        <v>21</v>
      </c>
      <c r="H65" s="13" t="s">
        <v>1141</v>
      </c>
      <c r="I65" s="15">
        <v>380</v>
      </c>
      <c r="J65" s="13" t="s">
        <v>22</v>
      </c>
      <c r="K65" s="13" t="s">
        <v>50</v>
      </c>
      <c r="L65" s="15">
        <v>869</v>
      </c>
      <c r="M65" s="13" t="s">
        <v>35</v>
      </c>
      <c r="N65" s="14">
        <v>46296.753148148149</v>
      </c>
      <c r="O65" s="15">
        <v>380</v>
      </c>
      <c r="P65" s="13" t="s">
        <v>25</v>
      </c>
      <c r="Q65" s="15">
        <v>30</v>
      </c>
      <c r="R65" s="3" t="str">
        <f>IF(OR(G65="12R",G65="12L"),_xlfn.XLOOKUP(C65,Tabla42[ADEP],Tabla42[SID 12R],""),IF(OR(G65="30L",G65="30R"),_xlfn.XLOOKUP(C65,Tabla42[ADEP],Tabla42[SID 30L],""),""))</f>
        <v>UDGUV</v>
      </c>
      <c r="S65" s="3">
        <f t="shared" si="0"/>
        <v>16</v>
      </c>
      <c r="T65" s="3" t="str">
        <f>_xlfn.XLOOKUP(C65,Tabla42[ADEP],Tabla42[Sector],"")</f>
        <v>Sector 2</v>
      </c>
    </row>
    <row r="66" spans="1:20" x14ac:dyDescent="0.2">
      <c r="A66" s="13" t="s">
        <v>180</v>
      </c>
      <c r="B66" s="13" t="s">
        <v>18</v>
      </c>
      <c r="C66" s="13" t="s">
        <v>133</v>
      </c>
      <c r="D66" s="13" t="s">
        <v>60</v>
      </c>
      <c r="E66" s="13" t="s">
        <v>162</v>
      </c>
      <c r="F66" s="14">
        <v>46296.711516203708</v>
      </c>
      <c r="G66" s="13" t="s">
        <v>21</v>
      </c>
      <c r="H66" s="13" t="s">
        <v>1142</v>
      </c>
      <c r="I66" s="15">
        <v>370</v>
      </c>
      <c r="J66" s="13" t="s">
        <v>22</v>
      </c>
      <c r="K66" s="13" t="s">
        <v>23</v>
      </c>
      <c r="L66" s="15">
        <v>360</v>
      </c>
      <c r="M66" s="13" t="s">
        <v>30</v>
      </c>
      <c r="N66" s="14">
        <v>46296.733067129629</v>
      </c>
      <c r="O66" s="15">
        <v>350</v>
      </c>
      <c r="P66" s="13" t="s">
        <v>25</v>
      </c>
      <c r="Q66" s="15">
        <v>40</v>
      </c>
      <c r="R66" s="3" t="str">
        <f>IF(OR(G66="12R",G66="12L"),_xlfn.XLOOKUP(C66,Tabla42[ADEP],Tabla42[SID 12R],""),IF(OR(G66="30L",G66="30R"),_xlfn.XLOOKUP(C66,Tabla42[ADEP],Tabla42[SID 30L],""),""))</f>
        <v>OMSUK</v>
      </c>
      <c r="S66" s="3">
        <f t="shared" si="0"/>
        <v>17</v>
      </c>
      <c r="T66" s="3" t="str">
        <f>_xlfn.XLOOKUP(C66,Tabla42[ADEP],Tabla42[Sector],"")</f>
        <v>Sector 3</v>
      </c>
    </row>
    <row r="67" spans="1:20" x14ac:dyDescent="0.2">
      <c r="A67" s="13" t="s">
        <v>177</v>
      </c>
      <c r="B67" s="13" t="s">
        <v>18</v>
      </c>
      <c r="C67" s="13" t="s">
        <v>109</v>
      </c>
      <c r="D67" s="13" t="s">
        <v>43</v>
      </c>
      <c r="E67" s="13" t="s">
        <v>1143</v>
      </c>
      <c r="F67" s="14">
        <v>46296.713206018518</v>
      </c>
      <c r="G67" s="13" t="s">
        <v>21</v>
      </c>
      <c r="H67" s="13" t="s">
        <v>1144</v>
      </c>
      <c r="I67" s="15">
        <v>350</v>
      </c>
      <c r="J67" s="13" t="s">
        <v>22</v>
      </c>
      <c r="K67" s="13" t="s">
        <v>23</v>
      </c>
      <c r="L67" s="15">
        <v>188</v>
      </c>
      <c r="M67" s="13" t="s">
        <v>620</v>
      </c>
      <c r="N67" s="14">
        <v>46296.725798611107</v>
      </c>
      <c r="O67" s="15">
        <v>271</v>
      </c>
      <c r="P67" s="13" t="s">
        <v>25</v>
      </c>
      <c r="Q67" s="15">
        <v>190</v>
      </c>
      <c r="R67" s="3" t="str">
        <f>IF(OR(G67="12R",G67="12L"),_xlfn.XLOOKUP(C67,Tabla42[ADEP],Tabla42[SID 12R],""),IF(OR(G67="30L",G67="30R"),_xlfn.XLOOKUP(C67,Tabla42[ADEP],Tabla42[SID 30L],""),""))</f>
        <v>TAKUX</v>
      </c>
      <c r="S67" s="3">
        <f t="shared" ref="S67:S130" si="1">HOUR(F67)</f>
        <v>17</v>
      </c>
      <c r="T67" s="3" t="str">
        <f>_xlfn.XLOOKUP(C67,Tabla42[ADEP],Tabla42[Sector],"")</f>
        <v>Sector 7</v>
      </c>
    </row>
    <row r="68" spans="1:20" x14ac:dyDescent="0.2">
      <c r="A68" s="13" t="s">
        <v>373</v>
      </c>
      <c r="B68" s="13" t="s">
        <v>18</v>
      </c>
      <c r="C68" s="13" t="s">
        <v>32</v>
      </c>
      <c r="D68" s="13" t="s">
        <v>20</v>
      </c>
      <c r="E68" s="13" t="s">
        <v>712</v>
      </c>
      <c r="F68" s="14">
        <v>46296.714513888888</v>
      </c>
      <c r="G68" s="13" t="s">
        <v>21</v>
      </c>
      <c r="H68" s="13" t="s">
        <v>1145</v>
      </c>
      <c r="I68" s="15">
        <v>360</v>
      </c>
      <c r="J68" s="13" t="s">
        <v>22</v>
      </c>
      <c r="K68" s="13" t="s">
        <v>141</v>
      </c>
      <c r="L68" s="15">
        <v>867</v>
      </c>
      <c r="M68" s="13" t="s">
        <v>35</v>
      </c>
      <c r="N68" s="14">
        <v>46296.75916666667</v>
      </c>
      <c r="O68" s="15">
        <v>360</v>
      </c>
      <c r="P68" s="13" t="s">
        <v>25</v>
      </c>
      <c r="Q68" s="15">
        <v>190</v>
      </c>
      <c r="R68" s="3" t="str">
        <f>IF(OR(G68="12R",G68="12L"),_xlfn.XLOOKUP(C68,Tabla42[ADEP],Tabla42[SID 12R],""),IF(OR(G68="30L",G68="30R"),_xlfn.XLOOKUP(C68,Tabla42[ADEP],Tabla42[SID 30L],""),""))</f>
        <v>UDGUV</v>
      </c>
      <c r="S68" s="3">
        <f t="shared" si="1"/>
        <v>17</v>
      </c>
      <c r="T68" s="3" t="str">
        <f>_xlfn.XLOOKUP(C68,Tabla42[ADEP],Tabla42[Sector],"")</f>
        <v>Sector 2</v>
      </c>
    </row>
    <row r="69" spans="1:20" x14ac:dyDescent="0.2">
      <c r="A69" s="13" t="s">
        <v>183</v>
      </c>
      <c r="B69" s="13" t="s">
        <v>18</v>
      </c>
      <c r="C69" s="13" t="s">
        <v>184</v>
      </c>
      <c r="D69" s="13" t="s">
        <v>60</v>
      </c>
      <c r="E69" s="13" t="s">
        <v>1146</v>
      </c>
      <c r="F69" s="14">
        <v>46296.716527777782</v>
      </c>
      <c r="G69" s="13" t="s">
        <v>21</v>
      </c>
      <c r="H69" s="13" t="s">
        <v>1147</v>
      </c>
      <c r="I69" s="15">
        <v>350</v>
      </c>
      <c r="J69" s="13" t="s">
        <v>22</v>
      </c>
      <c r="K69" s="13" t="s">
        <v>23</v>
      </c>
      <c r="L69" s="15">
        <v>367</v>
      </c>
      <c r="M69" s="13" t="s">
        <v>30</v>
      </c>
      <c r="N69" s="14">
        <v>46296.736759259264</v>
      </c>
      <c r="O69" s="15">
        <v>330</v>
      </c>
      <c r="P69" s="13" t="s">
        <v>25</v>
      </c>
      <c r="Q69" s="15">
        <v>40</v>
      </c>
      <c r="R69" s="3" t="str">
        <f>IF(OR(G69="12R",G69="12L"),_xlfn.XLOOKUP(C69,Tabla42[ADEP],Tabla42[SID 12R],""),IF(OR(G69="30L",G69="30R"),_xlfn.XLOOKUP(C69,Tabla42[ADEP],Tabla42[SID 30L],""),""))</f>
        <v>OMSUK</v>
      </c>
      <c r="S69" s="3">
        <f t="shared" si="1"/>
        <v>17</v>
      </c>
      <c r="T69" s="3" t="str">
        <f>_xlfn.XLOOKUP(C69,Tabla42[ADEP],Tabla42[Sector],"")</f>
        <v>Sector 3</v>
      </c>
    </row>
    <row r="70" spans="1:20" x14ac:dyDescent="0.2">
      <c r="A70" s="13" t="s">
        <v>187</v>
      </c>
      <c r="B70" s="13" t="s">
        <v>18</v>
      </c>
      <c r="C70" s="13" t="s">
        <v>188</v>
      </c>
      <c r="D70" s="13" t="s">
        <v>117</v>
      </c>
      <c r="E70" s="13" t="s">
        <v>1148</v>
      </c>
      <c r="F70" s="14">
        <v>46296.718414351853</v>
      </c>
      <c r="G70" s="13" t="s">
        <v>21</v>
      </c>
      <c r="H70" s="13" t="s">
        <v>1149</v>
      </c>
      <c r="I70" s="15">
        <v>320</v>
      </c>
      <c r="J70" s="13" t="s">
        <v>22</v>
      </c>
      <c r="K70" s="13" t="s">
        <v>23</v>
      </c>
      <c r="L70" s="15">
        <v>546</v>
      </c>
      <c r="M70" s="13" t="s">
        <v>123</v>
      </c>
      <c r="N70" s="14">
        <v>46296.745787037042</v>
      </c>
      <c r="O70" s="15">
        <v>320</v>
      </c>
      <c r="P70" s="13" t="s">
        <v>25</v>
      </c>
      <c r="Q70" s="15">
        <v>40</v>
      </c>
      <c r="R70" s="3" t="str">
        <f>IF(OR(G70="12R",G70="12L"),_xlfn.XLOOKUP(C70,Tabla42[ADEP],Tabla42[SID 12R],""),IF(OR(G70="30L",G70="30R"),_xlfn.XLOOKUP(C70,Tabla42[ADEP],Tabla42[SID 30L],""),""))</f>
        <v>ENEBA</v>
      </c>
      <c r="S70" s="3">
        <f t="shared" si="1"/>
        <v>17</v>
      </c>
      <c r="T70" s="3" t="str">
        <f>_xlfn.XLOOKUP(C70,Tabla42[ADEP],Tabla42[Sector],"")</f>
        <v>Sector 3</v>
      </c>
    </row>
    <row r="71" spans="1:20" x14ac:dyDescent="0.2">
      <c r="A71" s="13" t="s">
        <v>181</v>
      </c>
      <c r="B71" s="13" t="s">
        <v>18</v>
      </c>
      <c r="C71" s="13" t="s">
        <v>42</v>
      </c>
      <c r="D71" s="13" t="s">
        <v>43</v>
      </c>
      <c r="E71" s="13" t="s">
        <v>496</v>
      </c>
      <c r="F71" s="14">
        <v>46296.722673611112</v>
      </c>
      <c r="G71" s="13" t="s">
        <v>21</v>
      </c>
      <c r="H71" s="13" t="s">
        <v>1150</v>
      </c>
      <c r="I71" s="15">
        <v>360</v>
      </c>
      <c r="J71" s="13" t="s">
        <v>22</v>
      </c>
      <c r="K71" s="13" t="s">
        <v>23</v>
      </c>
      <c r="L71" s="15">
        <v>859</v>
      </c>
      <c r="M71" s="13" t="s">
        <v>45</v>
      </c>
      <c r="N71" s="14">
        <v>46296.766782407409</v>
      </c>
      <c r="O71" s="15">
        <v>360</v>
      </c>
      <c r="P71" s="13" t="s">
        <v>25</v>
      </c>
      <c r="Q71" s="15">
        <v>190</v>
      </c>
      <c r="R71" s="3" t="str">
        <f>IF(OR(G71="12R",G71="12L"),_xlfn.XLOOKUP(C71,Tabla42[ADEP],Tabla42[SID 12R],""),IF(OR(G71="30L",G71="30R"),_xlfn.XLOOKUP(C71,Tabla42[ADEP],Tabla42[SID 30L],""),""))</f>
        <v>UDGUV</v>
      </c>
      <c r="S71" s="3">
        <f t="shared" si="1"/>
        <v>17</v>
      </c>
      <c r="T71" s="3" t="str">
        <f>_xlfn.XLOOKUP(C71,Tabla42[ADEP],Tabla42[Sector],"")</f>
        <v>Sector 2</v>
      </c>
    </row>
    <row r="72" spans="1:20" x14ac:dyDescent="0.2">
      <c r="A72" s="13" t="s">
        <v>1151</v>
      </c>
      <c r="B72" s="13" t="s">
        <v>18</v>
      </c>
      <c r="C72" s="13" t="s">
        <v>1152</v>
      </c>
      <c r="D72" s="13" t="s">
        <v>520</v>
      </c>
      <c r="E72" s="13" t="s">
        <v>735</v>
      </c>
      <c r="F72" s="14">
        <v>46296.724745370375</v>
      </c>
      <c r="G72" s="13" t="s">
        <v>21</v>
      </c>
      <c r="H72" s="13" t="s">
        <v>1153</v>
      </c>
      <c r="I72" s="15">
        <v>400</v>
      </c>
      <c r="J72" s="13" t="s">
        <v>22</v>
      </c>
      <c r="K72" s="13" t="s">
        <v>141</v>
      </c>
      <c r="L72" s="15">
        <v>742</v>
      </c>
      <c r="M72" s="13" t="s">
        <v>1152</v>
      </c>
      <c r="N72" s="14">
        <v>46296.770138888889</v>
      </c>
      <c r="O72" s="15">
        <v>2</v>
      </c>
      <c r="P72" s="13" t="s">
        <v>25</v>
      </c>
      <c r="Q72" s="15">
        <v>40</v>
      </c>
      <c r="R72" s="3" t="str">
        <f>IF(OR(G72="12R",G72="12L"),_xlfn.XLOOKUP(C72,Tabla42[ADEP],Tabla42[SID 12R],""),IF(OR(G72="30L",G72="30R"),_xlfn.XLOOKUP(C72,Tabla42[ADEP],Tabla42[SID 30L],""),""))</f>
        <v/>
      </c>
      <c r="S72" s="3">
        <f t="shared" si="1"/>
        <v>17</v>
      </c>
      <c r="T72" s="3" t="str">
        <f>_xlfn.XLOOKUP(C72,Tabla42[ADEP],Tabla42[Sector],"")</f>
        <v/>
      </c>
    </row>
    <row r="73" spans="1:20" x14ac:dyDescent="0.2">
      <c r="A73" s="13" t="s">
        <v>192</v>
      </c>
      <c r="B73" s="13" t="s">
        <v>18</v>
      </c>
      <c r="C73" s="13" t="s">
        <v>193</v>
      </c>
      <c r="D73" s="13" t="s">
        <v>60</v>
      </c>
      <c r="E73" s="13" t="s">
        <v>185</v>
      </c>
      <c r="F73" s="14">
        <v>46296.729675925926</v>
      </c>
      <c r="G73" s="13" t="s">
        <v>21</v>
      </c>
      <c r="H73" s="13" t="s">
        <v>1154</v>
      </c>
      <c r="I73" s="15">
        <v>370</v>
      </c>
      <c r="J73" s="13" t="s">
        <v>22</v>
      </c>
      <c r="K73" s="13" t="s">
        <v>23</v>
      </c>
      <c r="L73" s="15">
        <v>368</v>
      </c>
      <c r="M73" s="13" t="s">
        <v>30</v>
      </c>
      <c r="N73" s="14">
        <v>46296.750173611115</v>
      </c>
      <c r="O73" s="15">
        <v>343</v>
      </c>
      <c r="P73" s="13" t="s">
        <v>25</v>
      </c>
      <c r="Q73" s="15">
        <v>40</v>
      </c>
      <c r="R73" s="3" t="str">
        <f>IF(OR(G73="12R",G73="12L"),_xlfn.XLOOKUP(C73,Tabla42[ADEP],Tabla42[SID 12R],""),IF(OR(G73="30L",G73="30R"),_xlfn.XLOOKUP(C73,Tabla42[ADEP],Tabla42[SID 30L],""),""))</f>
        <v>ENEBA</v>
      </c>
      <c r="S73" s="3">
        <f t="shared" si="1"/>
        <v>17</v>
      </c>
      <c r="T73" s="3" t="str">
        <f>_xlfn.XLOOKUP(C73,Tabla42[ADEP],Tabla42[Sector],"")</f>
        <v>Sector 3</v>
      </c>
    </row>
    <row r="74" spans="1:20" x14ac:dyDescent="0.2">
      <c r="A74" s="13" t="s">
        <v>435</v>
      </c>
      <c r="B74" s="13" t="s">
        <v>18</v>
      </c>
      <c r="C74" s="13" t="s">
        <v>436</v>
      </c>
      <c r="D74" s="13" t="s">
        <v>53</v>
      </c>
      <c r="E74" s="13" t="s">
        <v>393</v>
      </c>
      <c r="F74" s="14">
        <v>46296.732974537037</v>
      </c>
      <c r="G74" s="13" t="s">
        <v>21</v>
      </c>
      <c r="H74" s="13" t="s">
        <v>1155</v>
      </c>
      <c r="I74" s="15">
        <v>380</v>
      </c>
      <c r="J74" s="13" t="s">
        <v>22</v>
      </c>
      <c r="K74" s="13" t="s">
        <v>23</v>
      </c>
      <c r="L74" s="15">
        <v>872</v>
      </c>
      <c r="M74" s="13" t="s">
        <v>35</v>
      </c>
      <c r="N74" s="14">
        <v>46296.778124999997</v>
      </c>
      <c r="O74" s="15">
        <v>380</v>
      </c>
      <c r="P74" s="13" t="s">
        <v>25</v>
      </c>
      <c r="Q74" s="15">
        <v>190</v>
      </c>
      <c r="R74" s="3" t="str">
        <f>IF(OR(G74="12R",G74="12L"),_xlfn.XLOOKUP(C74,Tabla42[ADEP],Tabla42[SID 12R],""),IF(OR(G74="30L",G74="30R"),_xlfn.XLOOKUP(C74,Tabla42[ADEP],Tabla42[SID 30L],""),""))</f>
        <v>UDGUV</v>
      </c>
      <c r="S74" s="3">
        <f t="shared" si="1"/>
        <v>17</v>
      </c>
      <c r="T74" s="3" t="str">
        <f>_xlfn.XLOOKUP(C74,Tabla42[ADEP],Tabla42[Sector],"")</f>
        <v>Sector 2</v>
      </c>
    </row>
    <row r="75" spans="1:20" x14ac:dyDescent="0.2">
      <c r="A75" s="13" t="s">
        <v>380</v>
      </c>
      <c r="B75" s="13" t="s">
        <v>18</v>
      </c>
      <c r="C75" s="13" t="s">
        <v>133</v>
      </c>
      <c r="D75" s="13" t="s">
        <v>122</v>
      </c>
      <c r="E75" s="13" t="s">
        <v>1156</v>
      </c>
      <c r="F75" s="14">
        <v>46296.735231481478</v>
      </c>
      <c r="G75" s="13" t="s">
        <v>21</v>
      </c>
      <c r="H75" s="13" t="s">
        <v>1157</v>
      </c>
      <c r="I75" s="15">
        <v>360</v>
      </c>
      <c r="J75" s="13" t="s">
        <v>22</v>
      </c>
      <c r="K75" s="13" t="s">
        <v>23</v>
      </c>
      <c r="L75" s="15">
        <v>447</v>
      </c>
      <c r="M75" s="13" t="s">
        <v>189</v>
      </c>
      <c r="N75" s="14">
        <v>46296.758692129632</v>
      </c>
      <c r="O75" s="15">
        <v>340</v>
      </c>
      <c r="P75" s="13" t="s">
        <v>25</v>
      </c>
      <c r="Q75" s="15">
        <v>40</v>
      </c>
      <c r="R75" s="3" t="str">
        <f>IF(OR(G75="12R",G75="12L"),_xlfn.XLOOKUP(C75,Tabla42[ADEP],Tabla42[SID 12R],""),IF(OR(G75="30L",G75="30R"),_xlfn.XLOOKUP(C75,Tabla42[ADEP],Tabla42[SID 30L],""),""))</f>
        <v>OMSUK</v>
      </c>
      <c r="S75" s="3">
        <f t="shared" si="1"/>
        <v>17</v>
      </c>
      <c r="T75" s="3" t="str">
        <f>_xlfn.XLOOKUP(C75,Tabla42[ADEP],Tabla42[Sector],"")</f>
        <v>Sector 3</v>
      </c>
    </row>
    <row r="76" spans="1:20" x14ac:dyDescent="0.2">
      <c r="A76" s="13" t="s">
        <v>1158</v>
      </c>
      <c r="B76" s="13" t="s">
        <v>18</v>
      </c>
      <c r="C76" s="13" t="s">
        <v>49</v>
      </c>
      <c r="D76" s="13" t="s">
        <v>124</v>
      </c>
      <c r="E76" s="13"/>
      <c r="F76" s="14">
        <v>46296.736319444448</v>
      </c>
      <c r="G76" s="13" t="s">
        <v>21</v>
      </c>
      <c r="H76" s="13" t="s">
        <v>1159</v>
      </c>
      <c r="I76" s="15">
        <v>380</v>
      </c>
      <c r="J76" s="13" t="s">
        <v>22</v>
      </c>
      <c r="K76" s="13" t="s">
        <v>50</v>
      </c>
      <c r="L76" s="15">
        <v>859</v>
      </c>
      <c r="M76" s="13" t="s">
        <v>45</v>
      </c>
      <c r="N76" s="14">
        <v>46296.783993055556</v>
      </c>
      <c r="O76" s="15">
        <v>380</v>
      </c>
      <c r="P76" s="13" t="s">
        <v>25</v>
      </c>
      <c r="Q76" s="15">
        <v>30</v>
      </c>
      <c r="R76" s="3" t="str">
        <f>IF(OR(G76="12R",G76="12L"),_xlfn.XLOOKUP(C76,Tabla42[ADEP],Tabla42[SID 12R],""),IF(OR(G76="30L",G76="30R"),_xlfn.XLOOKUP(C76,Tabla42[ADEP],Tabla42[SID 30L],""),""))</f>
        <v>UDGUV</v>
      </c>
      <c r="S76" s="3">
        <f t="shared" si="1"/>
        <v>17</v>
      </c>
      <c r="T76" s="3" t="str">
        <f>_xlfn.XLOOKUP(C76,Tabla42[ADEP],Tabla42[Sector],"")</f>
        <v>Sector 2</v>
      </c>
    </row>
    <row r="77" spans="1:20" x14ac:dyDescent="0.2">
      <c r="A77" s="13" t="s">
        <v>194</v>
      </c>
      <c r="B77" s="13" t="s">
        <v>18</v>
      </c>
      <c r="C77" s="13" t="s">
        <v>195</v>
      </c>
      <c r="D77" s="13" t="s">
        <v>28</v>
      </c>
      <c r="E77" s="13" t="s">
        <v>196</v>
      </c>
      <c r="F77" s="14">
        <v>46296.74083333333</v>
      </c>
      <c r="G77" s="13" t="s">
        <v>21</v>
      </c>
      <c r="H77" s="13" t="s">
        <v>1160</v>
      </c>
      <c r="I77" s="15">
        <v>390</v>
      </c>
      <c r="J77" s="13" t="s">
        <v>22</v>
      </c>
      <c r="K77" s="13" t="s">
        <v>23</v>
      </c>
      <c r="L77" s="15">
        <v>183</v>
      </c>
      <c r="M77" s="13" t="s">
        <v>1003</v>
      </c>
      <c r="N77" s="14">
        <v>46296.753263888888</v>
      </c>
      <c r="O77" s="15">
        <v>290</v>
      </c>
      <c r="P77" s="13" t="s">
        <v>25</v>
      </c>
      <c r="Q77" s="15">
        <v>190</v>
      </c>
      <c r="R77" s="3" t="str">
        <f>IF(OR(G77="12R",G77="12L"),_xlfn.XLOOKUP(C77,Tabla42[ADEP],Tabla42[SID 12R],""),IF(OR(G77="30L",G77="30R"),_xlfn.XLOOKUP(C77,Tabla42[ADEP],Tabla42[SID 30L],""),""))</f>
        <v>HECAT</v>
      </c>
      <c r="S77" s="3">
        <f t="shared" si="1"/>
        <v>17</v>
      </c>
      <c r="T77" s="3" t="str">
        <f>_xlfn.XLOOKUP(C77,Tabla42[ADEP],Tabla42[Sector],"")</f>
        <v>Sector 7</v>
      </c>
    </row>
    <row r="78" spans="1:20" x14ac:dyDescent="0.2">
      <c r="A78" s="13" t="s">
        <v>214</v>
      </c>
      <c r="B78" s="13" t="s">
        <v>18</v>
      </c>
      <c r="C78" s="13" t="s">
        <v>215</v>
      </c>
      <c r="D78" s="13" t="s">
        <v>60</v>
      </c>
      <c r="E78" s="13" t="s">
        <v>1009</v>
      </c>
      <c r="F78" s="14">
        <v>46296.74518518518</v>
      </c>
      <c r="G78" s="13" t="s">
        <v>21</v>
      </c>
      <c r="H78" s="13" t="s">
        <v>1161</v>
      </c>
      <c r="I78" s="15">
        <v>330</v>
      </c>
      <c r="J78" s="13" t="s">
        <v>22</v>
      </c>
      <c r="K78" s="13" t="s">
        <v>23</v>
      </c>
      <c r="L78" s="15">
        <v>434</v>
      </c>
      <c r="M78" s="13" t="s">
        <v>189</v>
      </c>
      <c r="N78" s="14">
        <v>46296.769085648149</v>
      </c>
      <c r="O78" s="15">
        <v>330</v>
      </c>
      <c r="P78" s="13" t="s">
        <v>25</v>
      </c>
      <c r="Q78" s="15">
        <v>40</v>
      </c>
      <c r="R78" s="3" t="str">
        <f>IF(OR(G78="12R",G78="12L"),_xlfn.XLOOKUP(C78,Tabla42[ADEP],Tabla42[SID 12R],""),IF(OR(G78="30L",G78="30R"),_xlfn.XLOOKUP(C78,Tabla42[ADEP],Tabla42[SID 30L],""),""))</f>
        <v>OMSUK</v>
      </c>
      <c r="S78" s="3">
        <f t="shared" si="1"/>
        <v>17</v>
      </c>
      <c r="T78" s="3" t="str">
        <f>_xlfn.XLOOKUP(C78,Tabla42[ADEP],Tabla42[Sector],"")</f>
        <v>Sector 3</v>
      </c>
    </row>
    <row r="79" spans="1:20" x14ac:dyDescent="0.2">
      <c r="A79" s="13" t="s">
        <v>437</v>
      </c>
      <c r="B79" s="13" t="s">
        <v>18</v>
      </c>
      <c r="C79" s="13" t="s">
        <v>438</v>
      </c>
      <c r="D79" s="13" t="s">
        <v>60</v>
      </c>
      <c r="E79" s="13" t="s">
        <v>649</v>
      </c>
      <c r="F79" s="14">
        <v>46296.747418981482</v>
      </c>
      <c r="G79" s="13" t="s">
        <v>21</v>
      </c>
      <c r="H79" s="13" t="s">
        <v>1162</v>
      </c>
      <c r="I79" s="15">
        <v>360</v>
      </c>
      <c r="J79" s="13" t="s">
        <v>22</v>
      </c>
      <c r="K79" s="13" t="s">
        <v>23</v>
      </c>
      <c r="L79" s="15">
        <v>993</v>
      </c>
      <c r="M79" s="13" t="s">
        <v>439</v>
      </c>
      <c r="N79" s="14">
        <v>46296.797280092593</v>
      </c>
      <c r="O79" s="15">
        <v>229</v>
      </c>
      <c r="P79" s="13" t="s">
        <v>25</v>
      </c>
      <c r="Q79" s="15">
        <v>190</v>
      </c>
      <c r="R79" s="3" t="str">
        <f>IF(OR(G79="12R",G79="12L"),_xlfn.XLOOKUP(C79,Tabla42[ADEP],Tabla42[SID 12R],""),IF(OR(G79="30L",G79="30R"),_xlfn.XLOOKUP(C79,Tabla42[ADEP],Tabla42[SID 30L],""),""))</f>
        <v>UDGUV</v>
      </c>
      <c r="S79" s="3">
        <f t="shared" si="1"/>
        <v>17</v>
      </c>
      <c r="T79" s="3" t="str">
        <f>_xlfn.XLOOKUP(C79,Tabla42[ADEP],Tabla42[Sector],"")</f>
        <v>Sector 2</v>
      </c>
    </row>
    <row r="80" spans="1:20" x14ac:dyDescent="0.2">
      <c r="A80" s="13" t="s">
        <v>221</v>
      </c>
      <c r="B80" s="13" t="s">
        <v>18</v>
      </c>
      <c r="C80" s="13" t="s">
        <v>42</v>
      </c>
      <c r="D80" s="13" t="s">
        <v>43</v>
      </c>
      <c r="E80" s="13" t="s">
        <v>329</v>
      </c>
      <c r="F80" s="14">
        <v>46296.748958333337</v>
      </c>
      <c r="G80" s="13" t="s">
        <v>21</v>
      </c>
      <c r="H80" s="13" t="s">
        <v>1163</v>
      </c>
      <c r="I80" s="15">
        <v>360</v>
      </c>
      <c r="J80" s="13" t="s">
        <v>22</v>
      </c>
      <c r="K80" s="13" t="s">
        <v>23</v>
      </c>
      <c r="L80" s="15">
        <v>860</v>
      </c>
      <c r="M80" s="13" t="s">
        <v>45</v>
      </c>
      <c r="N80" s="14">
        <v>46296.79277777778</v>
      </c>
      <c r="O80" s="15">
        <v>360</v>
      </c>
      <c r="P80" s="13" t="s">
        <v>25</v>
      </c>
      <c r="Q80" s="15">
        <v>190</v>
      </c>
      <c r="R80" s="3" t="str">
        <f>IF(OR(G80="12R",G80="12L"),_xlfn.XLOOKUP(C80,Tabla42[ADEP],Tabla42[SID 12R],""),IF(OR(G80="30L",G80="30R"),_xlfn.XLOOKUP(C80,Tabla42[ADEP],Tabla42[SID 30L],""),""))</f>
        <v>UDGUV</v>
      </c>
      <c r="S80" s="3">
        <f t="shared" si="1"/>
        <v>17</v>
      </c>
      <c r="T80" s="3" t="str">
        <f>_xlfn.XLOOKUP(C80,Tabla42[ADEP],Tabla42[Sector],"")</f>
        <v>Sector 2</v>
      </c>
    </row>
    <row r="81" spans="1:20" x14ac:dyDescent="0.2">
      <c r="A81" s="13" t="s">
        <v>213</v>
      </c>
      <c r="B81" s="13" t="s">
        <v>18</v>
      </c>
      <c r="C81" s="13" t="s">
        <v>19</v>
      </c>
      <c r="D81" s="13" t="s">
        <v>53</v>
      </c>
      <c r="E81" s="13" t="s">
        <v>279</v>
      </c>
      <c r="F81" s="14">
        <v>46296.750486111108</v>
      </c>
      <c r="G81" s="13" t="s">
        <v>21</v>
      </c>
      <c r="H81" s="13" t="s">
        <v>1164</v>
      </c>
      <c r="I81" s="15">
        <v>380</v>
      </c>
      <c r="J81" s="13" t="s">
        <v>22</v>
      </c>
      <c r="K81" s="13" t="s">
        <v>23</v>
      </c>
      <c r="L81" s="15">
        <v>859</v>
      </c>
      <c r="M81" s="13" t="s">
        <v>24</v>
      </c>
      <c r="N81" s="14">
        <v>46296.794374999998</v>
      </c>
      <c r="O81" s="15">
        <v>380</v>
      </c>
      <c r="P81" s="13" t="s">
        <v>25</v>
      </c>
      <c r="Q81" s="15">
        <v>190</v>
      </c>
      <c r="R81" s="3" t="str">
        <f>IF(OR(G81="12R",G81="12L"),_xlfn.XLOOKUP(C81,Tabla42[ADEP],Tabla42[SID 12R],""),IF(OR(G81="30L",G81="30R"),_xlfn.XLOOKUP(C81,Tabla42[ADEP],Tabla42[SID 30L],""),""))</f>
        <v>UDGUV</v>
      </c>
      <c r="S81" s="3">
        <f t="shared" si="1"/>
        <v>18</v>
      </c>
      <c r="T81" s="3" t="str">
        <f>_xlfn.XLOOKUP(C81,Tabla42[ADEP],Tabla42[Sector],"")</f>
        <v>Sector 2</v>
      </c>
    </row>
    <row r="82" spans="1:20" x14ac:dyDescent="0.2">
      <c r="A82" s="13" t="s">
        <v>432</v>
      </c>
      <c r="B82" s="13" t="s">
        <v>18</v>
      </c>
      <c r="C82" s="13" t="s">
        <v>233</v>
      </c>
      <c r="D82" s="13" t="s">
        <v>122</v>
      </c>
      <c r="E82" s="13" t="s">
        <v>571</v>
      </c>
      <c r="F82" s="14">
        <v>46296.751666666663</v>
      </c>
      <c r="G82" s="13" t="s">
        <v>21</v>
      </c>
      <c r="H82" s="13" t="s">
        <v>1165</v>
      </c>
      <c r="I82" s="15">
        <v>360</v>
      </c>
      <c r="J82" s="13" t="s">
        <v>22</v>
      </c>
      <c r="K82" s="13" t="s">
        <v>23</v>
      </c>
      <c r="L82" s="15">
        <v>878</v>
      </c>
      <c r="M82" s="13" t="s">
        <v>35</v>
      </c>
      <c r="N82" s="14">
        <v>46296.796273148153</v>
      </c>
      <c r="O82" s="15">
        <v>360</v>
      </c>
      <c r="P82" s="13" t="s">
        <v>25</v>
      </c>
      <c r="Q82" s="15">
        <v>190</v>
      </c>
      <c r="R82" s="3" t="str">
        <f>IF(OR(G82="12R",G82="12L"),_xlfn.XLOOKUP(C82,Tabla42[ADEP],Tabla42[SID 12R],""),IF(OR(G82="30L",G82="30R"),_xlfn.XLOOKUP(C82,Tabla42[ADEP],Tabla42[SID 30L],""),""))</f>
        <v>UDGUV</v>
      </c>
      <c r="S82" s="3">
        <f t="shared" si="1"/>
        <v>18</v>
      </c>
      <c r="T82" s="3" t="str">
        <f>_xlfn.XLOOKUP(C82,Tabla42[ADEP],Tabla42[Sector],"")</f>
        <v>Sector 2</v>
      </c>
    </row>
    <row r="83" spans="1:20" x14ac:dyDescent="0.2">
      <c r="A83" s="13" t="s">
        <v>218</v>
      </c>
      <c r="B83" s="13" t="s">
        <v>18</v>
      </c>
      <c r="C83" s="13" t="s">
        <v>219</v>
      </c>
      <c r="D83" s="13" t="s">
        <v>43</v>
      </c>
      <c r="E83" s="13" t="s">
        <v>957</v>
      </c>
      <c r="F83" s="14">
        <v>46296.753206018519</v>
      </c>
      <c r="G83" s="13" t="s">
        <v>21</v>
      </c>
      <c r="H83" s="13" t="s">
        <v>1166</v>
      </c>
      <c r="I83" s="15">
        <v>320</v>
      </c>
      <c r="J83" s="13" t="s">
        <v>22</v>
      </c>
      <c r="K83" s="13" t="s">
        <v>23</v>
      </c>
      <c r="L83" s="15">
        <v>878</v>
      </c>
      <c r="M83" s="13" t="s">
        <v>35</v>
      </c>
      <c r="N83" s="14">
        <v>46296.797546296293</v>
      </c>
      <c r="O83" s="15">
        <v>320</v>
      </c>
      <c r="P83" s="13" t="s">
        <v>25</v>
      </c>
      <c r="Q83" s="15">
        <v>190</v>
      </c>
      <c r="R83" s="3" t="str">
        <f>IF(OR(G83="12R",G83="12L"),_xlfn.XLOOKUP(C83,Tabla42[ADEP],Tabla42[SID 12R],""),IF(OR(G83="30L",G83="30R"),_xlfn.XLOOKUP(C83,Tabla42[ADEP],Tabla42[SID 30L],""),""))</f>
        <v>UDGUV</v>
      </c>
      <c r="S83" s="3">
        <f t="shared" si="1"/>
        <v>18</v>
      </c>
      <c r="T83" s="3" t="str">
        <f>_xlfn.XLOOKUP(C83,Tabla42[ADEP],Tabla42[Sector],"")</f>
        <v>Sector 2</v>
      </c>
    </row>
    <row r="84" spans="1:20" x14ac:dyDescent="0.2">
      <c r="A84" s="13" t="s">
        <v>205</v>
      </c>
      <c r="B84" s="13" t="s">
        <v>18</v>
      </c>
      <c r="C84" s="13" t="s">
        <v>206</v>
      </c>
      <c r="D84" s="13" t="s">
        <v>53</v>
      </c>
      <c r="E84" s="13" t="s">
        <v>207</v>
      </c>
      <c r="F84" s="14">
        <v>46296.754641203705</v>
      </c>
      <c r="G84" s="13" t="s">
        <v>21</v>
      </c>
      <c r="H84" s="13" t="s">
        <v>1167</v>
      </c>
      <c r="I84" s="15">
        <v>380</v>
      </c>
      <c r="J84" s="13" t="s">
        <v>22</v>
      </c>
      <c r="K84" s="13" t="s">
        <v>23</v>
      </c>
      <c r="L84" s="15">
        <v>859</v>
      </c>
      <c r="M84" s="13" t="s">
        <v>45</v>
      </c>
      <c r="N84" s="14">
        <v>46296.798275462963</v>
      </c>
      <c r="O84" s="15">
        <v>380</v>
      </c>
      <c r="P84" s="13" t="s">
        <v>25</v>
      </c>
      <c r="Q84" s="15">
        <v>190</v>
      </c>
      <c r="R84" s="3" t="str">
        <f>IF(OR(G84="12R",G84="12L"),_xlfn.XLOOKUP(C84,Tabla42[ADEP],Tabla42[SID 12R],""),IF(OR(G84="30L",G84="30R"),_xlfn.XLOOKUP(C84,Tabla42[ADEP],Tabla42[SID 30L],""),""))</f>
        <v>UDGUV</v>
      </c>
      <c r="S84" s="3">
        <f t="shared" si="1"/>
        <v>18</v>
      </c>
      <c r="T84" s="3" t="str">
        <f>_xlfn.XLOOKUP(C84,Tabla42[ADEP],Tabla42[Sector],"")</f>
        <v>Sector 2</v>
      </c>
    </row>
    <row r="85" spans="1:20" x14ac:dyDescent="0.2">
      <c r="A85" s="13" t="s">
        <v>216</v>
      </c>
      <c r="B85" s="13" t="s">
        <v>18</v>
      </c>
      <c r="C85" s="13" t="s">
        <v>32</v>
      </c>
      <c r="D85" s="13" t="s">
        <v>20</v>
      </c>
      <c r="E85" s="13" t="s">
        <v>169</v>
      </c>
      <c r="F85" s="14">
        <v>46296.75608796296</v>
      </c>
      <c r="G85" s="13" t="s">
        <v>21</v>
      </c>
      <c r="H85" s="13" t="s">
        <v>1168</v>
      </c>
      <c r="I85" s="15">
        <v>360</v>
      </c>
      <c r="J85" s="13" t="s">
        <v>22</v>
      </c>
      <c r="K85" s="13" t="s">
        <v>23</v>
      </c>
      <c r="L85" s="15">
        <v>877</v>
      </c>
      <c r="M85" s="13" t="s">
        <v>35</v>
      </c>
      <c r="N85" s="14">
        <v>46296.801226851851</v>
      </c>
      <c r="O85" s="15">
        <v>360</v>
      </c>
      <c r="P85" s="13" t="s">
        <v>25</v>
      </c>
      <c r="Q85" s="15">
        <v>190</v>
      </c>
      <c r="R85" s="3" t="str">
        <f>IF(OR(G85="12R",G85="12L"),_xlfn.XLOOKUP(C85,Tabla42[ADEP],Tabla42[SID 12R],""),IF(OR(G85="30L",G85="30R"),_xlfn.XLOOKUP(C85,Tabla42[ADEP],Tabla42[SID 30L],""),""))</f>
        <v>UDGUV</v>
      </c>
      <c r="S85" s="3">
        <f t="shared" si="1"/>
        <v>18</v>
      </c>
      <c r="T85" s="3" t="str">
        <f>_xlfn.XLOOKUP(C85,Tabla42[ADEP],Tabla42[Sector],"")</f>
        <v>Sector 2</v>
      </c>
    </row>
    <row r="86" spans="1:20" x14ac:dyDescent="0.2">
      <c r="A86" s="13" t="s">
        <v>597</v>
      </c>
      <c r="B86" s="13" t="s">
        <v>18</v>
      </c>
      <c r="C86" s="13" t="s">
        <v>598</v>
      </c>
      <c r="D86" s="13" t="s">
        <v>28</v>
      </c>
      <c r="E86" s="13" t="s">
        <v>1169</v>
      </c>
      <c r="F86" s="14">
        <v>46296.756886574076</v>
      </c>
      <c r="G86" s="13" t="s">
        <v>21</v>
      </c>
      <c r="H86" s="13" t="s">
        <v>1170</v>
      </c>
      <c r="I86" s="15">
        <v>380</v>
      </c>
      <c r="J86" s="13" t="s">
        <v>22</v>
      </c>
      <c r="K86" s="13" t="s">
        <v>23</v>
      </c>
      <c r="L86" s="15">
        <v>426</v>
      </c>
      <c r="M86" s="13" t="s">
        <v>189</v>
      </c>
      <c r="N86" s="14">
        <v>46296.779780092591</v>
      </c>
      <c r="O86" s="15">
        <v>380</v>
      </c>
      <c r="P86" s="13" t="s">
        <v>25</v>
      </c>
      <c r="Q86" s="15">
        <v>40</v>
      </c>
      <c r="R86" s="3" t="str">
        <f>IF(OR(G86="12R",G86="12L"),_xlfn.XLOOKUP(C86,Tabla42[ADEP],Tabla42[SID 12R],""),IF(OR(G86="30L",G86="30R"),_xlfn.XLOOKUP(C86,Tabla42[ADEP],Tabla42[SID 30L],""),""))</f>
        <v>OMSUK</v>
      </c>
      <c r="S86" s="3">
        <f t="shared" si="1"/>
        <v>18</v>
      </c>
      <c r="T86" s="3" t="str">
        <f>_xlfn.XLOOKUP(C86,Tabla42[ADEP],Tabla42[Sector],"")</f>
        <v>Sector 3</v>
      </c>
    </row>
    <row r="87" spans="1:20" x14ac:dyDescent="0.2">
      <c r="A87" s="13" t="s">
        <v>211</v>
      </c>
      <c r="B87" s="13" t="s">
        <v>18</v>
      </c>
      <c r="C87" s="13" t="s">
        <v>212</v>
      </c>
      <c r="D87" s="13" t="s">
        <v>33</v>
      </c>
      <c r="E87" s="13" t="s">
        <v>1171</v>
      </c>
      <c r="F87" s="14">
        <v>46296.758287037039</v>
      </c>
      <c r="G87" s="13" t="s">
        <v>21</v>
      </c>
      <c r="H87" s="13" t="s">
        <v>1172</v>
      </c>
      <c r="I87" s="15">
        <v>350</v>
      </c>
      <c r="J87" s="13" t="s">
        <v>22</v>
      </c>
      <c r="K87" s="13" t="s">
        <v>23</v>
      </c>
      <c r="L87" s="15">
        <v>187</v>
      </c>
      <c r="M87" s="13" t="s">
        <v>1007</v>
      </c>
      <c r="N87" s="14">
        <v>46296.770902777775</v>
      </c>
      <c r="O87" s="15">
        <v>290</v>
      </c>
      <c r="P87" s="13" t="s">
        <v>25</v>
      </c>
      <c r="Q87" s="15">
        <v>190</v>
      </c>
      <c r="R87" s="3" t="str">
        <f>IF(OR(G87="12R",G87="12L"),_xlfn.XLOOKUP(C87,Tabla42[ADEP],Tabla42[SID 12R],""),IF(OR(G87="30L",G87="30R"),_xlfn.XLOOKUP(C87,Tabla42[ADEP],Tabla42[SID 30L],""),""))</f>
        <v>TAKUX</v>
      </c>
      <c r="S87" s="3">
        <f t="shared" si="1"/>
        <v>18</v>
      </c>
      <c r="T87" s="3" t="str">
        <f>_xlfn.XLOOKUP(C87,Tabla42[ADEP],Tabla42[Sector],"")</f>
        <v>Sector 7</v>
      </c>
    </row>
    <row r="88" spans="1:20" x14ac:dyDescent="0.2">
      <c r="A88" s="13" t="s">
        <v>199</v>
      </c>
      <c r="B88" s="13" t="s">
        <v>18</v>
      </c>
      <c r="C88" s="13" t="s">
        <v>200</v>
      </c>
      <c r="D88" s="13" t="s">
        <v>110</v>
      </c>
      <c r="E88" s="13" t="s">
        <v>653</v>
      </c>
      <c r="F88" s="14">
        <v>46296.759513888886</v>
      </c>
      <c r="G88" s="13" t="s">
        <v>21</v>
      </c>
      <c r="H88" s="13" t="s">
        <v>1173</v>
      </c>
      <c r="I88" s="15">
        <v>380</v>
      </c>
      <c r="J88" s="13" t="s">
        <v>22</v>
      </c>
      <c r="K88" s="13" t="s">
        <v>23</v>
      </c>
      <c r="L88" s="15">
        <v>426</v>
      </c>
      <c r="M88" s="13" t="s">
        <v>189</v>
      </c>
      <c r="N88" s="14">
        <v>46296.781481481477</v>
      </c>
      <c r="O88" s="15">
        <v>360</v>
      </c>
      <c r="P88" s="13" t="s">
        <v>25</v>
      </c>
      <c r="Q88" s="15">
        <v>40</v>
      </c>
      <c r="R88" s="3" t="str">
        <f>IF(OR(G88="12R",G88="12L"),_xlfn.XLOOKUP(C88,Tabla42[ADEP],Tabla42[SID 12R],""),IF(OR(G88="30L",G88="30R"),_xlfn.XLOOKUP(C88,Tabla42[ADEP],Tabla42[SID 30L],""),""))</f>
        <v>OMSUK</v>
      </c>
      <c r="S88" s="3">
        <f t="shared" si="1"/>
        <v>18</v>
      </c>
      <c r="T88" s="3" t="str">
        <f>_xlfn.XLOOKUP(C88,Tabla42[ADEP],Tabla42[Sector],"")</f>
        <v>Sector 3</v>
      </c>
    </row>
    <row r="89" spans="1:20" x14ac:dyDescent="0.2">
      <c r="A89" s="13" t="s">
        <v>284</v>
      </c>
      <c r="B89" s="13" t="s">
        <v>18</v>
      </c>
      <c r="C89" s="13" t="s">
        <v>137</v>
      </c>
      <c r="D89" s="13" t="s">
        <v>60</v>
      </c>
      <c r="E89" s="13" t="s">
        <v>1174</v>
      </c>
      <c r="F89" s="14">
        <v>46296.76085648148</v>
      </c>
      <c r="G89" s="13" t="s">
        <v>21</v>
      </c>
      <c r="H89" s="13" t="s">
        <v>1175</v>
      </c>
      <c r="I89" s="15">
        <v>350</v>
      </c>
      <c r="J89" s="13" t="s">
        <v>22</v>
      </c>
      <c r="K89" s="13" t="s">
        <v>23</v>
      </c>
      <c r="L89" s="15">
        <v>147</v>
      </c>
      <c r="M89" s="13" t="s">
        <v>963</v>
      </c>
      <c r="N89" s="14">
        <v>46296.771145833336</v>
      </c>
      <c r="O89" s="15">
        <v>254</v>
      </c>
      <c r="P89" s="13" t="s">
        <v>25</v>
      </c>
      <c r="Q89" s="15">
        <v>190</v>
      </c>
      <c r="R89" s="3" t="str">
        <f>IF(OR(G89="12R",G89="12L"),_xlfn.XLOOKUP(C89,Tabla42[ADEP],Tabla42[SID 12R],""),IF(OR(G89="30L",G89="30R"),_xlfn.XLOOKUP(C89,Tabla42[ADEP],Tabla42[SID 30L],""),""))</f>
        <v>NUDAL</v>
      </c>
      <c r="S89" s="3">
        <f t="shared" si="1"/>
        <v>18</v>
      </c>
      <c r="T89" s="3" t="str">
        <f>_xlfn.XLOOKUP(C89,Tabla42[ADEP],Tabla42[Sector],"")</f>
        <v>Sector 3</v>
      </c>
    </row>
    <row r="90" spans="1:20" x14ac:dyDescent="0.2">
      <c r="A90" s="13" t="s">
        <v>203</v>
      </c>
      <c r="B90" s="13" t="s">
        <v>18</v>
      </c>
      <c r="C90" s="13" t="s">
        <v>204</v>
      </c>
      <c r="D90" s="13" t="s">
        <v>33</v>
      </c>
      <c r="E90" s="13" t="s">
        <v>1056</v>
      </c>
      <c r="F90" s="14">
        <v>46296.762303240743</v>
      </c>
      <c r="G90" s="13" t="s">
        <v>21</v>
      </c>
      <c r="H90" s="13" t="s">
        <v>1176</v>
      </c>
      <c r="I90" s="15">
        <v>370</v>
      </c>
      <c r="J90" s="13" t="s">
        <v>22</v>
      </c>
      <c r="K90" s="13" t="s">
        <v>23</v>
      </c>
      <c r="L90" s="15">
        <v>149</v>
      </c>
      <c r="M90" s="13" t="s">
        <v>1177</v>
      </c>
      <c r="N90" s="14">
        <v>46296.773576388892</v>
      </c>
      <c r="O90" s="15">
        <v>276</v>
      </c>
      <c r="P90" s="13" t="s">
        <v>25</v>
      </c>
      <c r="Q90" s="15">
        <v>190</v>
      </c>
      <c r="R90" s="3" t="str">
        <f>IF(OR(G90="12R",G90="12L"),_xlfn.XLOOKUP(C90,Tabla42[ADEP],Tabla42[SID 12R],""),IF(OR(G90="30L",G90="30R"),_xlfn.XLOOKUP(C90,Tabla42[ADEP],Tabla42[SID 30L],""),""))</f>
        <v>TAKUX</v>
      </c>
      <c r="S90" s="3">
        <f t="shared" si="1"/>
        <v>18</v>
      </c>
      <c r="T90" s="3" t="str">
        <f>_xlfn.XLOOKUP(C90,Tabla42[ADEP],Tabla42[Sector],"")</f>
        <v>Sector 7</v>
      </c>
    </row>
    <row r="91" spans="1:20" x14ac:dyDescent="0.2">
      <c r="A91" s="13" t="s">
        <v>222</v>
      </c>
      <c r="B91" s="13" t="s">
        <v>18</v>
      </c>
      <c r="C91" s="13" t="s">
        <v>223</v>
      </c>
      <c r="D91" s="13" t="s">
        <v>110</v>
      </c>
      <c r="E91" s="13" t="s">
        <v>1178</v>
      </c>
      <c r="F91" s="14">
        <v>46296.764861111107</v>
      </c>
      <c r="G91" s="13" t="s">
        <v>21</v>
      </c>
      <c r="H91" s="13" t="s">
        <v>1053</v>
      </c>
      <c r="I91" s="15">
        <v>410</v>
      </c>
      <c r="J91" s="13" t="s">
        <v>22</v>
      </c>
      <c r="K91" s="13" t="s">
        <v>23</v>
      </c>
      <c r="L91" s="15">
        <v>136</v>
      </c>
      <c r="M91" s="13" t="s">
        <v>39</v>
      </c>
      <c r="N91" s="14">
        <v>46296.774340277778</v>
      </c>
      <c r="O91" s="15">
        <v>290</v>
      </c>
      <c r="P91" s="13" t="s">
        <v>25</v>
      </c>
      <c r="Q91" s="15">
        <v>190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13" t="s">
        <v>217</v>
      </c>
      <c r="B92" s="13" t="s">
        <v>18</v>
      </c>
      <c r="C92" s="13" t="s">
        <v>158</v>
      </c>
      <c r="D92" s="13" t="s">
        <v>20</v>
      </c>
      <c r="E92" s="13" t="s">
        <v>587</v>
      </c>
      <c r="F92" s="14">
        <v>46296.766064814816</v>
      </c>
      <c r="G92" s="13" t="s">
        <v>21</v>
      </c>
      <c r="H92" s="13" t="s">
        <v>1179</v>
      </c>
      <c r="I92" s="15">
        <v>350</v>
      </c>
      <c r="J92" s="13" t="s">
        <v>22</v>
      </c>
      <c r="K92" s="13" t="s">
        <v>23</v>
      </c>
      <c r="L92" s="15">
        <v>359</v>
      </c>
      <c r="M92" s="13" t="s">
        <v>468</v>
      </c>
      <c r="N92" s="14">
        <v>46296.785555555558</v>
      </c>
      <c r="O92" s="15">
        <v>346</v>
      </c>
      <c r="P92" s="13" t="s">
        <v>25</v>
      </c>
      <c r="Q92" s="15">
        <v>40</v>
      </c>
      <c r="R92" s="3" t="str">
        <f>IF(OR(G92="12R",G92="12L"),_xlfn.XLOOKUP(C92,Tabla42[ADEP],Tabla42[SID 12R],""),IF(OR(G92="30L",G92="30R"),_xlfn.XLOOKUP(C92,Tabla42[ADEP],Tabla42[SID 30L],""),""))</f>
        <v>OMSUK</v>
      </c>
      <c r="S92" s="3">
        <f t="shared" si="1"/>
        <v>18</v>
      </c>
      <c r="T92" s="3" t="str">
        <f>_xlfn.XLOOKUP(C92,Tabla42[ADEP],Tabla42[Sector],"")</f>
        <v>Sector 3</v>
      </c>
    </row>
    <row r="93" spans="1:20" x14ac:dyDescent="0.2">
      <c r="A93" s="13" t="s">
        <v>237</v>
      </c>
      <c r="B93" s="13" t="s">
        <v>18</v>
      </c>
      <c r="C93" s="13" t="s">
        <v>116</v>
      </c>
      <c r="D93" s="13" t="s">
        <v>117</v>
      </c>
      <c r="E93" s="13" t="s">
        <v>796</v>
      </c>
      <c r="F93" s="14">
        <v>46296.76725694444</v>
      </c>
      <c r="G93" s="13" t="s">
        <v>21</v>
      </c>
      <c r="H93" s="13" t="s">
        <v>1180</v>
      </c>
      <c r="I93" s="15">
        <v>340</v>
      </c>
      <c r="J93" s="13" t="s">
        <v>22</v>
      </c>
      <c r="K93" s="13" t="s">
        <v>23</v>
      </c>
      <c r="L93" s="15">
        <v>529</v>
      </c>
      <c r="M93" s="13" t="s">
        <v>123</v>
      </c>
      <c r="N93" s="14">
        <v>46296.794120370367</v>
      </c>
      <c r="O93" s="15">
        <v>380</v>
      </c>
      <c r="P93" s="13" t="s">
        <v>25</v>
      </c>
      <c r="Q93" s="15">
        <v>40</v>
      </c>
      <c r="R93" s="3" t="str">
        <f>IF(OR(G93="12R",G93="12L"),_xlfn.XLOOKUP(C93,Tabla42[ADEP],Tabla42[SID 12R],""),IF(OR(G93="30L",G93="30R"),_xlfn.XLOOKUP(C93,Tabla42[ADEP],Tabla42[SID 30L],""),""))</f>
        <v>ENEBA</v>
      </c>
      <c r="S93" s="3">
        <f t="shared" si="1"/>
        <v>18</v>
      </c>
      <c r="T93" s="3" t="str">
        <f>_xlfn.XLOOKUP(C93,Tabla42[ADEP],Tabla42[Sector],"")</f>
        <v>Sector 3</v>
      </c>
    </row>
    <row r="94" spans="1:20" x14ac:dyDescent="0.2">
      <c r="A94" s="13" t="s">
        <v>244</v>
      </c>
      <c r="B94" s="13" t="s">
        <v>18</v>
      </c>
      <c r="C94" s="13" t="s">
        <v>126</v>
      </c>
      <c r="D94" s="13" t="s">
        <v>60</v>
      </c>
      <c r="E94" s="13" t="s">
        <v>736</v>
      </c>
      <c r="F94" s="14">
        <v>46296.768472222218</v>
      </c>
      <c r="G94" s="13" t="s">
        <v>21</v>
      </c>
      <c r="H94" s="13" t="s">
        <v>1181</v>
      </c>
      <c r="I94" s="15">
        <v>340</v>
      </c>
      <c r="J94" s="13" t="s">
        <v>22</v>
      </c>
      <c r="K94" s="13" t="s">
        <v>23</v>
      </c>
      <c r="L94" s="15">
        <v>433</v>
      </c>
      <c r="M94" s="13" t="s">
        <v>189</v>
      </c>
      <c r="N94" s="14">
        <v>46296.791284722218</v>
      </c>
      <c r="O94" s="15">
        <v>340</v>
      </c>
      <c r="P94" s="13" t="s">
        <v>25</v>
      </c>
      <c r="Q94" s="15">
        <v>40</v>
      </c>
      <c r="R94" s="3" t="str">
        <f>IF(OR(G94="12R",G94="12L"),_xlfn.XLOOKUP(C94,Tabla42[ADEP],Tabla42[SID 12R],""),IF(OR(G94="30L",G94="30R"),_xlfn.XLOOKUP(C94,Tabla42[ADEP],Tabla42[SID 30L],""),""))</f>
        <v>ENEBA</v>
      </c>
      <c r="S94" s="3">
        <f t="shared" si="1"/>
        <v>18</v>
      </c>
      <c r="T94" s="3" t="str">
        <f>_xlfn.XLOOKUP(C94,Tabla42[ADEP],Tabla42[Sector],"")</f>
        <v>Sector 3</v>
      </c>
    </row>
    <row r="95" spans="1:20" x14ac:dyDescent="0.2">
      <c r="A95" s="13" t="s">
        <v>227</v>
      </c>
      <c r="B95" s="13" t="s">
        <v>18</v>
      </c>
      <c r="C95" s="13" t="s">
        <v>133</v>
      </c>
      <c r="D95" s="13" t="s">
        <v>60</v>
      </c>
      <c r="E95" s="13" t="s">
        <v>634</v>
      </c>
      <c r="F95" s="14">
        <v>46296.769791666666</v>
      </c>
      <c r="G95" s="13" t="s">
        <v>21</v>
      </c>
      <c r="H95" s="13" t="s">
        <v>1182</v>
      </c>
      <c r="I95" s="15">
        <v>350</v>
      </c>
      <c r="J95" s="13" t="s">
        <v>22</v>
      </c>
      <c r="K95" s="13" t="s">
        <v>23</v>
      </c>
      <c r="L95" s="15">
        <v>346</v>
      </c>
      <c r="M95" s="13" t="s">
        <v>564</v>
      </c>
      <c r="N95" s="14">
        <v>46296.7890625</v>
      </c>
      <c r="O95" s="15">
        <v>324</v>
      </c>
      <c r="P95" s="13" t="s">
        <v>25</v>
      </c>
      <c r="Q95" s="15">
        <v>40</v>
      </c>
      <c r="R95" s="3" t="str">
        <f>IF(OR(G95="12R",G95="12L"),_xlfn.XLOOKUP(C95,Tabla42[ADEP],Tabla42[SID 12R],""),IF(OR(G95="30L",G95="30R"),_xlfn.XLOOKUP(C95,Tabla42[ADEP],Tabla42[SID 30L],""),""))</f>
        <v>OMSUK</v>
      </c>
      <c r="S95" s="3">
        <f t="shared" si="1"/>
        <v>18</v>
      </c>
      <c r="T95" s="3" t="str">
        <f>_xlfn.XLOOKUP(C95,Tabla42[ADEP],Tabla42[Sector],"")</f>
        <v>Sector 3</v>
      </c>
    </row>
    <row r="96" spans="1:20" x14ac:dyDescent="0.2">
      <c r="A96" s="13" t="s">
        <v>229</v>
      </c>
      <c r="B96" s="13" t="s">
        <v>18</v>
      </c>
      <c r="C96" s="13" t="s">
        <v>230</v>
      </c>
      <c r="D96" s="13" t="s">
        <v>231</v>
      </c>
      <c r="E96" s="13" t="s">
        <v>591</v>
      </c>
      <c r="F96" s="14">
        <v>46296.772488425922</v>
      </c>
      <c r="G96" s="13" t="s">
        <v>21</v>
      </c>
      <c r="H96" s="13" t="s">
        <v>1183</v>
      </c>
      <c r="I96" s="15">
        <v>100</v>
      </c>
      <c r="J96" s="13" t="s">
        <v>22</v>
      </c>
      <c r="K96" s="13" t="s">
        <v>23</v>
      </c>
      <c r="L96" s="15">
        <v>352</v>
      </c>
      <c r="M96" s="13" t="s">
        <v>230</v>
      </c>
      <c r="N96" s="14">
        <v>46296.835983796293</v>
      </c>
      <c r="O96" s="15">
        <v>0</v>
      </c>
      <c r="P96" s="13" t="s">
        <v>129</v>
      </c>
      <c r="Q96" s="15">
        <v>40</v>
      </c>
      <c r="R96" s="3" t="str">
        <f>IF(OR(G96="12R",G96="12L"),_xlfn.XLOOKUP(C96,Tabla42[ADEP],Tabla42[SID 12R],""),IF(OR(G96="30L",G96="30R"),_xlfn.XLOOKUP(C96,Tabla42[ADEP],Tabla42[SID 30L],""),""))</f>
        <v>CZM</v>
      </c>
      <c r="S96" s="3">
        <f t="shared" si="1"/>
        <v>18</v>
      </c>
      <c r="T96" s="3" t="str">
        <f>_xlfn.XLOOKUP(C96,Tabla42[ADEP],Tabla42[Sector],"")</f>
        <v>Sector 7</v>
      </c>
    </row>
    <row r="97" spans="1:20" x14ac:dyDescent="0.2">
      <c r="A97" s="13" t="s">
        <v>445</v>
      </c>
      <c r="B97" s="13" t="s">
        <v>18</v>
      </c>
      <c r="C97" s="13" t="s">
        <v>263</v>
      </c>
      <c r="D97" s="13" t="s">
        <v>28</v>
      </c>
      <c r="E97" s="13" t="s">
        <v>487</v>
      </c>
      <c r="F97" s="14">
        <v>46296.77920138889</v>
      </c>
      <c r="G97" s="13" t="s">
        <v>21</v>
      </c>
      <c r="H97" s="13" t="s">
        <v>1184</v>
      </c>
      <c r="I97" s="15">
        <v>390</v>
      </c>
      <c r="J97" s="13" t="s">
        <v>22</v>
      </c>
      <c r="K97" s="13" t="s">
        <v>23</v>
      </c>
      <c r="L97" s="15">
        <v>361</v>
      </c>
      <c r="M97" s="13" t="s">
        <v>528</v>
      </c>
      <c r="N97" s="14">
        <v>46296.79923611111</v>
      </c>
      <c r="O97" s="15">
        <v>390</v>
      </c>
      <c r="P97" s="13" t="s">
        <v>25</v>
      </c>
      <c r="Q97" s="15">
        <v>40</v>
      </c>
      <c r="R97" s="3" t="str">
        <f>IF(OR(G97="12R",G97="12L"),_xlfn.XLOOKUP(C97,Tabla42[ADEP],Tabla42[SID 12R],""),IF(OR(G97="30L",G97="30R"),_xlfn.XLOOKUP(C97,Tabla42[ADEP],Tabla42[SID 30L],""),""))</f>
        <v>OMSUK</v>
      </c>
      <c r="S97" s="3">
        <f t="shared" si="1"/>
        <v>18</v>
      </c>
      <c r="T97" s="3" t="str">
        <f>_xlfn.XLOOKUP(C97,Tabla42[ADEP],Tabla42[Sector],"")</f>
        <v>Sector 3</v>
      </c>
    </row>
    <row r="98" spans="1:20" x14ac:dyDescent="0.2">
      <c r="A98" s="13" t="s">
        <v>228</v>
      </c>
      <c r="B98" s="13" t="s">
        <v>18</v>
      </c>
      <c r="C98" s="13" t="s">
        <v>27</v>
      </c>
      <c r="D98" s="13" t="s">
        <v>28</v>
      </c>
      <c r="E98" s="13" t="s">
        <v>1185</v>
      </c>
      <c r="F98" s="14">
        <v>46296.780555555553</v>
      </c>
      <c r="G98" s="13" t="s">
        <v>21</v>
      </c>
      <c r="H98" s="13" t="s">
        <v>1186</v>
      </c>
      <c r="I98" s="15">
        <v>380</v>
      </c>
      <c r="J98" s="13" t="s">
        <v>22</v>
      </c>
      <c r="K98" s="13" t="s">
        <v>23</v>
      </c>
      <c r="L98" s="15">
        <v>424</v>
      </c>
      <c r="M98" s="13" t="s">
        <v>189</v>
      </c>
      <c r="N98" s="14">
        <v>46296.803854166668</v>
      </c>
      <c r="O98" s="15">
        <v>360</v>
      </c>
      <c r="P98" s="13" t="s">
        <v>25</v>
      </c>
      <c r="Q98" s="15">
        <v>40</v>
      </c>
      <c r="R98" s="3" t="str">
        <f>IF(OR(G98="12R",G98="12L"),_xlfn.XLOOKUP(C98,Tabla42[ADEP],Tabla42[SID 12R],""),IF(OR(G98="30L",G98="30R"),_xlfn.XLOOKUP(C98,Tabla42[ADEP],Tabla42[SID 30L],""),""))</f>
        <v>OMSUK</v>
      </c>
      <c r="S98" s="3">
        <f t="shared" si="1"/>
        <v>18</v>
      </c>
      <c r="T98" s="3" t="str">
        <f>_xlfn.XLOOKUP(C98,Tabla42[ADEP],Tabla42[Sector],"")</f>
        <v>Sector 3</v>
      </c>
    </row>
    <row r="99" spans="1:20" x14ac:dyDescent="0.2">
      <c r="A99" s="13" t="s">
        <v>240</v>
      </c>
      <c r="B99" s="13" t="s">
        <v>18</v>
      </c>
      <c r="C99" s="13" t="s">
        <v>116</v>
      </c>
      <c r="D99" s="13" t="s">
        <v>43</v>
      </c>
      <c r="E99" s="13" t="s">
        <v>607</v>
      </c>
      <c r="F99" s="14">
        <v>46296.784467592588</v>
      </c>
      <c r="G99" s="13" t="s">
        <v>21</v>
      </c>
      <c r="H99" s="13" t="s">
        <v>1187</v>
      </c>
      <c r="I99" s="15">
        <v>360</v>
      </c>
      <c r="J99" s="13" t="s">
        <v>22</v>
      </c>
      <c r="K99" s="13" t="s">
        <v>23</v>
      </c>
      <c r="L99" s="15">
        <v>550</v>
      </c>
      <c r="M99" s="13" t="s">
        <v>123</v>
      </c>
      <c r="N99" s="14">
        <v>46296.81212962963</v>
      </c>
      <c r="O99" s="15">
        <v>360</v>
      </c>
      <c r="P99" s="13" t="s">
        <v>25</v>
      </c>
      <c r="Q99" s="15">
        <v>40</v>
      </c>
      <c r="R99" s="3" t="str">
        <f>IF(OR(G99="12R",G99="12L"),_xlfn.XLOOKUP(C99,Tabla42[ADEP],Tabla42[SID 12R],""),IF(OR(G99="30L",G99="30R"),_xlfn.XLOOKUP(C99,Tabla42[ADEP],Tabla42[SID 30L],""),""))</f>
        <v>ENEBA</v>
      </c>
      <c r="S99" s="3">
        <f t="shared" si="1"/>
        <v>18</v>
      </c>
      <c r="T99" s="3" t="str">
        <f>_xlfn.XLOOKUP(C99,Tabla42[ADEP],Tabla42[Sector],"")</f>
        <v>Sector 3</v>
      </c>
    </row>
    <row r="100" spans="1:20" x14ac:dyDescent="0.2">
      <c r="A100" s="13" t="s">
        <v>460</v>
      </c>
      <c r="B100" s="13" t="s">
        <v>18</v>
      </c>
      <c r="C100" s="13" t="s">
        <v>126</v>
      </c>
      <c r="D100" s="13" t="s">
        <v>20</v>
      </c>
      <c r="E100" s="13" t="s">
        <v>760</v>
      </c>
      <c r="F100" s="14">
        <v>46296.786666666667</v>
      </c>
      <c r="G100" s="13" t="s">
        <v>21</v>
      </c>
      <c r="H100" s="13" t="s">
        <v>1188</v>
      </c>
      <c r="I100" s="15">
        <v>390</v>
      </c>
      <c r="J100" s="13" t="s">
        <v>22</v>
      </c>
      <c r="K100" s="13" t="s">
        <v>23</v>
      </c>
      <c r="L100" s="15">
        <v>389</v>
      </c>
      <c r="M100" s="13" t="s">
        <v>1025</v>
      </c>
      <c r="N100" s="14">
        <v>46296.808148148149</v>
      </c>
      <c r="O100" s="15">
        <v>370</v>
      </c>
      <c r="P100" s="13" t="s">
        <v>25</v>
      </c>
      <c r="Q100" s="15">
        <v>40</v>
      </c>
      <c r="R100" s="3" t="str">
        <f>IF(OR(G100="12R",G100="12L"),_xlfn.XLOOKUP(C100,Tabla42[ADEP],Tabla42[SID 12R],""),IF(OR(G100="30L",G100="30R"),_xlfn.XLOOKUP(C100,Tabla42[ADEP],Tabla42[SID 30L],""),""))</f>
        <v>ENEBA</v>
      </c>
      <c r="S100" s="3">
        <f t="shared" si="1"/>
        <v>18</v>
      </c>
      <c r="T100" s="3" t="str">
        <f>_xlfn.XLOOKUP(C100,Tabla42[ADEP],Tabla42[Sector],"")</f>
        <v>Sector 3</v>
      </c>
    </row>
    <row r="101" spans="1:20" x14ac:dyDescent="0.2">
      <c r="A101" s="13" t="s">
        <v>238</v>
      </c>
      <c r="B101" s="13" t="s">
        <v>18</v>
      </c>
      <c r="C101" s="13" t="s">
        <v>239</v>
      </c>
      <c r="D101" s="13" t="s">
        <v>60</v>
      </c>
      <c r="E101" s="13" t="s">
        <v>641</v>
      </c>
      <c r="F101" s="14">
        <v>46296.791805555556</v>
      </c>
      <c r="G101" s="13" t="s">
        <v>21</v>
      </c>
      <c r="H101" s="13" t="s">
        <v>1189</v>
      </c>
      <c r="I101" s="15">
        <v>340</v>
      </c>
      <c r="J101" s="13" t="s">
        <v>22</v>
      </c>
      <c r="K101" s="13" t="s">
        <v>23</v>
      </c>
      <c r="L101" s="15">
        <v>877</v>
      </c>
      <c r="M101" s="13" t="s">
        <v>35</v>
      </c>
      <c r="N101" s="14">
        <v>46296.83693287037</v>
      </c>
      <c r="O101" s="15">
        <v>340</v>
      </c>
      <c r="P101" s="13" t="s">
        <v>25</v>
      </c>
      <c r="Q101" s="15">
        <v>190</v>
      </c>
      <c r="R101" s="3" t="str">
        <f>IF(OR(G101="12R",G101="12L"),_xlfn.XLOOKUP(C101,Tabla42[ADEP],Tabla42[SID 12R],""),IF(OR(G101="30L",G101="30R"),_xlfn.XLOOKUP(C101,Tabla42[ADEP],Tabla42[SID 30L],""),""))</f>
        <v>UDGUV</v>
      </c>
      <c r="S101" s="3">
        <f t="shared" si="1"/>
        <v>19</v>
      </c>
      <c r="T101" s="3" t="str">
        <f>_xlfn.XLOOKUP(C101,Tabla42[ADEP],Tabla42[Sector],"")</f>
        <v>Sector 2</v>
      </c>
    </row>
    <row r="102" spans="1:20" x14ac:dyDescent="0.2">
      <c r="A102" s="13" t="s">
        <v>449</v>
      </c>
      <c r="B102" s="13" t="s">
        <v>18</v>
      </c>
      <c r="C102" s="13" t="s">
        <v>96</v>
      </c>
      <c r="D102" s="13" t="s">
        <v>20</v>
      </c>
      <c r="E102" s="13" t="s">
        <v>57</v>
      </c>
      <c r="F102" s="14">
        <v>46296.793773148151</v>
      </c>
      <c r="G102" s="13" t="s">
        <v>21</v>
      </c>
      <c r="H102" s="13" t="s">
        <v>1190</v>
      </c>
      <c r="I102" s="15">
        <v>360</v>
      </c>
      <c r="J102" s="13" t="s">
        <v>22</v>
      </c>
      <c r="K102" s="13" t="s">
        <v>141</v>
      </c>
      <c r="L102" s="15">
        <v>859</v>
      </c>
      <c r="M102" s="13" t="s">
        <v>632</v>
      </c>
      <c r="N102" s="14">
        <v>46296.837152777778</v>
      </c>
      <c r="O102" s="15">
        <v>360</v>
      </c>
      <c r="P102" s="13" t="s">
        <v>25</v>
      </c>
      <c r="Q102" s="15">
        <v>190</v>
      </c>
      <c r="R102" s="3" t="str">
        <f>IF(OR(G102="12R",G102="12L"),_xlfn.XLOOKUP(C102,Tabla42[ADEP],Tabla42[SID 12R],""),IF(OR(G102="30L",G102="30R"),_xlfn.XLOOKUP(C102,Tabla42[ADEP],Tabla42[SID 30L],""),""))</f>
        <v>UDGUV</v>
      </c>
      <c r="S102" s="3">
        <f t="shared" si="1"/>
        <v>19</v>
      </c>
      <c r="T102" s="3" t="str">
        <f>_xlfn.XLOOKUP(C102,Tabla42[ADEP],Tabla42[Sector],"")</f>
        <v>Sector 2</v>
      </c>
    </row>
    <row r="103" spans="1:20" x14ac:dyDescent="0.2">
      <c r="A103" s="13" t="s">
        <v>245</v>
      </c>
      <c r="B103" s="13" t="s">
        <v>18</v>
      </c>
      <c r="C103" s="13" t="s">
        <v>109</v>
      </c>
      <c r="D103" s="13" t="s">
        <v>122</v>
      </c>
      <c r="E103" s="13" t="s">
        <v>1000</v>
      </c>
      <c r="F103" s="14">
        <v>46296.797152777777</v>
      </c>
      <c r="G103" s="13" t="s">
        <v>21</v>
      </c>
      <c r="H103" s="13" t="s">
        <v>1191</v>
      </c>
      <c r="I103" s="15">
        <v>350</v>
      </c>
      <c r="J103" s="13" t="s">
        <v>22</v>
      </c>
      <c r="K103" s="13" t="s">
        <v>23</v>
      </c>
      <c r="L103" s="15">
        <v>155</v>
      </c>
      <c r="M103" s="13" t="s">
        <v>111</v>
      </c>
      <c r="N103" s="14">
        <v>46296.809548611112</v>
      </c>
      <c r="O103" s="15">
        <v>290</v>
      </c>
      <c r="P103" s="13" t="s">
        <v>25</v>
      </c>
      <c r="Q103" s="15">
        <v>190</v>
      </c>
      <c r="R103" s="3" t="str">
        <f>IF(OR(G103="12R",G103="12L"),_xlfn.XLOOKUP(C103,Tabla42[ADEP],Tabla42[SID 12R],""),IF(OR(G103="30L",G103="30R"),_xlfn.XLOOKUP(C103,Tabla42[ADEP],Tabla42[SID 30L],""),""))</f>
        <v>TAKUX</v>
      </c>
      <c r="S103" s="3">
        <f t="shared" si="1"/>
        <v>19</v>
      </c>
      <c r="T103" s="3" t="str">
        <f>_xlfn.XLOOKUP(C103,Tabla42[ADEP],Tabla42[Sector],"")</f>
        <v>Sector 7</v>
      </c>
    </row>
    <row r="104" spans="1:20" x14ac:dyDescent="0.2">
      <c r="A104" s="13" t="s">
        <v>202</v>
      </c>
      <c r="B104" s="13" t="s">
        <v>18</v>
      </c>
      <c r="C104" s="13" t="s">
        <v>32</v>
      </c>
      <c r="D104" s="13" t="s">
        <v>20</v>
      </c>
      <c r="E104" s="13" t="s">
        <v>484</v>
      </c>
      <c r="F104" s="14">
        <v>46296.797916666663</v>
      </c>
      <c r="G104" s="13" t="s">
        <v>21</v>
      </c>
      <c r="H104" s="13" t="s">
        <v>1192</v>
      </c>
      <c r="I104" s="15">
        <v>360</v>
      </c>
      <c r="J104" s="13" t="s">
        <v>22</v>
      </c>
      <c r="K104" s="13" t="s">
        <v>23</v>
      </c>
      <c r="L104" s="15">
        <v>869</v>
      </c>
      <c r="M104" s="13" t="s">
        <v>35</v>
      </c>
      <c r="N104" s="14">
        <v>46296.842604166668</v>
      </c>
      <c r="O104" s="15">
        <v>360</v>
      </c>
      <c r="P104" s="13" t="s">
        <v>25</v>
      </c>
      <c r="Q104" s="15">
        <v>190</v>
      </c>
      <c r="R104" s="3" t="str">
        <f>IF(OR(G104="12R",G104="12L"),_xlfn.XLOOKUP(C104,Tabla42[ADEP],Tabla42[SID 12R],""),IF(OR(G104="30L",G104="30R"),_xlfn.XLOOKUP(C104,Tabla42[ADEP],Tabla42[SID 30L],""),""))</f>
        <v>UDGUV</v>
      </c>
      <c r="S104" s="3">
        <f t="shared" si="1"/>
        <v>19</v>
      </c>
      <c r="T104" s="3" t="str">
        <f>_xlfn.XLOOKUP(C104,Tabla42[ADEP],Tabla42[Sector],"")</f>
        <v>Sector 2</v>
      </c>
    </row>
    <row r="105" spans="1:20" x14ac:dyDescent="0.2">
      <c r="A105" s="13" t="s">
        <v>1193</v>
      </c>
      <c r="B105" s="13" t="s">
        <v>18</v>
      </c>
      <c r="C105" s="13" t="s">
        <v>1194</v>
      </c>
      <c r="D105" s="13" t="s">
        <v>1028</v>
      </c>
      <c r="E105" s="13" t="s">
        <v>1195</v>
      </c>
      <c r="F105" s="14">
        <v>46296.800057870365</v>
      </c>
      <c r="G105" s="13" t="s">
        <v>21</v>
      </c>
      <c r="H105" s="13" t="s">
        <v>1196</v>
      </c>
      <c r="I105" s="15">
        <v>370</v>
      </c>
      <c r="J105" s="13" t="s">
        <v>22</v>
      </c>
      <c r="K105" s="13" t="s">
        <v>455</v>
      </c>
      <c r="L105" s="15">
        <v>363</v>
      </c>
      <c r="M105" s="13" t="s">
        <v>30</v>
      </c>
      <c r="N105" s="14">
        <v>46296.82167824074</v>
      </c>
      <c r="O105" s="15">
        <v>350</v>
      </c>
      <c r="P105" s="13" t="s">
        <v>25</v>
      </c>
      <c r="Q105" s="15">
        <v>40</v>
      </c>
      <c r="R105" s="3" t="str">
        <f>IF(OR(G105="12R",G105="12L"),_xlfn.XLOOKUP(C105,Tabla42[ADEP],Tabla42[SID 12R],""),IF(OR(G105="30L",G105="30R"),_xlfn.XLOOKUP(C105,Tabla42[ADEP],Tabla42[SID 30L],""),""))</f>
        <v/>
      </c>
      <c r="S105" s="3">
        <f t="shared" si="1"/>
        <v>19</v>
      </c>
      <c r="T105" s="3" t="str">
        <f>_xlfn.XLOOKUP(C105,Tabla42[ADEP],Tabla42[Sector],"")</f>
        <v/>
      </c>
    </row>
    <row r="106" spans="1:20" x14ac:dyDescent="0.2">
      <c r="A106" s="13" t="s">
        <v>251</v>
      </c>
      <c r="B106" s="13" t="s">
        <v>18</v>
      </c>
      <c r="C106" s="13" t="s">
        <v>126</v>
      </c>
      <c r="D106" s="13" t="s">
        <v>60</v>
      </c>
      <c r="E106" s="13" t="s">
        <v>964</v>
      </c>
      <c r="F106" s="14">
        <v>46296.801238425927</v>
      </c>
      <c r="G106" s="13" t="s">
        <v>21</v>
      </c>
      <c r="H106" s="13" t="s">
        <v>1197</v>
      </c>
      <c r="I106" s="15">
        <v>360</v>
      </c>
      <c r="J106" s="13" t="s">
        <v>22</v>
      </c>
      <c r="K106" s="13" t="s">
        <v>23</v>
      </c>
      <c r="L106" s="15">
        <v>440</v>
      </c>
      <c r="M106" s="13" t="s">
        <v>189</v>
      </c>
      <c r="N106" s="14">
        <v>46296.824907407412</v>
      </c>
      <c r="O106" s="15">
        <v>340</v>
      </c>
      <c r="P106" s="13" t="s">
        <v>25</v>
      </c>
      <c r="Q106" s="15">
        <v>40</v>
      </c>
      <c r="R106" s="3" t="str">
        <f>IF(OR(G106="12R",G106="12L"),_xlfn.XLOOKUP(C106,Tabla42[ADEP],Tabla42[SID 12R],""),IF(OR(G106="30L",G106="30R"),_xlfn.XLOOKUP(C106,Tabla42[ADEP],Tabla42[SID 30L],""),""))</f>
        <v>ENEBA</v>
      </c>
      <c r="S106" s="3">
        <f t="shared" si="1"/>
        <v>19</v>
      </c>
      <c r="T106" s="3" t="str">
        <f>_xlfn.XLOOKUP(C106,Tabla42[ADEP],Tabla42[Sector],"")</f>
        <v>Sector 3</v>
      </c>
    </row>
    <row r="107" spans="1:20" x14ac:dyDescent="0.2">
      <c r="A107" s="13" t="s">
        <v>1198</v>
      </c>
      <c r="B107" s="13" t="s">
        <v>18</v>
      </c>
      <c r="C107" s="13" t="s">
        <v>1199</v>
      </c>
      <c r="D107" s="13" t="s">
        <v>394</v>
      </c>
      <c r="E107" s="13"/>
      <c r="F107" s="14">
        <v>46296.806655092594</v>
      </c>
      <c r="G107" s="13" t="s">
        <v>21</v>
      </c>
      <c r="H107" s="13" t="s">
        <v>1200</v>
      </c>
      <c r="I107" s="15">
        <v>280</v>
      </c>
      <c r="J107" s="13" t="s">
        <v>22</v>
      </c>
      <c r="K107" s="13" t="s">
        <v>50</v>
      </c>
      <c r="L107" s="15">
        <v>882</v>
      </c>
      <c r="M107" s="13" t="s">
        <v>45</v>
      </c>
      <c r="N107" s="14">
        <v>46296.88890046296</v>
      </c>
      <c r="O107" s="15">
        <v>280</v>
      </c>
      <c r="P107" s="13" t="s">
        <v>129</v>
      </c>
      <c r="Q107" s="15">
        <v>40</v>
      </c>
      <c r="R107" s="3" t="str">
        <f>IF(OR(G107="12R",G107="12L"),_xlfn.XLOOKUP(C107,Tabla42[ADEP],Tabla42[SID 12R],""),IF(OR(G107="30L",G107="30R"),_xlfn.XLOOKUP(C107,Tabla42[ADEP],Tabla42[SID 30L],""),""))</f>
        <v>UDGUV</v>
      </c>
      <c r="S107" s="3">
        <f t="shared" si="1"/>
        <v>19</v>
      </c>
      <c r="T107" s="3" t="str">
        <f>_xlfn.XLOOKUP(C107,Tabla42[ADEP],Tabla42[Sector],"")</f>
        <v>Sector 2</v>
      </c>
    </row>
    <row r="108" spans="1:20" x14ac:dyDescent="0.2">
      <c r="A108" s="13" t="s">
        <v>1201</v>
      </c>
      <c r="B108" s="13" t="s">
        <v>18</v>
      </c>
      <c r="C108" s="13" t="s">
        <v>592</v>
      </c>
      <c r="D108" s="13" t="s">
        <v>28</v>
      </c>
      <c r="E108" s="13" t="s">
        <v>1202</v>
      </c>
      <c r="F108" s="14">
        <v>46296.809224537035</v>
      </c>
      <c r="G108" s="13" t="s">
        <v>21</v>
      </c>
      <c r="H108" s="13" t="s">
        <v>1203</v>
      </c>
      <c r="I108" s="15">
        <v>380</v>
      </c>
      <c r="J108" s="13" t="s">
        <v>22</v>
      </c>
      <c r="K108" s="13" t="s">
        <v>23</v>
      </c>
      <c r="L108" s="15">
        <v>424</v>
      </c>
      <c r="M108" s="13" t="s">
        <v>189</v>
      </c>
      <c r="N108" s="14">
        <v>46296.831053240741</v>
      </c>
      <c r="O108" s="15">
        <v>380</v>
      </c>
      <c r="P108" s="13" t="s">
        <v>25</v>
      </c>
      <c r="Q108" s="15">
        <v>40</v>
      </c>
      <c r="R108" s="3" t="str">
        <f>IF(OR(G108="12R",G108="12L"),_xlfn.XLOOKUP(C108,Tabla42[ADEP],Tabla42[SID 12R],""),IF(OR(G108="30L",G108="30R"),_xlfn.XLOOKUP(C108,Tabla42[ADEP],Tabla42[SID 30L],""),""))</f>
        <v>ENEBA</v>
      </c>
      <c r="S108" s="3">
        <f t="shared" si="1"/>
        <v>19</v>
      </c>
      <c r="T108" s="3" t="str">
        <f>_xlfn.XLOOKUP(C108,Tabla42[ADEP],Tabla42[Sector],"")</f>
        <v>Sector 3</v>
      </c>
    </row>
    <row r="109" spans="1:20" x14ac:dyDescent="0.2">
      <c r="A109" s="13" t="s">
        <v>454</v>
      </c>
      <c r="B109" s="13" t="s">
        <v>18</v>
      </c>
      <c r="C109" s="13" t="s">
        <v>242</v>
      </c>
      <c r="D109" s="13" t="s">
        <v>243</v>
      </c>
      <c r="E109" s="13" t="s">
        <v>594</v>
      </c>
      <c r="F109" s="14">
        <v>46296.810844907406</v>
      </c>
      <c r="G109" s="13" t="s">
        <v>21</v>
      </c>
      <c r="H109" s="13" t="s">
        <v>1204</v>
      </c>
      <c r="I109" s="15">
        <v>370</v>
      </c>
      <c r="J109" s="13" t="s">
        <v>22</v>
      </c>
      <c r="K109" s="13" t="s">
        <v>23</v>
      </c>
      <c r="L109" s="15">
        <v>132</v>
      </c>
      <c r="M109" s="13" t="s">
        <v>741</v>
      </c>
      <c r="N109" s="14">
        <v>46296.819699074069</v>
      </c>
      <c r="O109" s="15">
        <v>231</v>
      </c>
      <c r="P109" s="13" t="s">
        <v>40</v>
      </c>
      <c r="Q109" s="15">
        <v>190</v>
      </c>
      <c r="R109" s="3" t="str">
        <f>IF(OR(G109="12R",G109="12L"),_xlfn.XLOOKUP(C109,Tabla42[ADEP],Tabla42[SID 12R],""),IF(OR(G109="30L",G109="30R"),_xlfn.XLOOKUP(C109,Tabla42[ADEP],Tabla42[SID 30L],""),""))</f>
        <v>NUDAL</v>
      </c>
      <c r="S109" s="3">
        <f t="shared" si="1"/>
        <v>19</v>
      </c>
      <c r="T109" s="3" t="str">
        <f>_xlfn.XLOOKUP(C109,Tabla42[ADEP],Tabla42[Sector],"")</f>
        <v>Sector 3</v>
      </c>
    </row>
    <row r="110" spans="1:20" x14ac:dyDescent="0.2">
      <c r="A110" s="13" t="s">
        <v>387</v>
      </c>
      <c r="B110" s="13" t="s">
        <v>18</v>
      </c>
      <c r="C110" s="13" t="s">
        <v>388</v>
      </c>
      <c r="D110" s="13" t="s">
        <v>60</v>
      </c>
      <c r="E110" s="13" t="s">
        <v>1002</v>
      </c>
      <c r="F110" s="14">
        <v>46296.812291666662</v>
      </c>
      <c r="G110" s="13" t="s">
        <v>21</v>
      </c>
      <c r="H110" s="13" t="s">
        <v>1205</v>
      </c>
      <c r="I110" s="15">
        <v>360</v>
      </c>
      <c r="J110" s="13" t="s">
        <v>22</v>
      </c>
      <c r="K110" s="13" t="s">
        <v>23</v>
      </c>
      <c r="L110" s="15">
        <v>429</v>
      </c>
      <c r="M110" s="13" t="s">
        <v>189</v>
      </c>
      <c r="N110" s="14">
        <v>46296.835115740745</v>
      </c>
      <c r="O110" s="15">
        <v>320</v>
      </c>
      <c r="P110" s="13" t="s">
        <v>25</v>
      </c>
      <c r="Q110" s="15">
        <v>40</v>
      </c>
      <c r="R110" s="3" t="str">
        <f>IF(OR(G110="12R",G110="12L"),_xlfn.XLOOKUP(C110,Tabla42[ADEP],Tabla42[SID 12R],""),IF(OR(G110="30L",G110="30R"),_xlfn.XLOOKUP(C110,Tabla42[ADEP],Tabla42[SID 30L],""),""))</f>
        <v>ENEBA</v>
      </c>
      <c r="S110" s="3">
        <f t="shared" si="1"/>
        <v>19</v>
      </c>
      <c r="T110" s="3" t="str">
        <f>_xlfn.XLOOKUP(C110,Tabla42[ADEP],Tabla42[Sector],"")</f>
        <v>Sector 3</v>
      </c>
    </row>
    <row r="111" spans="1:20" x14ac:dyDescent="0.2">
      <c r="A111" s="13" t="s">
        <v>253</v>
      </c>
      <c r="B111" s="13" t="s">
        <v>18</v>
      </c>
      <c r="C111" s="13" t="s">
        <v>254</v>
      </c>
      <c r="D111" s="13" t="s">
        <v>20</v>
      </c>
      <c r="E111" s="13" t="s">
        <v>149</v>
      </c>
      <c r="F111" s="14">
        <v>46296.813935185186</v>
      </c>
      <c r="G111" s="13" t="s">
        <v>21</v>
      </c>
      <c r="H111" s="13" t="s">
        <v>1206</v>
      </c>
      <c r="I111" s="15">
        <v>340</v>
      </c>
      <c r="J111" s="13" t="s">
        <v>22</v>
      </c>
      <c r="K111" s="13" t="s">
        <v>23</v>
      </c>
      <c r="L111" s="15">
        <v>864</v>
      </c>
      <c r="M111" s="13" t="s">
        <v>35</v>
      </c>
      <c r="N111" s="14">
        <v>46296.857928240745</v>
      </c>
      <c r="O111" s="15">
        <v>340</v>
      </c>
      <c r="P111" s="13" t="s">
        <v>25</v>
      </c>
      <c r="Q111" s="15">
        <v>190</v>
      </c>
      <c r="R111" s="3" t="str">
        <f>IF(OR(G111="12R",G111="12L"),_xlfn.XLOOKUP(C111,Tabla42[ADEP],Tabla42[SID 12R],""),IF(OR(G111="30L",G111="30R"),_xlfn.XLOOKUP(C111,Tabla42[ADEP],Tabla42[SID 30L],""),""))</f>
        <v>UDGUV</v>
      </c>
      <c r="S111" s="3">
        <f t="shared" si="1"/>
        <v>19</v>
      </c>
      <c r="T111" s="3" t="str">
        <f>_xlfn.XLOOKUP(C111,Tabla42[ADEP],Tabla42[Sector],"")</f>
        <v>Sector 2</v>
      </c>
    </row>
    <row r="112" spans="1:20" x14ac:dyDescent="0.2">
      <c r="A112" s="13" t="s">
        <v>600</v>
      </c>
      <c r="B112" s="13" t="s">
        <v>18</v>
      </c>
      <c r="C112" s="13" t="s">
        <v>293</v>
      </c>
      <c r="D112" s="13" t="s">
        <v>20</v>
      </c>
      <c r="E112" s="13" t="s">
        <v>1207</v>
      </c>
      <c r="F112" s="14">
        <v>46296.815300925926</v>
      </c>
      <c r="G112" s="13" t="s">
        <v>21</v>
      </c>
      <c r="H112" s="13" t="s">
        <v>1208</v>
      </c>
      <c r="I112" s="15">
        <v>360</v>
      </c>
      <c r="J112" s="13" t="s">
        <v>22</v>
      </c>
      <c r="K112" s="13" t="s">
        <v>23</v>
      </c>
      <c r="L112" s="15">
        <v>877</v>
      </c>
      <c r="M112" s="13" t="s">
        <v>35</v>
      </c>
      <c r="N112" s="14">
        <v>46296.859456018516</v>
      </c>
      <c r="O112" s="15">
        <v>360</v>
      </c>
      <c r="P112" s="13" t="s">
        <v>25</v>
      </c>
      <c r="Q112" s="15">
        <v>190</v>
      </c>
      <c r="R112" s="3" t="str">
        <f>IF(OR(G112="12R",G112="12L"),_xlfn.XLOOKUP(C112,Tabla42[ADEP],Tabla42[SID 12R],""),IF(OR(G112="30L",G112="30R"),_xlfn.XLOOKUP(C112,Tabla42[ADEP],Tabla42[SID 30L],""),""))</f>
        <v>UDGUV</v>
      </c>
      <c r="S112" s="3">
        <f t="shared" si="1"/>
        <v>19</v>
      </c>
      <c r="T112" s="3" t="str">
        <f>_xlfn.XLOOKUP(C112,Tabla42[ADEP],Tabla42[Sector],"")</f>
        <v>Sector 2</v>
      </c>
    </row>
    <row r="113" spans="1:20" x14ac:dyDescent="0.2">
      <c r="A113" s="13" t="s">
        <v>186</v>
      </c>
      <c r="B113" s="13" t="s">
        <v>18</v>
      </c>
      <c r="C113" s="13" t="s">
        <v>121</v>
      </c>
      <c r="D113" s="13" t="s">
        <v>60</v>
      </c>
      <c r="E113" s="13" t="s">
        <v>1001</v>
      </c>
      <c r="F113" s="14">
        <v>46296.816921296297</v>
      </c>
      <c r="G113" s="13" t="s">
        <v>21</v>
      </c>
      <c r="H113" s="13" t="s">
        <v>1209</v>
      </c>
      <c r="I113" s="15">
        <v>300</v>
      </c>
      <c r="J113" s="13" t="s">
        <v>22</v>
      </c>
      <c r="K113" s="13" t="s">
        <v>23</v>
      </c>
      <c r="L113" s="15">
        <v>853</v>
      </c>
      <c r="M113" s="13" t="s">
        <v>1210</v>
      </c>
      <c r="N113" s="14">
        <v>46296.859456018516</v>
      </c>
      <c r="O113" s="15">
        <v>340</v>
      </c>
      <c r="P113" s="13" t="s">
        <v>25</v>
      </c>
      <c r="Q113" s="15">
        <v>190</v>
      </c>
      <c r="R113" s="3" t="str">
        <f>IF(OR(G113="12R",G113="12L"),_xlfn.XLOOKUP(C113,Tabla42[ADEP],Tabla42[SID 12R],""),IF(OR(G113="30L",G113="30R"),_xlfn.XLOOKUP(C113,Tabla42[ADEP],Tabla42[SID 30L],""),""))</f>
        <v>ENEBA</v>
      </c>
      <c r="S113" s="3">
        <f t="shared" si="1"/>
        <v>19</v>
      </c>
      <c r="T113" s="3" t="str">
        <f>_xlfn.XLOOKUP(C113,Tabla42[ADEP],Tabla42[Sector],"")</f>
        <v>Sector 3</v>
      </c>
    </row>
    <row r="114" spans="1:20" x14ac:dyDescent="0.2">
      <c r="A114" s="13" t="s">
        <v>235</v>
      </c>
      <c r="B114" s="13" t="s">
        <v>18</v>
      </c>
      <c r="C114" s="13" t="s">
        <v>62</v>
      </c>
      <c r="D114" s="13" t="s">
        <v>33</v>
      </c>
      <c r="E114" s="13" t="s">
        <v>573</v>
      </c>
      <c r="F114" s="14">
        <v>46296.818425925929</v>
      </c>
      <c r="G114" s="13" t="s">
        <v>21</v>
      </c>
      <c r="H114" s="13" t="s">
        <v>1211</v>
      </c>
      <c r="I114" s="15">
        <v>380</v>
      </c>
      <c r="J114" s="13" t="s">
        <v>22</v>
      </c>
      <c r="K114" s="13" t="s">
        <v>23</v>
      </c>
      <c r="L114" s="15">
        <v>870</v>
      </c>
      <c r="M114" s="13" t="s">
        <v>167</v>
      </c>
      <c r="N114" s="14">
        <v>46296.862268518518</v>
      </c>
      <c r="O114" s="15">
        <v>380</v>
      </c>
      <c r="P114" s="13" t="s">
        <v>25</v>
      </c>
      <c r="Q114" s="15">
        <v>190</v>
      </c>
      <c r="R114" s="3" t="str">
        <f>IF(OR(G114="12R",G114="12L"),_xlfn.XLOOKUP(C114,Tabla42[ADEP],Tabla42[SID 12R],""),IF(OR(G114="30L",G114="30R"),_xlfn.XLOOKUP(C114,Tabla42[ADEP],Tabla42[SID 30L],""),""))</f>
        <v>UDGUV</v>
      </c>
      <c r="S114" s="3">
        <f t="shared" si="1"/>
        <v>19</v>
      </c>
      <c r="T114" s="3" t="str">
        <f>_xlfn.XLOOKUP(C114,Tabla42[ADEP],Tabla42[Sector],"")</f>
        <v>Sector 2</v>
      </c>
    </row>
    <row r="115" spans="1:20" x14ac:dyDescent="0.2">
      <c r="A115" s="13" t="s">
        <v>246</v>
      </c>
      <c r="B115" s="13" t="s">
        <v>18</v>
      </c>
      <c r="C115" s="13" t="s">
        <v>209</v>
      </c>
      <c r="D115" s="13" t="s">
        <v>122</v>
      </c>
      <c r="E115" s="13" t="s">
        <v>1212</v>
      </c>
      <c r="F115" s="14">
        <v>46296.819386574076</v>
      </c>
      <c r="G115" s="13" t="s">
        <v>21</v>
      </c>
      <c r="H115" s="13" t="s">
        <v>1213</v>
      </c>
      <c r="I115" s="15">
        <v>380</v>
      </c>
      <c r="J115" s="13" t="s">
        <v>22</v>
      </c>
      <c r="K115" s="13" t="s">
        <v>23</v>
      </c>
      <c r="L115" s="15">
        <v>536</v>
      </c>
      <c r="M115" s="13" t="s">
        <v>123</v>
      </c>
      <c r="N115" s="14">
        <v>46296.84674768518</v>
      </c>
      <c r="O115" s="15">
        <v>380</v>
      </c>
      <c r="P115" s="13" t="s">
        <v>25</v>
      </c>
      <c r="Q115" s="15">
        <v>40</v>
      </c>
      <c r="R115" s="3" t="str">
        <f>IF(OR(G115="12R",G115="12L"),_xlfn.XLOOKUP(C115,Tabla42[ADEP],Tabla42[SID 12R],""),IF(OR(G115="30L",G115="30R"),_xlfn.XLOOKUP(C115,Tabla42[ADEP],Tabla42[SID 30L],""),""))</f>
        <v>ENEBA</v>
      </c>
      <c r="S115" s="3">
        <f t="shared" si="1"/>
        <v>19</v>
      </c>
      <c r="T115" s="3" t="str">
        <f>_xlfn.XLOOKUP(C115,Tabla42[ADEP],Tabla42[Sector],"")</f>
        <v>Sector 3</v>
      </c>
    </row>
    <row r="116" spans="1:20" x14ac:dyDescent="0.2">
      <c r="A116" s="13" t="s">
        <v>452</v>
      </c>
      <c r="B116" s="13" t="s">
        <v>18</v>
      </c>
      <c r="C116" s="13" t="s">
        <v>453</v>
      </c>
      <c r="D116" s="13" t="s">
        <v>122</v>
      </c>
      <c r="E116" s="13" t="s">
        <v>1214</v>
      </c>
      <c r="F116" s="14">
        <v>46296.820694444439</v>
      </c>
      <c r="G116" s="13" t="s">
        <v>21</v>
      </c>
      <c r="H116" s="13" t="s">
        <v>1215</v>
      </c>
      <c r="I116" s="15">
        <v>340</v>
      </c>
      <c r="J116" s="13" t="s">
        <v>22</v>
      </c>
      <c r="K116" s="13" t="s">
        <v>23</v>
      </c>
      <c r="L116" s="15">
        <v>431</v>
      </c>
      <c r="M116" s="13" t="s">
        <v>189</v>
      </c>
      <c r="N116" s="14">
        <v>46296.844293981485</v>
      </c>
      <c r="O116" s="15">
        <v>340</v>
      </c>
      <c r="P116" s="13" t="s">
        <v>25</v>
      </c>
      <c r="Q116" s="15">
        <v>40</v>
      </c>
      <c r="R116" s="3" t="str">
        <f>IF(OR(G116="12R",G116="12L"),_xlfn.XLOOKUP(C116,Tabla42[ADEP],Tabla42[SID 12R],""),IF(OR(G116="30L",G116="30R"),_xlfn.XLOOKUP(C116,Tabla42[ADEP],Tabla42[SID 30L],""),""))</f>
        <v>OMSUK</v>
      </c>
      <c r="S116" s="3">
        <f t="shared" si="1"/>
        <v>19</v>
      </c>
      <c r="T116" s="3" t="str">
        <f>_xlfn.XLOOKUP(C116,Tabla42[ADEP],Tabla42[Sector],"")</f>
        <v>Sector 3</v>
      </c>
    </row>
    <row r="117" spans="1:20" x14ac:dyDescent="0.2">
      <c r="A117" s="13" t="s">
        <v>358</v>
      </c>
      <c r="B117" s="13" t="s">
        <v>18</v>
      </c>
      <c r="C117" s="13" t="s">
        <v>359</v>
      </c>
      <c r="D117" s="13" t="s">
        <v>33</v>
      </c>
      <c r="E117" s="13" t="s">
        <v>1044</v>
      </c>
      <c r="F117" s="14">
        <v>46296.82203703704</v>
      </c>
      <c r="G117" s="13" t="s">
        <v>21</v>
      </c>
      <c r="H117" s="13" t="s">
        <v>1216</v>
      </c>
      <c r="I117" s="15">
        <v>370</v>
      </c>
      <c r="J117" s="13" t="s">
        <v>22</v>
      </c>
      <c r="K117" s="13" t="s">
        <v>23</v>
      </c>
      <c r="L117" s="15">
        <v>359</v>
      </c>
      <c r="M117" s="13" t="s">
        <v>30</v>
      </c>
      <c r="N117" s="14">
        <v>46296.842349537037</v>
      </c>
      <c r="O117" s="15">
        <v>370</v>
      </c>
      <c r="P117" s="13" t="s">
        <v>25</v>
      </c>
      <c r="Q117" s="15">
        <v>40</v>
      </c>
      <c r="R117" s="3" t="str">
        <f>IF(OR(G117="12R",G117="12L"),_xlfn.XLOOKUP(C117,Tabla42[ADEP],Tabla42[SID 12R],""),IF(OR(G117="30L",G117="30R"),_xlfn.XLOOKUP(C117,Tabla42[ADEP],Tabla42[SID 30L],""),""))</f>
        <v>OMSUK</v>
      </c>
      <c r="S117" s="3">
        <f t="shared" si="1"/>
        <v>19</v>
      </c>
      <c r="T117" s="3" t="str">
        <f>_xlfn.XLOOKUP(C117,Tabla42[ADEP],Tabla42[Sector],"")</f>
        <v>Sector 3</v>
      </c>
    </row>
    <row r="118" spans="1:20" x14ac:dyDescent="0.2">
      <c r="A118" s="13" t="s">
        <v>264</v>
      </c>
      <c r="B118" s="13" t="s">
        <v>18</v>
      </c>
      <c r="C118" s="13" t="s">
        <v>265</v>
      </c>
      <c r="D118" s="13" t="s">
        <v>33</v>
      </c>
      <c r="E118" s="13" t="s">
        <v>147</v>
      </c>
      <c r="F118" s="14">
        <v>46296.823923611111</v>
      </c>
      <c r="G118" s="13" t="s">
        <v>21</v>
      </c>
      <c r="H118" s="13" t="s">
        <v>1217</v>
      </c>
      <c r="I118" s="15">
        <v>360</v>
      </c>
      <c r="J118" s="13" t="s">
        <v>22</v>
      </c>
      <c r="K118" s="13" t="s">
        <v>23</v>
      </c>
      <c r="L118" s="15">
        <v>869</v>
      </c>
      <c r="M118" s="13" t="s">
        <v>167</v>
      </c>
      <c r="N118" s="14">
        <v>46296.868020833332</v>
      </c>
      <c r="O118" s="15">
        <v>360</v>
      </c>
      <c r="P118" s="13" t="s">
        <v>25</v>
      </c>
      <c r="Q118" s="15">
        <v>190</v>
      </c>
      <c r="R118" s="3" t="str">
        <f>IF(OR(G118="12R",G118="12L"),_xlfn.XLOOKUP(C118,Tabla42[ADEP],Tabla42[SID 12R],""),IF(OR(G118="30L",G118="30R"),_xlfn.XLOOKUP(C118,Tabla42[ADEP],Tabla42[SID 30L],""),""))</f>
        <v>UDGUV</v>
      </c>
      <c r="S118" s="3">
        <f t="shared" si="1"/>
        <v>19</v>
      </c>
      <c r="T118" s="3" t="str">
        <f>_xlfn.XLOOKUP(C118,Tabla42[ADEP],Tabla42[Sector],"")</f>
        <v>Sector 2</v>
      </c>
    </row>
    <row r="119" spans="1:20" x14ac:dyDescent="0.2">
      <c r="A119" s="13" t="s">
        <v>443</v>
      </c>
      <c r="B119" s="13" t="s">
        <v>18</v>
      </c>
      <c r="C119" s="13" t="s">
        <v>444</v>
      </c>
      <c r="D119" s="13" t="s">
        <v>110</v>
      </c>
      <c r="E119" s="13" t="s">
        <v>201</v>
      </c>
      <c r="F119" s="14">
        <v>46296.825740740736</v>
      </c>
      <c r="G119" s="13" t="s">
        <v>21</v>
      </c>
      <c r="H119" s="13" t="s">
        <v>1218</v>
      </c>
      <c r="I119" s="15">
        <v>380</v>
      </c>
      <c r="J119" s="13" t="s">
        <v>22</v>
      </c>
      <c r="K119" s="13" t="s">
        <v>23</v>
      </c>
      <c r="L119" s="15">
        <v>439</v>
      </c>
      <c r="M119" s="13" t="s">
        <v>189</v>
      </c>
      <c r="N119" s="14">
        <v>46296.848414351851</v>
      </c>
      <c r="O119" s="15">
        <v>380</v>
      </c>
      <c r="P119" s="13" t="s">
        <v>25</v>
      </c>
      <c r="Q119" s="15">
        <v>40</v>
      </c>
      <c r="R119" s="3" t="str">
        <f>IF(OR(G119="12R",G119="12L"),_xlfn.XLOOKUP(C119,Tabla42[ADEP],Tabla42[SID 12R],""),IF(OR(G119="30L",G119="30R"),_xlfn.XLOOKUP(C119,Tabla42[ADEP],Tabla42[SID 30L],""),""))</f>
        <v>ENEBA</v>
      </c>
      <c r="S119" s="3">
        <f t="shared" si="1"/>
        <v>19</v>
      </c>
      <c r="T119" s="3" t="str">
        <f>_xlfn.XLOOKUP(C119,Tabla42[ADEP],Tabla42[Sector],"")</f>
        <v>Sector 3</v>
      </c>
    </row>
    <row r="120" spans="1:20" x14ac:dyDescent="0.2">
      <c r="A120" s="13" t="s">
        <v>268</v>
      </c>
      <c r="B120" s="13" t="s">
        <v>18</v>
      </c>
      <c r="C120" s="13" t="s">
        <v>42</v>
      </c>
      <c r="D120" s="13" t="s">
        <v>43</v>
      </c>
      <c r="E120" s="13" t="s">
        <v>120</v>
      </c>
      <c r="F120" s="14">
        <v>46296.829571759255</v>
      </c>
      <c r="G120" s="13" t="s">
        <v>21</v>
      </c>
      <c r="H120" s="13" t="s">
        <v>1219</v>
      </c>
      <c r="I120" s="15">
        <v>360</v>
      </c>
      <c r="J120" s="13" t="s">
        <v>22</v>
      </c>
      <c r="K120" s="13" t="s">
        <v>23</v>
      </c>
      <c r="L120" s="15">
        <v>859</v>
      </c>
      <c r="M120" s="13" t="s">
        <v>45</v>
      </c>
      <c r="N120" s="14">
        <v>46296.873194444444</v>
      </c>
      <c r="O120" s="15">
        <v>360</v>
      </c>
      <c r="P120" s="13" t="s">
        <v>25</v>
      </c>
      <c r="Q120" s="15">
        <v>190</v>
      </c>
      <c r="R120" s="3" t="str">
        <f>IF(OR(G120="12R",G120="12L"),_xlfn.XLOOKUP(C120,Tabla42[ADEP],Tabla42[SID 12R],""),IF(OR(G120="30L",G120="30R"),_xlfn.XLOOKUP(C120,Tabla42[ADEP],Tabla42[SID 30L],""),""))</f>
        <v>UDGUV</v>
      </c>
      <c r="S120" s="3">
        <f t="shared" si="1"/>
        <v>19</v>
      </c>
      <c r="T120" s="3" t="str">
        <f>_xlfn.XLOOKUP(C120,Tabla42[ADEP],Tabla42[Sector],"")</f>
        <v>Sector 2</v>
      </c>
    </row>
    <row r="121" spans="1:20" x14ac:dyDescent="0.2">
      <c r="A121" s="13" t="s">
        <v>241</v>
      </c>
      <c r="B121" s="13" t="s">
        <v>18</v>
      </c>
      <c r="C121" s="13" t="s">
        <v>121</v>
      </c>
      <c r="D121" s="13" t="s">
        <v>60</v>
      </c>
      <c r="E121" s="13" t="s">
        <v>992</v>
      </c>
      <c r="F121" s="14">
        <v>46296.83085648148</v>
      </c>
      <c r="G121" s="13" t="s">
        <v>21</v>
      </c>
      <c r="H121" s="13" t="s">
        <v>1220</v>
      </c>
      <c r="I121" s="15">
        <v>360</v>
      </c>
      <c r="J121" s="13" t="s">
        <v>22</v>
      </c>
      <c r="K121" s="13" t="s">
        <v>23</v>
      </c>
      <c r="L121" s="15">
        <v>875</v>
      </c>
      <c r="M121" s="13" t="s">
        <v>35</v>
      </c>
      <c r="N121" s="14">
        <v>46296.8753587963</v>
      </c>
      <c r="O121" s="15">
        <v>360</v>
      </c>
      <c r="P121" s="13" t="s">
        <v>25</v>
      </c>
      <c r="Q121" s="15">
        <v>190</v>
      </c>
      <c r="R121" s="3" t="str">
        <f>IF(OR(G121="12R",G121="12L"),_xlfn.XLOOKUP(C121,Tabla42[ADEP],Tabla42[SID 12R],""),IF(OR(G121="30L",G121="30R"),_xlfn.XLOOKUP(C121,Tabla42[ADEP],Tabla42[SID 30L],""),""))</f>
        <v>ENEBA</v>
      </c>
      <c r="S121" s="3">
        <f t="shared" si="1"/>
        <v>19</v>
      </c>
      <c r="T121" s="3" t="str">
        <f>_xlfn.XLOOKUP(C121,Tabla42[ADEP],Tabla42[Sector],"")</f>
        <v>Sector 3</v>
      </c>
    </row>
    <row r="122" spans="1:20" x14ac:dyDescent="0.2">
      <c r="A122" s="13" t="s">
        <v>266</v>
      </c>
      <c r="B122" s="13" t="s">
        <v>18</v>
      </c>
      <c r="C122" s="13" t="s">
        <v>184</v>
      </c>
      <c r="D122" s="13" t="s">
        <v>60</v>
      </c>
      <c r="E122" s="13" t="s">
        <v>1221</v>
      </c>
      <c r="F122" s="14">
        <v>46296.83185185185</v>
      </c>
      <c r="G122" s="13" t="s">
        <v>21</v>
      </c>
      <c r="H122" s="13" t="s">
        <v>1222</v>
      </c>
      <c r="I122" s="15">
        <v>370</v>
      </c>
      <c r="J122" s="13" t="s">
        <v>22</v>
      </c>
      <c r="K122" s="13" t="s">
        <v>23</v>
      </c>
      <c r="L122" s="15">
        <v>361</v>
      </c>
      <c r="M122" s="13" t="s">
        <v>30</v>
      </c>
      <c r="N122" s="14">
        <v>46296.851736111115</v>
      </c>
      <c r="O122" s="15">
        <v>350</v>
      </c>
      <c r="P122" s="13" t="s">
        <v>25</v>
      </c>
      <c r="Q122" s="15">
        <v>40</v>
      </c>
      <c r="R122" s="3" t="str">
        <f>IF(OR(G122="12R",G122="12L"),_xlfn.XLOOKUP(C122,Tabla42[ADEP],Tabla42[SID 12R],""),IF(OR(G122="30L",G122="30R"),_xlfn.XLOOKUP(C122,Tabla42[ADEP],Tabla42[SID 30L],""),""))</f>
        <v>OMSUK</v>
      </c>
      <c r="S122" s="3">
        <f t="shared" si="1"/>
        <v>19</v>
      </c>
      <c r="T122" s="3" t="str">
        <f>_xlfn.XLOOKUP(C122,Tabla42[ADEP],Tabla42[Sector],"")</f>
        <v>Sector 3</v>
      </c>
    </row>
    <row r="123" spans="1:20" x14ac:dyDescent="0.2">
      <c r="A123" s="13" t="s">
        <v>259</v>
      </c>
      <c r="B123" s="13" t="s">
        <v>18</v>
      </c>
      <c r="C123" s="13" t="s">
        <v>32</v>
      </c>
      <c r="D123" s="13" t="s">
        <v>53</v>
      </c>
      <c r="E123" s="13" t="s">
        <v>645</v>
      </c>
      <c r="F123" s="14">
        <v>46296.832916666666</v>
      </c>
      <c r="G123" s="13" t="s">
        <v>21</v>
      </c>
      <c r="H123" s="13" t="s">
        <v>1223</v>
      </c>
      <c r="I123" s="15">
        <v>380</v>
      </c>
      <c r="J123" s="13" t="s">
        <v>22</v>
      </c>
      <c r="K123" s="13" t="s">
        <v>23</v>
      </c>
      <c r="L123" s="15">
        <v>878</v>
      </c>
      <c r="M123" s="13" t="s">
        <v>35</v>
      </c>
      <c r="N123" s="14">
        <v>46296.878437499996</v>
      </c>
      <c r="O123" s="15">
        <v>380</v>
      </c>
      <c r="P123" s="13" t="s">
        <v>25</v>
      </c>
      <c r="Q123" s="15">
        <v>190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13" t="s">
        <v>271</v>
      </c>
      <c r="B124" s="13" t="s">
        <v>18</v>
      </c>
      <c r="C124" s="13" t="s">
        <v>116</v>
      </c>
      <c r="D124" s="13" t="s">
        <v>43</v>
      </c>
      <c r="E124" s="13" t="s">
        <v>746</v>
      </c>
      <c r="F124" s="14">
        <v>46296.834027777775</v>
      </c>
      <c r="G124" s="13" t="s">
        <v>21</v>
      </c>
      <c r="H124" s="13" t="s">
        <v>1224</v>
      </c>
      <c r="I124" s="15">
        <v>360</v>
      </c>
      <c r="J124" s="13" t="s">
        <v>22</v>
      </c>
      <c r="K124" s="13" t="s">
        <v>23</v>
      </c>
      <c r="L124" s="15">
        <v>556</v>
      </c>
      <c r="M124" s="13" t="s">
        <v>123</v>
      </c>
      <c r="N124" s="14">
        <v>46296.861898148149</v>
      </c>
      <c r="O124" s="15">
        <v>320</v>
      </c>
      <c r="P124" s="13" t="s">
        <v>25</v>
      </c>
      <c r="Q124" s="15">
        <v>40</v>
      </c>
      <c r="R124" s="3" t="str">
        <f>IF(OR(G124="12R",G124="12L"),_xlfn.XLOOKUP(C124,Tabla42[ADEP],Tabla42[SID 12R],""),IF(OR(G124="30L",G124="30R"),_xlfn.XLOOKUP(C124,Tabla42[ADEP],Tabla42[SID 30L],""),""))</f>
        <v>ENEBA</v>
      </c>
      <c r="S124" s="3">
        <f t="shared" si="1"/>
        <v>20</v>
      </c>
      <c r="T124" s="3" t="str">
        <f>_xlfn.XLOOKUP(C124,Tabla42[ADEP],Tabla42[Sector],"")</f>
        <v>Sector 3</v>
      </c>
    </row>
    <row r="125" spans="1:20" x14ac:dyDescent="0.2">
      <c r="A125" s="13" t="s">
        <v>256</v>
      </c>
      <c r="B125" s="13" t="s">
        <v>18</v>
      </c>
      <c r="C125" s="13" t="s">
        <v>257</v>
      </c>
      <c r="D125" s="13" t="s">
        <v>117</v>
      </c>
      <c r="E125" s="13" t="s">
        <v>743</v>
      </c>
      <c r="F125" s="14">
        <v>46296.835173611107</v>
      </c>
      <c r="G125" s="13" t="s">
        <v>21</v>
      </c>
      <c r="H125" s="13" t="s">
        <v>1225</v>
      </c>
      <c r="I125" s="15">
        <v>300</v>
      </c>
      <c r="J125" s="13" t="s">
        <v>22</v>
      </c>
      <c r="K125" s="13" t="s">
        <v>23</v>
      </c>
      <c r="L125" s="15">
        <v>870</v>
      </c>
      <c r="M125" s="13" t="s">
        <v>1226</v>
      </c>
      <c r="N125" s="14">
        <v>46296.877916666665</v>
      </c>
      <c r="O125" s="15">
        <v>300</v>
      </c>
      <c r="P125" s="13" t="s">
        <v>25</v>
      </c>
      <c r="Q125" s="15">
        <v>190</v>
      </c>
      <c r="R125" s="3" t="str">
        <f>IF(OR(G125="12R",G125="12L"),_xlfn.XLOOKUP(C125,Tabla42[ADEP],Tabla42[SID 12R],""),IF(OR(G125="30L",G125="30R"),_xlfn.XLOOKUP(C125,Tabla42[ADEP],Tabla42[SID 30L],""),""))</f>
        <v>UDGUV</v>
      </c>
      <c r="S125" s="3">
        <f t="shared" si="1"/>
        <v>20</v>
      </c>
      <c r="T125" s="3" t="str">
        <f>_xlfn.XLOOKUP(C125,Tabla42[ADEP],Tabla42[Sector],"")</f>
        <v>Sector 2</v>
      </c>
    </row>
    <row r="126" spans="1:20" x14ac:dyDescent="0.2">
      <c r="A126" s="13" t="s">
        <v>272</v>
      </c>
      <c r="B126" s="13" t="s">
        <v>18</v>
      </c>
      <c r="C126" s="13" t="s">
        <v>42</v>
      </c>
      <c r="D126" s="13" t="s">
        <v>53</v>
      </c>
      <c r="E126" s="13" t="s">
        <v>97</v>
      </c>
      <c r="F126" s="14">
        <v>46296.836736111116</v>
      </c>
      <c r="G126" s="13" t="s">
        <v>21</v>
      </c>
      <c r="H126" s="13" t="s">
        <v>1227</v>
      </c>
      <c r="I126" s="15">
        <v>380</v>
      </c>
      <c r="J126" s="13" t="s">
        <v>22</v>
      </c>
      <c r="K126" s="13" t="s">
        <v>23</v>
      </c>
      <c r="L126" s="15">
        <v>859</v>
      </c>
      <c r="M126" s="13" t="s">
        <v>45</v>
      </c>
      <c r="N126" s="14">
        <v>46296.881377314814</v>
      </c>
      <c r="O126" s="15">
        <v>380</v>
      </c>
      <c r="P126" s="13" t="s">
        <v>25</v>
      </c>
      <c r="Q126" s="15">
        <v>190</v>
      </c>
      <c r="R126" s="3" t="str">
        <f>IF(OR(G126="12R",G126="12L"),_xlfn.XLOOKUP(C126,Tabla42[ADEP],Tabla42[SID 12R],""),IF(OR(G126="30L",G126="30R"),_xlfn.XLOOKUP(C126,Tabla42[ADEP],Tabla42[SID 30L],""),""))</f>
        <v>UDGUV</v>
      </c>
      <c r="S126" s="3">
        <f t="shared" si="1"/>
        <v>20</v>
      </c>
      <c r="T126" s="3" t="str">
        <f>_xlfn.XLOOKUP(C126,Tabla42[ADEP],Tabla42[Sector],"")</f>
        <v>Sector 2</v>
      </c>
    </row>
    <row r="127" spans="1:20" x14ac:dyDescent="0.2">
      <c r="A127" s="13" t="s">
        <v>278</v>
      </c>
      <c r="B127" s="13" t="s">
        <v>18</v>
      </c>
      <c r="C127" s="13" t="s">
        <v>265</v>
      </c>
      <c r="D127" s="13" t="s">
        <v>53</v>
      </c>
      <c r="E127" s="13" t="s">
        <v>802</v>
      </c>
      <c r="F127" s="14">
        <v>46296.838842592595</v>
      </c>
      <c r="G127" s="13" t="s">
        <v>21</v>
      </c>
      <c r="H127" s="13" t="s">
        <v>761</v>
      </c>
      <c r="I127" s="15">
        <v>380</v>
      </c>
      <c r="J127" s="13" t="s">
        <v>22</v>
      </c>
      <c r="K127" s="13" t="s">
        <v>23</v>
      </c>
      <c r="L127" s="15">
        <v>870</v>
      </c>
      <c r="M127" s="13" t="s">
        <v>167</v>
      </c>
      <c r="N127" s="14">
        <v>46296.884652777779</v>
      </c>
      <c r="O127" s="15">
        <v>380</v>
      </c>
      <c r="P127" s="13" t="s">
        <v>25</v>
      </c>
      <c r="Q127" s="15">
        <v>190</v>
      </c>
      <c r="R127" s="3" t="str">
        <f>IF(OR(G127="12R",G127="12L"),_xlfn.XLOOKUP(C127,Tabla42[ADEP],Tabla42[SID 12R],""),IF(OR(G127="30L",G127="30R"),_xlfn.XLOOKUP(C127,Tabla42[ADEP],Tabla42[SID 30L],""),""))</f>
        <v>UDGUV</v>
      </c>
      <c r="S127" s="3">
        <f t="shared" si="1"/>
        <v>20</v>
      </c>
      <c r="T127" s="3" t="str">
        <f>_xlfn.XLOOKUP(C127,Tabla42[ADEP],Tabla42[Sector],"")</f>
        <v>Sector 2</v>
      </c>
    </row>
    <row r="128" spans="1:20" x14ac:dyDescent="0.2">
      <c r="A128" s="13" t="s">
        <v>261</v>
      </c>
      <c r="B128" s="13" t="s">
        <v>18</v>
      </c>
      <c r="C128" s="13" t="s">
        <v>158</v>
      </c>
      <c r="D128" s="13" t="s">
        <v>33</v>
      </c>
      <c r="E128" s="13" t="s">
        <v>577</v>
      </c>
      <c r="F128" s="14">
        <v>46296.839895833335</v>
      </c>
      <c r="G128" s="13" t="s">
        <v>21</v>
      </c>
      <c r="H128" s="13" t="s">
        <v>1228</v>
      </c>
      <c r="I128" s="15">
        <v>350</v>
      </c>
      <c r="J128" s="13" t="s">
        <v>22</v>
      </c>
      <c r="K128" s="13" t="s">
        <v>23</v>
      </c>
      <c r="L128" s="15">
        <v>371</v>
      </c>
      <c r="M128" s="13" t="s">
        <v>1229</v>
      </c>
      <c r="N128" s="14">
        <v>46296.860648148147</v>
      </c>
      <c r="O128" s="15">
        <v>350</v>
      </c>
      <c r="P128" s="13" t="s">
        <v>25</v>
      </c>
      <c r="Q128" s="15">
        <v>40</v>
      </c>
      <c r="R128" s="3" t="str">
        <f>IF(OR(G128="12R",G128="12L"),_xlfn.XLOOKUP(C128,Tabla42[ADEP],Tabla42[SID 12R],""),IF(OR(G128="30L",G128="30R"),_xlfn.XLOOKUP(C128,Tabla42[ADEP],Tabla42[SID 30L],""),""))</f>
        <v>OMSUK</v>
      </c>
      <c r="S128" s="3">
        <f t="shared" si="1"/>
        <v>20</v>
      </c>
      <c r="T128" s="3" t="str">
        <f>_xlfn.XLOOKUP(C128,Tabla42[ADEP],Tabla42[Sector],"")</f>
        <v>Sector 3</v>
      </c>
    </row>
    <row r="129" spans="1:20" x14ac:dyDescent="0.2">
      <c r="A129" s="13" t="s">
        <v>274</v>
      </c>
      <c r="B129" s="13" t="s">
        <v>18</v>
      </c>
      <c r="C129" s="13" t="s">
        <v>96</v>
      </c>
      <c r="D129" s="13" t="s">
        <v>33</v>
      </c>
      <c r="E129" s="13" t="s">
        <v>275</v>
      </c>
      <c r="F129" s="14">
        <v>46296.844733796301</v>
      </c>
      <c r="G129" s="13" t="s">
        <v>21</v>
      </c>
      <c r="H129" s="13" t="s">
        <v>1230</v>
      </c>
      <c r="I129" s="15">
        <v>360</v>
      </c>
      <c r="J129" s="13" t="s">
        <v>22</v>
      </c>
      <c r="K129" s="13" t="s">
        <v>23</v>
      </c>
      <c r="L129" s="15">
        <v>860</v>
      </c>
      <c r="M129" s="13" t="s">
        <v>485</v>
      </c>
      <c r="N129" s="14">
        <v>46296.888912037037</v>
      </c>
      <c r="O129" s="15">
        <v>360</v>
      </c>
      <c r="P129" s="13" t="s">
        <v>25</v>
      </c>
      <c r="Q129" s="15">
        <v>190</v>
      </c>
      <c r="R129" s="3" t="str">
        <f>IF(OR(G129="12R",G129="12L"),_xlfn.XLOOKUP(C129,Tabla42[ADEP],Tabla42[SID 12R],""),IF(OR(G129="30L",G129="30R"),_xlfn.XLOOKUP(C129,Tabla42[ADEP],Tabla42[SID 30L],""),""))</f>
        <v>UDGUV</v>
      </c>
      <c r="S129" s="3">
        <f t="shared" si="1"/>
        <v>20</v>
      </c>
      <c r="T129" s="3" t="str">
        <f>_xlfn.XLOOKUP(C129,Tabla42[ADEP],Tabla42[Sector],"")</f>
        <v>Sector 2</v>
      </c>
    </row>
    <row r="130" spans="1:20" x14ac:dyDescent="0.2">
      <c r="A130" s="13" t="s">
        <v>280</v>
      </c>
      <c r="B130" s="13" t="s">
        <v>18</v>
      </c>
      <c r="C130" s="13" t="s">
        <v>49</v>
      </c>
      <c r="D130" s="13" t="s">
        <v>53</v>
      </c>
      <c r="E130" s="13" t="s">
        <v>727</v>
      </c>
      <c r="F130" s="14">
        <v>46296.849259259259</v>
      </c>
      <c r="G130" s="13" t="s">
        <v>21</v>
      </c>
      <c r="H130" s="13" t="s">
        <v>1231</v>
      </c>
      <c r="I130" s="15">
        <v>380</v>
      </c>
      <c r="J130" s="13" t="s">
        <v>22</v>
      </c>
      <c r="K130" s="13" t="s">
        <v>23</v>
      </c>
      <c r="L130" s="15">
        <v>859</v>
      </c>
      <c r="M130" s="13" t="s">
        <v>45</v>
      </c>
      <c r="N130" s="14">
        <v>46296.892731481479</v>
      </c>
      <c r="O130" s="15">
        <v>380</v>
      </c>
      <c r="P130" s="13" t="s">
        <v>25</v>
      </c>
      <c r="Q130" s="15">
        <v>190</v>
      </c>
      <c r="R130" s="3" t="str">
        <f>IF(OR(G130="12R",G130="12L"),_xlfn.XLOOKUP(C130,Tabla42[ADEP],Tabla42[SID 12R],""),IF(OR(G130="30L",G130="30R"),_xlfn.XLOOKUP(C130,Tabla42[ADEP],Tabla42[SID 30L],""),""))</f>
        <v>UDGUV</v>
      </c>
      <c r="S130" s="3">
        <f t="shared" si="1"/>
        <v>20</v>
      </c>
      <c r="T130" s="3" t="str">
        <f>_xlfn.XLOOKUP(C130,Tabla42[ADEP],Tabla42[Sector],"")</f>
        <v>Sector 2</v>
      </c>
    </row>
    <row r="131" spans="1:20" x14ac:dyDescent="0.2">
      <c r="A131" s="13" t="s">
        <v>307</v>
      </c>
      <c r="B131" s="13" t="s">
        <v>18</v>
      </c>
      <c r="C131" s="13" t="s">
        <v>190</v>
      </c>
      <c r="D131" s="13" t="s">
        <v>33</v>
      </c>
      <c r="E131" s="13" t="s">
        <v>1232</v>
      </c>
      <c r="F131" s="14">
        <v>46296.851354166662</v>
      </c>
      <c r="G131" s="13" t="s">
        <v>21</v>
      </c>
      <c r="H131" s="13" t="s">
        <v>1233</v>
      </c>
      <c r="I131" s="15">
        <v>370</v>
      </c>
      <c r="J131" s="13" t="s">
        <v>22</v>
      </c>
      <c r="K131" s="13" t="s">
        <v>23</v>
      </c>
      <c r="L131" s="15">
        <v>144</v>
      </c>
      <c r="M131" s="13" t="s">
        <v>39</v>
      </c>
      <c r="N131" s="14">
        <v>46296.861412037033</v>
      </c>
      <c r="O131" s="15">
        <v>241</v>
      </c>
      <c r="P131" s="13" t="s">
        <v>25</v>
      </c>
      <c r="Q131" s="15">
        <v>190</v>
      </c>
      <c r="R131" s="3" t="str">
        <f>IF(OR(G131="12R",G131="12L"),_xlfn.XLOOKUP(C131,Tabla42[ADEP],Tabla42[SID 12R],""),IF(OR(G131="30L",G131="30R"),_xlfn.XLOOKUP(C131,Tabla42[ADEP],Tabla42[SID 30L],""),""))</f>
        <v>NUDAL</v>
      </c>
      <c r="S131" s="3">
        <f t="shared" ref="S131:S194" si="2">HOUR(F131)</f>
        <v>20</v>
      </c>
      <c r="T131" s="3" t="str">
        <f>_xlfn.XLOOKUP(C131,Tabla42[ADEP],Tabla42[Sector],"")</f>
        <v>Sector 3</v>
      </c>
    </row>
    <row r="132" spans="1:20" x14ac:dyDescent="0.2">
      <c r="A132" s="13" t="s">
        <v>283</v>
      </c>
      <c r="B132" s="13" t="s">
        <v>18</v>
      </c>
      <c r="C132" s="13" t="s">
        <v>126</v>
      </c>
      <c r="D132" s="13" t="s">
        <v>117</v>
      </c>
      <c r="E132" s="13" t="s">
        <v>249</v>
      </c>
      <c r="F132" s="14">
        <v>46296.853310185186</v>
      </c>
      <c r="G132" s="13" t="s">
        <v>21</v>
      </c>
      <c r="H132" s="13" t="s">
        <v>1234</v>
      </c>
      <c r="I132" s="15">
        <v>360</v>
      </c>
      <c r="J132" s="13" t="s">
        <v>22</v>
      </c>
      <c r="K132" s="13" t="s">
        <v>23</v>
      </c>
      <c r="L132" s="15">
        <v>433</v>
      </c>
      <c r="M132" s="13" t="s">
        <v>189</v>
      </c>
      <c r="N132" s="14">
        <v>46296.876018518524</v>
      </c>
      <c r="O132" s="15">
        <v>360</v>
      </c>
      <c r="P132" s="13" t="s">
        <v>25</v>
      </c>
      <c r="Q132" s="15">
        <v>40</v>
      </c>
      <c r="R132" s="3" t="str">
        <f>IF(OR(G132="12R",G132="12L"),_xlfn.XLOOKUP(C132,Tabla42[ADEP],Tabla42[SID 12R],""),IF(OR(G132="30L",G132="30R"),_xlfn.XLOOKUP(C132,Tabla42[ADEP],Tabla42[SID 30L],""),""))</f>
        <v>ENEBA</v>
      </c>
      <c r="S132" s="3">
        <f t="shared" si="2"/>
        <v>20</v>
      </c>
      <c r="T132" s="3" t="str">
        <f>_xlfn.XLOOKUP(C132,Tabla42[ADEP],Tabla42[Sector],"")</f>
        <v>Sector 3</v>
      </c>
    </row>
    <row r="133" spans="1:20" x14ac:dyDescent="0.2">
      <c r="A133" s="13" t="s">
        <v>262</v>
      </c>
      <c r="B133" s="13" t="s">
        <v>18</v>
      </c>
      <c r="C133" s="13" t="s">
        <v>263</v>
      </c>
      <c r="D133" s="13" t="s">
        <v>33</v>
      </c>
      <c r="E133" s="13" t="s">
        <v>1235</v>
      </c>
      <c r="F133" s="14">
        <v>46296.855162037042</v>
      </c>
      <c r="G133" s="13" t="s">
        <v>21</v>
      </c>
      <c r="H133" s="13" t="s">
        <v>1236</v>
      </c>
      <c r="I133" s="15">
        <v>390</v>
      </c>
      <c r="J133" s="13" t="s">
        <v>22</v>
      </c>
      <c r="K133" s="13" t="s">
        <v>23</v>
      </c>
      <c r="L133" s="15">
        <v>368</v>
      </c>
      <c r="M133" s="13" t="s">
        <v>30</v>
      </c>
      <c r="N133" s="14">
        <v>46296.874548611115</v>
      </c>
      <c r="O133" s="15">
        <v>390</v>
      </c>
      <c r="P133" s="13" t="s">
        <v>25</v>
      </c>
      <c r="Q133" s="15">
        <v>40</v>
      </c>
      <c r="R133" s="3" t="str">
        <f>IF(OR(G133="12R",G133="12L"),_xlfn.XLOOKUP(C133,Tabla42[ADEP],Tabla42[SID 12R],""),IF(OR(G133="30L",G133="30R"),_xlfn.XLOOKUP(C133,Tabla42[ADEP],Tabla42[SID 30L],""),""))</f>
        <v>OMSUK</v>
      </c>
      <c r="S133" s="3">
        <f t="shared" si="2"/>
        <v>20</v>
      </c>
      <c r="T133" s="3" t="str">
        <f>_xlfn.XLOOKUP(C133,Tabla42[ADEP],Tabla42[Sector],"")</f>
        <v>Sector 3</v>
      </c>
    </row>
    <row r="134" spans="1:20" x14ac:dyDescent="0.2">
      <c r="A134" s="13" t="s">
        <v>282</v>
      </c>
      <c r="B134" s="13" t="s">
        <v>18</v>
      </c>
      <c r="C134" s="13" t="s">
        <v>42</v>
      </c>
      <c r="D134" s="13" t="s">
        <v>20</v>
      </c>
      <c r="E134" s="13" t="s">
        <v>419</v>
      </c>
      <c r="F134" s="14">
        <v>46296.856412037036</v>
      </c>
      <c r="G134" s="13" t="s">
        <v>21</v>
      </c>
      <c r="H134" s="13" t="s">
        <v>1237</v>
      </c>
      <c r="I134" s="15">
        <v>360</v>
      </c>
      <c r="J134" s="13" t="s">
        <v>22</v>
      </c>
      <c r="K134" s="13" t="s">
        <v>23</v>
      </c>
      <c r="L134" s="15">
        <v>860</v>
      </c>
      <c r="M134" s="13" t="s">
        <v>485</v>
      </c>
      <c r="N134" s="14">
        <v>46296.900462962964</v>
      </c>
      <c r="O134" s="15">
        <v>360</v>
      </c>
      <c r="P134" s="13" t="s">
        <v>25</v>
      </c>
      <c r="Q134" s="15">
        <v>190</v>
      </c>
      <c r="R134" s="3" t="str">
        <f>IF(OR(G134="12R",G134="12L"),_xlfn.XLOOKUP(C134,Tabla42[ADEP],Tabla42[SID 12R],""),IF(OR(G134="30L",G134="30R"),_xlfn.XLOOKUP(C134,Tabla42[ADEP],Tabla42[SID 30L],""),""))</f>
        <v>UDGUV</v>
      </c>
      <c r="S134" s="3">
        <f t="shared" si="2"/>
        <v>20</v>
      </c>
      <c r="T134" s="3" t="str">
        <f>_xlfn.XLOOKUP(C134,Tabla42[ADEP],Tabla42[Sector],"")</f>
        <v>Sector 2</v>
      </c>
    </row>
    <row r="135" spans="1:20" x14ac:dyDescent="0.2">
      <c r="A135" s="13" t="s">
        <v>461</v>
      </c>
      <c r="B135" s="13" t="s">
        <v>18</v>
      </c>
      <c r="C135" s="13" t="s">
        <v>223</v>
      </c>
      <c r="D135" s="13" t="s">
        <v>28</v>
      </c>
      <c r="E135" s="13" t="s">
        <v>1238</v>
      </c>
      <c r="F135" s="14">
        <v>46296.857708333337</v>
      </c>
      <c r="G135" s="13" t="s">
        <v>21</v>
      </c>
      <c r="H135" s="13" t="s">
        <v>1239</v>
      </c>
      <c r="I135" s="15">
        <v>390</v>
      </c>
      <c r="J135" s="13" t="s">
        <v>22</v>
      </c>
      <c r="K135" s="13" t="s">
        <v>23</v>
      </c>
      <c r="L135" s="15">
        <v>371</v>
      </c>
      <c r="M135" s="13" t="s">
        <v>748</v>
      </c>
      <c r="N135" s="14">
        <v>46296.877187499995</v>
      </c>
      <c r="O135" s="15">
        <v>370</v>
      </c>
      <c r="P135" s="13" t="s">
        <v>25</v>
      </c>
      <c r="Q135" s="15">
        <v>40</v>
      </c>
      <c r="R135" s="3" t="str">
        <f>IF(OR(G135="12R",G135="12L"),_xlfn.XLOOKUP(C135,Tabla42[ADEP],Tabla42[SID 12R],""),IF(OR(G135="30L",G135="30R"),_xlfn.XLOOKUP(C135,Tabla42[ADEP],Tabla42[SID 30L],""),""))</f>
        <v>OMSUK</v>
      </c>
      <c r="S135" s="3">
        <f t="shared" si="2"/>
        <v>20</v>
      </c>
      <c r="T135" s="3" t="str">
        <f>_xlfn.XLOOKUP(C135,Tabla42[ADEP],Tabla42[Sector],"")</f>
        <v>Sector 3</v>
      </c>
    </row>
    <row r="136" spans="1:20" x14ac:dyDescent="0.2">
      <c r="A136" s="13" t="s">
        <v>1240</v>
      </c>
      <c r="B136" s="13" t="s">
        <v>18</v>
      </c>
      <c r="C136" s="13" t="s">
        <v>1241</v>
      </c>
      <c r="D136" s="13" t="s">
        <v>1041</v>
      </c>
      <c r="E136" s="13" t="s">
        <v>1242</v>
      </c>
      <c r="F136" s="14">
        <v>46296.862071759257</v>
      </c>
      <c r="G136" s="13" t="s">
        <v>21</v>
      </c>
      <c r="H136" s="13" t="s">
        <v>1243</v>
      </c>
      <c r="I136" s="15">
        <v>450</v>
      </c>
      <c r="J136" s="13" t="s">
        <v>22</v>
      </c>
      <c r="K136" s="13" t="s">
        <v>50</v>
      </c>
      <c r="L136" s="15">
        <v>367</v>
      </c>
      <c r="M136" s="13" t="s">
        <v>30</v>
      </c>
      <c r="N136" s="14">
        <v>46296.88071759259</v>
      </c>
      <c r="O136" s="15">
        <v>410</v>
      </c>
      <c r="P136" s="13" t="s">
        <v>25</v>
      </c>
      <c r="Q136" s="15">
        <v>40</v>
      </c>
      <c r="R136" s="3" t="str">
        <f>IF(OR(G136="12R",G136="12L"),_xlfn.XLOOKUP(C136,Tabla42[ADEP],Tabla42[SID 12R],""),IF(OR(G136="30L",G136="30R"),_xlfn.XLOOKUP(C136,Tabla42[ADEP],Tabla42[SID 30L],""),""))</f>
        <v/>
      </c>
      <c r="S136" s="3">
        <f t="shared" si="2"/>
        <v>20</v>
      </c>
      <c r="T136" s="3" t="str">
        <f>_xlfn.XLOOKUP(C136,Tabla42[ADEP],Tabla42[Sector],"")</f>
        <v/>
      </c>
    </row>
    <row r="137" spans="1:20" x14ac:dyDescent="0.2">
      <c r="A137" s="13" t="s">
        <v>745</v>
      </c>
      <c r="B137" s="13" t="s">
        <v>18</v>
      </c>
      <c r="C137" s="13" t="s">
        <v>121</v>
      </c>
      <c r="D137" s="13" t="s">
        <v>122</v>
      </c>
      <c r="E137" s="13" t="s">
        <v>1244</v>
      </c>
      <c r="F137" s="14">
        <v>46296.86314814815</v>
      </c>
      <c r="G137" s="13" t="s">
        <v>21</v>
      </c>
      <c r="H137" s="13" t="s">
        <v>1245</v>
      </c>
      <c r="I137" s="15">
        <v>360</v>
      </c>
      <c r="J137" s="13" t="s">
        <v>22</v>
      </c>
      <c r="K137" s="13" t="s">
        <v>23</v>
      </c>
      <c r="L137" s="15">
        <v>864</v>
      </c>
      <c r="M137" s="13" t="s">
        <v>35</v>
      </c>
      <c r="N137" s="14">
        <v>46296.90688657407</v>
      </c>
      <c r="O137" s="15">
        <v>340</v>
      </c>
      <c r="P137" s="13" t="s">
        <v>25</v>
      </c>
      <c r="Q137" s="15">
        <v>190</v>
      </c>
      <c r="R137" s="3" t="str">
        <f>IF(OR(G137="12R",G137="12L"),_xlfn.XLOOKUP(C137,Tabla42[ADEP],Tabla42[SID 12R],""),IF(OR(G137="30L",G137="30R"),_xlfn.XLOOKUP(C137,Tabla42[ADEP],Tabla42[SID 30L],""),""))</f>
        <v>ENEBA</v>
      </c>
      <c r="S137" s="3">
        <f t="shared" si="2"/>
        <v>20</v>
      </c>
      <c r="T137" s="3" t="str">
        <f>_xlfn.XLOOKUP(C137,Tabla42[ADEP],Tabla42[Sector],"")</f>
        <v>Sector 3</v>
      </c>
    </row>
    <row r="138" spans="1:20" x14ac:dyDescent="0.2">
      <c r="A138" s="13" t="s">
        <v>978</v>
      </c>
      <c r="B138" s="13" t="s">
        <v>18</v>
      </c>
      <c r="C138" s="13" t="s">
        <v>286</v>
      </c>
      <c r="D138" s="13" t="s">
        <v>53</v>
      </c>
      <c r="E138" s="13" t="s">
        <v>287</v>
      </c>
      <c r="F138" s="14">
        <v>46296.866909722223</v>
      </c>
      <c r="G138" s="13" t="s">
        <v>21</v>
      </c>
      <c r="H138" s="13" t="s">
        <v>1246</v>
      </c>
      <c r="I138" s="15">
        <v>360</v>
      </c>
      <c r="J138" s="13" t="s">
        <v>22</v>
      </c>
      <c r="K138" s="13" t="s">
        <v>23</v>
      </c>
      <c r="L138" s="15">
        <v>309</v>
      </c>
      <c r="M138" s="13" t="s">
        <v>1247</v>
      </c>
      <c r="N138" s="14">
        <v>46296.885844907403</v>
      </c>
      <c r="O138" s="15">
        <v>360</v>
      </c>
      <c r="P138" s="13" t="s">
        <v>25</v>
      </c>
      <c r="Q138" s="15">
        <v>190</v>
      </c>
      <c r="R138" s="3" t="str">
        <f>IF(OR(G138="12R",G138="12L"),_xlfn.XLOOKUP(C138,Tabla42[ADEP],Tabla42[SID 12R],""),IF(OR(G138="30L",G138="30R"),_xlfn.XLOOKUP(C138,Tabla42[ADEP],Tabla42[SID 30L],""),""))</f>
        <v>CZM</v>
      </c>
      <c r="S138" s="3">
        <f t="shared" si="2"/>
        <v>20</v>
      </c>
      <c r="T138" s="3" t="str">
        <f>_xlfn.XLOOKUP(C138,Tabla42[ADEP],Tabla42[Sector],"")</f>
        <v>Sector 7</v>
      </c>
    </row>
    <row r="139" spans="1:20" x14ac:dyDescent="0.2">
      <c r="A139" s="13" t="s">
        <v>476</v>
      </c>
      <c r="B139" s="13" t="s">
        <v>18</v>
      </c>
      <c r="C139" s="13" t="s">
        <v>188</v>
      </c>
      <c r="D139" s="13" t="s">
        <v>43</v>
      </c>
      <c r="E139" s="13" t="s">
        <v>601</v>
      </c>
      <c r="F139" s="14">
        <v>46296.86819444444</v>
      </c>
      <c r="G139" s="13" t="s">
        <v>21</v>
      </c>
      <c r="H139" s="13" t="s">
        <v>1248</v>
      </c>
      <c r="I139" s="15">
        <v>360</v>
      </c>
      <c r="J139" s="13" t="s">
        <v>22</v>
      </c>
      <c r="K139" s="13" t="s">
        <v>23</v>
      </c>
      <c r="L139" s="15">
        <v>388</v>
      </c>
      <c r="M139" s="13" t="s">
        <v>250</v>
      </c>
      <c r="N139" s="14">
        <v>46296.888217592597</v>
      </c>
      <c r="O139" s="15">
        <v>360</v>
      </c>
      <c r="P139" s="13" t="s">
        <v>25</v>
      </c>
      <c r="Q139" s="15">
        <v>40</v>
      </c>
      <c r="R139" s="3" t="str">
        <f>IF(OR(G139="12R",G139="12L"),_xlfn.XLOOKUP(C139,Tabla42[ADEP],Tabla42[SID 12R],""),IF(OR(G139="30L",G139="30R"),_xlfn.XLOOKUP(C139,Tabla42[ADEP],Tabla42[SID 30L],""),""))</f>
        <v>ENEBA</v>
      </c>
      <c r="S139" s="3">
        <f t="shared" si="2"/>
        <v>20</v>
      </c>
      <c r="T139" s="3" t="str">
        <f>_xlfn.XLOOKUP(C139,Tabla42[ADEP],Tabla42[Sector],"")</f>
        <v>Sector 3</v>
      </c>
    </row>
    <row r="140" spans="1:20" x14ac:dyDescent="0.2">
      <c r="A140" s="13" t="s">
        <v>467</v>
      </c>
      <c r="B140" s="13" t="s">
        <v>18</v>
      </c>
      <c r="C140" s="13" t="s">
        <v>184</v>
      </c>
      <c r="D140" s="13" t="s">
        <v>60</v>
      </c>
      <c r="E140" s="13" t="s">
        <v>1249</v>
      </c>
      <c r="F140" s="14">
        <v>46296.874976851846</v>
      </c>
      <c r="G140" s="13" t="s">
        <v>21</v>
      </c>
      <c r="H140" s="13" t="s">
        <v>1250</v>
      </c>
      <c r="I140" s="15">
        <v>380</v>
      </c>
      <c r="J140" s="13" t="s">
        <v>22</v>
      </c>
      <c r="K140" s="13" t="s">
        <v>23</v>
      </c>
      <c r="L140" s="15">
        <v>417</v>
      </c>
      <c r="M140" s="13" t="s">
        <v>1251</v>
      </c>
      <c r="N140" s="14">
        <v>46296.896111111113</v>
      </c>
      <c r="O140" s="15">
        <v>370</v>
      </c>
      <c r="P140" s="13" t="s">
        <v>25</v>
      </c>
      <c r="Q140" s="15">
        <v>40</v>
      </c>
      <c r="R140" s="3" t="str">
        <f>IF(OR(G140="12R",G140="12L"),_xlfn.XLOOKUP(C140,Tabla42[ADEP],Tabla42[SID 12R],""),IF(OR(G140="30L",G140="30R"),_xlfn.XLOOKUP(C140,Tabla42[ADEP],Tabla42[SID 30L],""),""))</f>
        <v>OMSUK</v>
      </c>
      <c r="S140" s="3">
        <f t="shared" si="2"/>
        <v>20</v>
      </c>
      <c r="T140" s="3" t="str">
        <f>_xlfn.XLOOKUP(C140,Tabla42[ADEP],Tabla42[Sector],"")</f>
        <v>Sector 3</v>
      </c>
    </row>
    <row r="141" spans="1:20" x14ac:dyDescent="0.2">
      <c r="A141" s="13" t="s">
        <v>625</v>
      </c>
      <c r="B141" s="13" t="s">
        <v>18</v>
      </c>
      <c r="C141" s="13" t="s">
        <v>356</v>
      </c>
      <c r="D141" s="13" t="s">
        <v>626</v>
      </c>
      <c r="E141" s="13"/>
      <c r="F141" s="14">
        <v>46296.87700231481</v>
      </c>
      <c r="G141" s="13" t="s">
        <v>21</v>
      </c>
      <c r="H141" s="13" t="s">
        <v>1252</v>
      </c>
      <c r="I141" s="15">
        <v>370</v>
      </c>
      <c r="J141" s="13" t="s">
        <v>22</v>
      </c>
      <c r="K141" s="13" t="s">
        <v>50</v>
      </c>
      <c r="L141" s="15">
        <v>214</v>
      </c>
      <c r="M141" s="13" t="s">
        <v>355</v>
      </c>
      <c r="N141" s="14">
        <v>46296.892534722225</v>
      </c>
      <c r="O141" s="15">
        <v>351</v>
      </c>
      <c r="P141" s="13" t="s">
        <v>129</v>
      </c>
      <c r="Q141" s="15">
        <v>40</v>
      </c>
      <c r="R141" s="3" t="str">
        <f>IF(OR(G141="12R",G141="12L"),_xlfn.XLOOKUP(C141,Tabla42[ADEP],Tabla42[SID 12R],""),IF(OR(G141="30L",G141="30R"),_xlfn.XLOOKUP(C141,Tabla42[ADEP],Tabla42[SID 30L],""),""))</f>
        <v>NUDAL</v>
      </c>
      <c r="S141" s="3">
        <f t="shared" si="2"/>
        <v>21</v>
      </c>
      <c r="T141" s="3" t="str">
        <f>_xlfn.XLOOKUP(C141,Tabla42[ADEP],Tabla42[Sector],"")</f>
        <v>Sector 3</v>
      </c>
    </row>
    <row r="142" spans="1:20" x14ac:dyDescent="0.2">
      <c r="A142" s="13" t="s">
        <v>471</v>
      </c>
      <c r="B142" s="13" t="s">
        <v>18</v>
      </c>
      <c r="C142" s="13" t="s">
        <v>19</v>
      </c>
      <c r="D142" s="13" t="s">
        <v>33</v>
      </c>
      <c r="E142" s="13" t="s">
        <v>726</v>
      </c>
      <c r="F142" s="14">
        <v>46296.880370370374</v>
      </c>
      <c r="G142" s="13" t="s">
        <v>21</v>
      </c>
      <c r="H142" s="13" t="s">
        <v>1253</v>
      </c>
      <c r="I142" s="15">
        <v>360</v>
      </c>
      <c r="J142" s="13" t="s">
        <v>22</v>
      </c>
      <c r="K142" s="13" t="s">
        <v>23</v>
      </c>
      <c r="L142" s="15">
        <v>858</v>
      </c>
      <c r="M142" s="13" t="s">
        <v>669</v>
      </c>
      <c r="N142" s="14">
        <v>46296.92454861111</v>
      </c>
      <c r="O142" s="15">
        <v>360</v>
      </c>
      <c r="P142" s="13" t="s">
        <v>25</v>
      </c>
      <c r="Q142" s="15">
        <v>190</v>
      </c>
      <c r="R142" s="3" t="str">
        <f>IF(OR(G142="12R",G142="12L"),_xlfn.XLOOKUP(C142,Tabla42[ADEP],Tabla42[SID 12R],""),IF(OR(G142="30L",G142="30R"),_xlfn.XLOOKUP(C142,Tabla42[ADEP],Tabla42[SID 30L],""),""))</f>
        <v>UDGUV</v>
      </c>
      <c r="S142" s="3">
        <f t="shared" si="2"/>
        <v>21</v>
      </c>
      <c r="T142" s="3" t="str">
        <f>_xlfn.XLOOKUP(C142,Tabla42[ADEP],Tabla42[Sector],"")</f>
        <v>Sector 2</v>
      </c>
    </row>
    <row r="143" spans="1:20" x14ac:dyDescent="0.2">
      <c r="A143" s="13" t="s">
        <v>289</v>
      </c>
      <c r="B143" s="13" t="s">
        <v>18</v>
      </c>
      <c r="C143" s="13" t="s">
        <v>290</v>
      </c>
      <c r="D143" s="13" t="s">
        <v>33</v>
      </c>
      <c r="E143" s="13" t="s">
        <v>552</v>
      </c>
      <c r="F143" s="14">
        <v>46296.881342592591</v>
      </c>
      <c r="G143" s="13" t="s">
        <v>21</v>
      </c>
      <c r="H143" s="13" t="s">
        <v>1254</v>
      </c>
      <c r="I143" s="15">
        <v>350</v>
      </c>
      <c r="J143" s="13" t="s">
        <v>22</v>
      </c>
      <c r="K143" s="13" t="s">
        <v>23</v>
      </c>
      <c r="L143" s="15">
        <v>146</v>
      </c>
      <c r="M143" s="13" t="s">
        <v>547</v>
      </c>
      <c r="N143" s="14">
        <v>46296.892418981486</v>
      </c>
      <c r="O143" s="15">
        <v>247</v>
      </c>
      <c r="P143" s="13" t="s">
        <v>25</v>
      </c>
      <c r="Q143" s="15">
        <v>190</v>
      </c>
      <c r="R143" s="3" t="str">
        <f>IF(OR(G143="12R",G143="12L"),_xlfn.XLOOKUP(C143,Tabla42[ADEP],Tabla42[SID 12R],""),IF(OR(G143="30L",G143="30R"),_xlfn.XLOOKUP(C143,Tabla42[ADEP],Tabla42[SID 30L],""),""))</f>
        <v>CZM</v>
      </c>
      <c r="S143" s="3">
        <f t="shared" si="2"/>
        <v>21</v>
      </c>
      <c r="T143" s="3" t="str">
        <f>_xlfn.XLOOKUP(C143,Tabla42[ADEP],Tabla42[Sector],"")</f>
        <v>Sector 7</v>
      </c>
    </row>
    <row r="144" spans="1:20" x14ac:dyDescent="0.2">
      <c r="A144" s="13" t="s">
        <v>469</v>
      </c>
      <c r="B144" s="13" t="s">
        <v>18</v>
      </c>
      <c r="C144" s="13" t="s">
        <v>42</v>
      </c>
      <c r="D144" s="13" t="s">
        <v>43</v>
      </c>
      <c r="E144" s="13" t="s">
        <v>637</v>
      </c>
      <c r="F144" s="14">
        <v>46296.882256944446</v>
      </c>
      <c r="G144" s="13" t="s">
        <v>21</v>
      </c>
      <c r="H144" s="13" t="s">
        <v>1255</v>
      </c>
      <c r="I144" s="15">
        <v>360</v>
      </c>
      <c r="J144" s="13" t="s">
        <v>22</v>
      </c>
      <c r="K144" s="13" t="s">
        <v>23</v>
      </c>
      <c r="L144" s="15">
        <v>865</v>
      </c>
      <c r="M144" s="13" t="s">
        <v>45</v>
      </c>
      <c r="N144" s="14">
        <v>46296.926273148143</v>
      </c>
      <c r="O144" s="15">
        <v>360</v>
      </c>
      <c r="P144" s="13" t="s">
        <v>25</v>
      </c>
      <c r="Q144" s="15">
        <v>190</v>
      </c>
      <c r="R144" s="3" t="str">
        <f>IF(OR(G144="12R",G144="12L"),_xlfn.XLOOKUP(C144,Tabla42[ADEP],Tabla42[SID 12R],""),IF(OR(G144="30L",G144="30R"),_xlfn.XLOOKUP(C144,Tabla42[ADEP],Tabla42[SID 30L],""),""))</f>
        <v>UDGUV</v>
      </c>
      <c r="S144" s="3">
        <f t="shared" si="2"/>
        <v>21</v>
      </c>
      <c r="T144" s="3" t="str">
        <f>_xlfn.XLOOKUP(C144,Tabla42[ADEP],Tabla42[Sector],"")</f>
        <v>Sector 2</v>
      </c>
    </row>
    <row r="145" spans="1:20" x14ac:dyDescent="0.2">
      <c r="A145" s="13" t="s">
        <v>765</v>
      </c>
      <c r="B145" s="13" t="s">
        <v>18</v>
      </c>
      <c r="C145" s="13" t="s">
        <v>158</v>
      </c>
      <c r="D145" s="13" t="s">
        <v>60</v>
      </c>
      <c r="E145" s="13" t="s">
        <v>1256</v>
      </c>
      <c r="F145" s="14">
        <v>46296.883263888885</v>
      </c>
      <c r="G145" s="13" t="s">
        <v>21</v>
      </c>
      <c r="H145" s="13" t="s">
        <v>1257</v>
      </c>
      <c r="I145" s="15">
        <v>350</v>
      </c>
      <c r="J145" s="13" t="s">
        <v>22</v>
      </c>
      <c r="K145" s="13" t="s">
        <v>23</v>
      </c>
      <c r="L145" s="15">
        <v>363</v>
      </c>
      <c r="M145" s="13" t="s">
        <v>990</v>
      </c>
      <c r="N145" s="14">
        <v>46296.903564814813</v>
      </c>
      <c r="O145" s="15">
        <v>310</v>
      </c>
      <c r="P145" s="13" t="s">
        <v>25</v>
      </c>
      <c r="Q145" s="15">
        <v>40</v>
      </c>
      <c r="R145" s="3" t="str">
        <f>IF(OR(G145="12R",G145="12L"),_xlfn.XLOOKUP(C145,Tabla42[ADEP],Tabla42[SID 12R],""),IF(OR(G145="30L",G145="30R"),_xlfn.XLOOKUP(C145,Tabla42[ADEP],Tabla42[SID 30L],""),""))</f>
        <v>OMSUK</v>
      </c>
      <c r="S145" s="3">
        <f t="shared" si="2"/>
        <v>21</v>
      </c>
      <c r="T145" s="3" t="str">
        <f>_xlfn.XLOOKUP(C145,Tabla42[ADEP],Tabla42[Sector],"")</f>
        <v>Sector 3</v>
      </c>
    </row>
    <row r="146" spans="1:20" x14ac:dyDescent="0.2">
      <c r="A146" s="13" t="s">
        <v>299</v>
      </c>
      <c r="B146" s="13" t="s">
        <v>18</v>
      </c>
      <c r="C146" s="13" t="s">
        <v>300</v>
      </c>
      <c r="D146" s="13" t="s">
        <v>117</v>
      </c>
      <c r="E146" s="13" t="s">
        <v>1258</v>
      </c>
      <c r="F146" s="14">
        <v>46296.884074074071</v>
      </c>
      <c r="G146" s="13" t="s">
        <v>21</v>
      </c>
      <c r="H146" s="13" t="s">
        <v>1259</v>
      </c>
      <c r="I146" s="15">
        <v>340</v>
      </c>
      <c r="J146" s="13" t="s">
        <v>22</v>
      </c>
      <c r="K146" s="13" t="s">
        <v>23</v>
      </c>
      <c r="L146" s="15">
        <v>878</v>
      </c>
      <c r="M146" s="13" t="s">
        <v>35</v>
      </c>
      <c r="N146" s="14">
        <v>46296.927789351852</v>
      </c>
      <c r="O146" s="15">
        <v>340</v>
      </c>
      <c r="P146" s="13" t="s">
        <v>25</v>
      </c>
      <c r="Q146" s="15">
        <v>190</v>
      </c>
      <c r="R146" s="3" t="str">
        <f>IF(OR(G146="12R",G146="12L"),_xlfn.XLOOKUP(C146,Tabla42[ADEP],Tabla42[SID 12R],""),IF(OR(G146="30L",G146="30R"),_xlfn.XLOOKUP(C146,Tabla42[ADEP],Tabla42[SID 30L],""),""))</f>
        <v>OMSUK</v>
      </c>
      <c r="S146" s="3">
        <f t="shared" si="2"/>
        <v>21</v>
      </c>
      <c r="T146" s="3" t="str">
        <f>_xlfn.XLOOKUP(C146,Tabla42[ADEP],Tabla42[Sector],"")</f>
        <v>Sector 3</v>
      </c>
    </row>
    <row r="147" spans="1:20" x14ac:dyDescent="0.2">
      <c r="A147" s="13" t="s">
        <v>475</v>
      </c>
      <c r="B147" s="13" t="s">
        <v>18</v>
      </c>
      <c r="C147" s="13" t="s">
        <v>293</v>
      </c>
      <c r="D147" s="13" t="s">
        <v>28</v>
      </c>
      <c r="E147" s="13" t="s">
        <v>1260</v>
      </c>
      <c r="F147" s="14">
        <v>46296.886064814811</v>
      </c>
      <c r="G147" s="13" t="s">
        <v>21</v>
      </c>
      <c r="H147" s="13" t="s">
        <v>1261</v>
      </c>
      <c r="I147" s="15">
        <v>380</v>
      </c>
      <c r="J147" s="13" t="s">
        <v>22</v>
      </c>
      <c r="K147" s="13" t="s">
        <v>23</v>
      </c>
      <c r="L147" s="15">
        <v>864</v>
      </c>
      <c r="M147" s="13" t="s">
        <v>35</v>
      </c>
      <c r="N147" s="14">
        <v>46296.929490740746</v>
      </c>
      <c r="O147" s="15">
        <v>380</v>
      </c>
      <c r="P147" s="13" t="s">
        <v>25</v>
      </c>
      <c r="Q147" s="15">
        <v>190</v>
      </c>
      <c r="R147" s="3" t="str">
        <f>IF(OR(G147="12R",G147="12L"),_xlfn.XLOOKUP(C147,Tabla42[ADEP],Tabla42[SID 12R],""),IF(OR(G147="30L",G147="30R"),_xlfn.XLOOKUP(C147,Tabla42[ADEP],Tabla42[SID 30L],""),""))</f>
        <v>UDGUV</v>
      </c>
      <c r="S147" s="3">
        <f t="shared" si="2"/>
        <v>21</v>
      </c>
      <c r="T147" s="3" t="str">
        <f>_xlfn.XLOOKUP(C147,Tabla42[ADEP],Tabla42[Sector],"")</f>
        <v>Sector 2</v>
      </c>
    </row>
    <row r="148" spans="1:20" x14ac:dyDescent="0.2">
      <c r="A148" s="13" t="s">
        <v>477</v>
      </c>
      <c r="B148" s="13" t="s">
        <v>18</v>
      </c>
      <c r="C148" s="13" t="s">
        <v>478</v>
      </c>
      <c r="D148" s="13" t="s">
        <v>20</v>
      </c>
      <c r="E148" s="13" t="s">
        <v>1262</v>
      </c>
      <c r="F148" s="14">
        <v>46296.887280092589</v>
      </c>
      <c r="G148" s="13" t="s">
        <v>21</v>
      </c>
      <c r="H148" s="13" t="s">
        <v>1263</v>
      </c>
      <c r="I148" s="15">
        <v>320</v>
      </c>
      <c r="J148" s="13" t="s">
        <v>22</v>
      </c>
      <c r="K148" s="13" t="s">
        <v>23</v>
      </c>
      <c r="L148" s="15">
        <v>867</v>
      </c>
      <c r="M148" s="13" t="s">
        <v>35</v>
      </c>
      <c r="N148" s="14">
        <v>46296.929479166662</v>
      </c>
      <c r="O148" s="15">
        <v>320</v>
      </c>
      <c r="P148" s="13" t="s">
        <v>25</v>
      </c>
      <c r="Q148" s="15">
        <v>190</v>
      </c>
      <c r="R148" s="3" t="str">
        <f>IF(OR(G148="12R",G148="12L"),_xlfn.XLOOKUP(C148,Tabla42[ADEP],Tabla42[SID 12R],""),IF(OR(G148="30L",G148="30R"),_xlfn.XLOOKUP(C148,Tabla42[ADEP],Tabla42[SID 30L],""),""))</f>
        <v>ENEBA</v>
      </c>
      <c r="S148" s="3">
        <f t="shared" si="2"/>
        <v>21</v>
      </c>
      <c r="T148" s="3" t="str">
        <f>_xlfn.XLOOKUP(C148,Tabla42[ADEP],Tabla42[Sector],"")</f>
        <v>Sector 3</v>
      </c>
    </row>
    <row r="149" spans="1:20" x14ac:dyDescent="0.2">
      <c r="A149" s="13" t="s">
        <v>302</v>
      </c>
      <c r="B149" s="13" t="s">
        <v>18</v>
      </c>
      <c r="C149" s="13" t="s">
        <v>303</v>
      </c>
      <c r="D149" s="13" t="s">
        <v>28</v>
      </c>
      <c r="E149" s="13" t="s">
        <v>791</v>
      </c>
      <c r="F149" s="14">
        <v>46296.888182870374</v>
      </c>
      <c r="G149" s="13" t="s">
        <v>21</v>
      </c>
      <c r="H149" s="13" t="s">
        <v>1264</v>
      </c>
      <c r="I149" s="15">
        <v>360</v>
      </c>
      <c r="J149" s="13" t="s">
        <v>22</v>
      </c>
      <c r="K149" s="13" t="s">
        <v>23</v>
      </c>
      <c r="L149" s="15">
        <v>427</v>
      </c>
      <c r="M149" s="13" t="s">
        <v>422</v>
      </c>
      <c r="N149" s="14">
        <v>46296.911562499998</v>
      </c>
      <c r="O149" s="15">
        <v>354</v>
      </c>
      <c r="P149" s="13" t="s">
        <v>25</v>
      </c>
      <c r="Q149" s="15">
        <v>40</v>
      </c>
      <c r="R149" s="3" t="str">
        <f>IF(OR(G149="12R",G149="12L"),_xlfn.XLOOKUP(C149,Tabla42[ADEP],Tabla42[SID 12R],""),IF(OR(G149="30L",G149="30R"),_xlfn.XLOOKUP(C149,Tabla42[ADEP],Tabla42[SID 30L],""),""))</f>
        <v>OMSUK</v>
      </c>
      <c r="S149" s="3">
        <f t="shared" si="2"/>
        <v>21</v>
      </c>
      <c r="T149" s="3" t="str">
        <f>_xlfn.XLOOKUP(C149,Tabla42[ADEP],Tabla42[Sector],"")</f>
        <v>Sector 3</v>
      </c>
    </row>
    <row r="150" spans="1:20" x14ac:dyDescent="0.2">
      <c r="A150" s="13" t="s">
        <v>314</v>
      </c>
      <c r="B150" s="13" t="s">
        <v>18</v>
      </c>
      <c r="C150" s="13" t="s">
        <v>179</v>
      </c>
      <c r="D150" s="13" t="s">
        <v>53</v>
      </c>
      <c r="E150" s="13" t="s">
        <v>392</v>
      </c>
      <c r="F150" s="14">
        <v>46296.888912037037</v>
      </c>
      <c r="G150" s="13" t="s">
        <v>21</v>
      </c>
      <c r="H150" s="13" t="s">
        <v>1265</v>
      </c>
      <c r="I150" s="15">
        <v>360</v>
      </c>
      <c r="J150" s="13" t="s">
        <v>22</v>
      </c>
      <c r="K150" s="13" t="s">
        <v>23</v>
      </c>
      <c r="L150" s="15">
        <v>865</v>
      </c>
      <c r="M150" s="13" t="s">
        <v>179</v>
      </c>
      <c r="N150" s="14">
        <v>46296.941620370373</v>
      </c>
      <c r="O150" s="15">
        <v>15</v>
      </c>
      <c r="P150" s="13" t="s">
        <v>25</v>
      </c>
      <c r="Q150" s="15">
        <v>190</v>
      </c>
      <c r="R150" s="3" t="str">
        <f>IF(OR(G150="12R",G150="12L"),_xlfn.XLOOKUP(C150,Tabla42[ADEP],Tabla42[SID 12R],""),IF(OR(G150="30L",G150="30R"),_xlfn.XLOOKUP(C150,Tabla42[ADEP],Tabla42[SID 30L],""),""))</f>
        <v>UDGUV</v>
      </c>
      <c r="S150" s="3">
        <f t="shared" si="2"/>
        <v>21</v>
      </c>
      <c r="T150" s="3" t="str">
        <f>_xlfn.XLOOKUP(C150,Tabla42[ADEP],Tabla42[Sector],"")</f>
        <v>Sector 2</v>
      </c>
    </row>
    <row r="151" spans="1:20" x14ac:dyDescent="0.2">
      <c r="A151" s="13" t="s">
        <v>497</v>
      </c>
      <c r="B151" s="13" t="s">
        <v>18</v>
      </c>
      <c r="C151" s="13" t="s">
        <v>47</v>
      </c>
      <c r="D151" s="13" t="s">
        <v>243</v>
      </c>
      <c r="E151" s="13" t="s">
        <v>498</v>
      </c>
      <c r="F151" s="14">
        <v>46296.889849537038</v>
      </c>
      <c r="G151" s="13" t="s">
        <v>21</v>
      </c>
      <c r="H151" s="13" t="s">
        <v>1266</v>
      </c>
      <c r="I151" s="15">
        <v>390</v>
      </c>
      <c r="J151" s="13" t="s">
        <v>22</v>
      </c>
      <c r="K151" s="13" t="s">
        <v>23</v>
      </c>
      <c r="L151" s="15">
        <v>136</v>
      </c>
      <c r="M151" s="13" t="s">
        <v>39</v>
      </c>
      <c r="N151" s="14">
        <v>46296.899317129632</v>
      </c>
      <c r="O151" s="15">
        <v>253</v>
      </c>
      <c r="P151" s="13" t="s">
        <v>40</v>
      </c>
      <c r="Q151" s="15">
        <v>190</v>
      </c>
      <c r="R151" s="3" t="str">
        <f>IF(OR(G151="12R",G151="12L"),_xlfn.XLOOKUP(C151,Tabla42[ADEP],Tabla42[SID 12R],""),IF(OR(G151="30L",G151="30R"),_xlfn.XLOOKUP(C151,Tabla42[ADEP],Tabla42[SID 30L],""),""))</f>
        <v>NUDAL</v>
      </c>
      <c r="S151" s="3">
        <f t="shared" si="2"/>
        <v>21</v>
      </c>
      <c r="T151" s="3" t="str">
        <f>_xlfn.XLOOKUP(C151,Tabla42[ADEP],Tabla42[Sector],"")</f>
        <v>Sector 3</v>
      </c>
    </row>
    <row r="152" spans="1:20" x14ac:dyDescent="0.2">
      <c r="A152" s="13" t="s">
        <v>294</v>
      </c>
      <c r="B152" s="13" t="s">
        <v>18</v>
      </c>
      <c r="C152" s="13" t="s">
        <v>128</v>
      </c>
      <c r="D152" s="13" t="s">
        <v>43</v>
      </c>
      <c r="E152" s="13" t="s">
        <v>440</v>
      </c>
      <c r="F152" s="14">
        <v>46296.891099537039</v>
      </c>
      <c r="G152" s="13" t="s">
        <v>21</v>
      </c>
      <c r="H152" s="13" t="s">
        <v>1267</v>
      </c>
      <c r="I152" s="15">
        <v>300</v>
      </c>
      <c r="J152" s="13" t="s">
        <v>22</v>
      </c>
      <c r="K152" s="13" t="s">
        <v>23</v>
      </c>
      <c r="L152" s="15">
        <v>431</v>
      </c>
      <c r="M152" s="13" t="s">
        <v>1268</v>
      </c>
      <c r="N152" s="14">
        <v>46296.913240740745</v>
      </c>
      <c r="O152" s="15">
        <v>340</v>
      </c>
      <c r="P152" s="13" t="s">
        <v>25</v>
      </c>
      <c r="Q152" s="15">
        <v>40</v>
      </c>
      <c r="R152" s="3" t="str">
        <f>IF(OR(G152="12R",G152="12L"),_xlfn.XLOOKUP(C152,Tabla42[ADEP],Tabla42[SID 12R],""),IF(OR(G152="30L",G152="30R"),_xlfn.XLOOKUP(C152,Tabla42[ADEP],Tabla42[SID 30L],""),""))</f>
        <v>OMSUK</v>
      </c>
      <c r="S152" s="3">
        <f t="shared" si="2"/>
        <v>21</v>
      </c>
      <c r="T152" s="3" t="str">
        <f>_xlfn.XLOOKUP(C152,Tabla42[ADEP],Tabla42[Sector],"")</f>
        <v>Sector 3</v>
      </c>
    </row>
    <row r="153" spans="1:20" x14ac:dyDescent="0.2">
      <c r="A153" s="13" t="s">
        <v>480</v>
      </c>
      <c r="B153" s="13" t="s">
        <v>18</v>
      </c>
      <c r="C153" s="13" t="s">
        <v>164</v>
      </c>
      <c r="D153" s="13" t="s">
        <v>43</v>
      </c>
      <c r="E153" s="13" t="s">
        <v>295</v>
      </c>
      <c r="F153" s="14">
        <v>46296.892291666663</v>
      </c>
      <c r="G153" s="13" t="s">
        <v>21</v>
      </c>
      <c r="H153" s="13" t="s">
        <v>1269</v>
      </c>
      <c r="I153" s="15">
        <v>350</v>
      </c>
      <c r="J153" s="13" t="s">
        <v>22</v>
      </c>
      <c r="K153" s="13" t="s">
        <v>23</v>
      </c>
      <c r="L153" s="15">
        <v>366</v>
      </c>
      <c r="M153" s="13" t="s">
        <v>1229</v>
      </c>
      <c r="N153" s="14">
        <v>46296.91243055556</v>
      </c>
      <c r="O153" s="15">
        <v>335</v>
      </c>
      <c r="P153" s="13" t="s">
        <v>25</v>
      </c>
      <c r="Q153" s="15">
        <v>40</v>
      </c>
      <c r="R153" s="3" t="str">
        <f>IF(OR(G153="12R",G153="12L"),_xlfn.XLOOKUP(C153,Tabla42[ADEP],Tabla42[SID 12R],""),IF(OR(G153="30L",G153="30R"),_xlfn.XLOOKUP(C153,Tabla42[ADEP],Tabla42[SID 30L],""),""))</f>
        <v>OMSUK</v>
      </c>
      <c r="S153" s="3">
        <f t="shared" si="2"/>
        <v>21</v>
      </c>
      <c r="T153" s="3" t="str">
        <f>_xlfn.XLOOKUP(C153,Tabla42[ADEP],Tabla42[Sector],"")</f>
        <v>Sector 3</v>
      </c>
    </row>
    <row r="154" spans="1:20" x14ac:dyDescent="0.2">
      <c r="A154" s="13" t="s">
        <v>744</v>
      </c>
      <c r="B154" s="13" t="s">
        <v>18</v>
      </c>
      <c r="C154" s="13" t="s">
        <v>188</v>
      </c>
      <c r="D154" s="13" t="s">
        <v>122</v>
      </c>
      <c r="E154" s="13" t="s">
        <v>1058</v>
      </c>
      <c r="F154" s="14">
        <v>46296.894062499996</v>
      </c>
      <c r="G154" s="13" t="s">
        <v>21</v>
      </c>
      <c r="H154" s="13" t="s">
        <v>1270</v>
      </c>
      <c r="I154" s="15">
        <v>370</v>
      </c>
      <c r="J154" s="13" t="s">
        <v>22</v>
      </c>
      <c r="K154" s="13" t="s">
        <v>23</v>
      </c>
      <c r="L154" s="15">
        <v>384</v>
      </c>
      <c r="M154" s="13" t="s">
        <v>1271</v>
      </c>
      <c r="N154" s="14">
        <v>46296.914953703701</v>
      </c>
      <c r="O154" s="15">
        <v>370</v>
      </c>
      <c r="P154" s="13" t="s">
        <v>25</v>
      </c>
      <c r="Q154" s="15">
        <v>40</v>
      </c>
      <c r="R154" s="3" t="str">
        <f>IF(OR(G154="12R",G154="12L"),_xlfn.XLOOKUP(C154,Tabla42[ADEP],Tabla42[SID 12R],""),IF(OR(G154="30L",G154="30R"),_xlfn.XLOOKUP(C154,Tabla42[ADEP],Tabla42[SID 30L],""),""))</f>
        <v>ENEBA</v>
      </c>
      <c r="S154" s="3">
        <f t="shared" si="2"/>
        <v>21</v>
      </c>
      <c r="T154" s="3" t="str">
        <f>_xlfn.XLOOKUP(C154,Tabla42[ADEP],Tabla42[Sector],"")</f>
        <v>Sector 3</v>
      </c>
    </row>
    <row r="155" spans="1:20" x14ac:dyDescent="0.2">
      <c r="A155" s="13" t="s">
        <v>292</v>
      </c>
      <c r="B155" s="13" t="s">
        <v>18</v>
      </c>
      <c r="C155" s="13" t="s">
        <v>293</v>
      </c>
      <c r="D155" s="13" t="s">
        <v>43</v>
      </c>
      <c r="E155" s="13" t="s">
        <v>481</v>
      </c>
      <c r="F155" s="14">
        <v>46296.895173611112</v>
      </c>
      <c r="G155" s="13" t="s">
        <v>21</v>
      </c>
      <c r="H155" s="13" t="s">
        <v>1272</v>
      </c>
      <c r="I155" s="15">
        <v>340</v>
      </c>
      <c r="J155" s="13" t="s">
        <v>22</v>
      </c>
      <c r="K155" s="13" t="s">
        <v>23</v>
      </c>
      <c r="L155" s="15">
        <v>881</v>
      </c>
      <c r="M155" s="13" t="s">
        <v>35</v>
      </c>
      <c r="N155" s="14">
        <v>46296.938692129625</v>
      </c>
      <c r="O155" s="15">
        <v>340</v>
      </c>
      <c r="P155" s="13" t="s">
        <v>25</v>
      </c>
      <c r="Q155" s="15">
        <v>190</v>
      </c>
      <c r="R155" s="3" t="str">
        <f>IF(OR(G155="12R",G155="12L"),_xlfn.XLOOKUP(C155,Tabla42[ADEP],Tabla42[SID 12R],""),IF(OR(G155="30L",G155="30R"),_xlfn.XLOOKUP(C155,Tabla42[ADEP],Tabla42[SID 30L],""),""))</f>
        <v>UDGUV</v>
      </c>
      <c r="S155" s="3">
        <f t="shared" si="2"/>
        <v>21</v>
      </c>
      <c r="T155" s="3" t="str">
        <f>_xlfn.XLOOKUP(C155,Tabla42[ADEP],Tabla42[Sector],"")</f>
        <v>Sector 2</v>
      </c>
    </row>
    <row r="156" spans="1:20" x14ac:dyDescent="0.2">
      <c r="A156" t="s">
        <v>247</v>
      </c>
      <c r="B156" t="s">
        <v>18</v>
      </c>
      <c r="C156" t="s">
        <v>137</v>
      </c>
      <c r="D156" t="s">
        <v>20</v>
      </c>
      <c r="E156" t="s">
        <v>724</v>
      </c>
      <c r="F156" s="2">
        <v>46296.896296296298</v>
      </c>
      <c r="G156" t="s">
        <v>21</v>
      </c>
      <c r="H156" t="s">
        <v>1273</v>
      </c>
      <c r="I156" s="3">
        <v>350</v>
      </c>
      <c r="J156" t="s">
        <v>22</v>
      </c>
      <c r="K156" t="s">
        <v>23</v>
      </c>
      <c r="L156" s="3">
        <v>235</v>
      </c>
      <c r="M156" t="s">
        <v>355</v>
      </c>
      <c r="N156" s="2">
        <v>46296.91097222222</v>
      </c>
      <c r="O156" s="3">
        <v>315</v>
      </c>
      <c r="P156" t="s">
        <v>25</v>
      </c>
      <c r="Q156" s="3">
        <v>40</v>
      </c>
      <c r="R156" s="3" t="str">
        <f>IF(OR(G156="12R",G156="12L"),_xlfn.XLOOKUP(C156,Tabla42[ADEP],Tabla42[SID 12R],""),IF(OR(G156="30L",G156="30R"),_xlfn.XLOOKUP(C156,Tabla42[ADEP],Tabla42[SID 30L],""),""))</f>
        <v>NUDAL</v>
      </c>
      <c r="S156" s="3">
        <f t="shared" si="2"/>
        <v>21</v>
      </c>
      <c r="T156" s="3" t="str">
        <f>_xlfn.XLOOKUP(C156,Tabla42[ADEP],Tabla42[Sector],"")</f>
        <v>Sector 3</v>
      </c>
    </row>
    <row r="157" spans="1:20" x14ac:dyDescent="0.2">
      <c r="A157" t="s">
        <v>313</v>
      </c>
      <c r="B157" t="s">
        <v>18</v>
      </c>
      <c r="C157" t="s">
        <v>73</v>
      </c>
      <c r="D157" t="s">
        <v>53</v>
      </c>
      <c r="E157" t="s">
        <v>106</v>
      </c>
      <c r="F157" s="2">
        <v>46296.897314814814</v>
      </c>
      <c r="G157" t="s">
        <v>21</v>
      </c>
      <c r="H157" t="s">
        <v>1274</v>
      </c>
      <c r="I157" s="3">
        <v>380</v>
      </c>
      <c r="J157" t="s">
        <v>22</v>
      </c>
      <c r="K157" t="s">
        <v>23</v>
      </c>
      <c r="L157" s="3">
        <v>760</v>
      </c>
      <c r="M157" t="s">
        <v>73</v>
      </c>
      <c r="N157" s="2">
        <v>46296.942708333328</v>
      </c>
      <c r="O157" s="3">
        <v>0</v>
      </c>
      <c r="P157" t="s">
        <v>25</v>
      </c>
      <c r="Q157" s="3">
        <v>190</v>
      </c>
      <c r="R157" s="3" t="str">
        <f>IF(OR(G157="12R",G157="12L"),_xlfn.XLOOKUP(C157,Tabla42[ADEP],Tabla42[SID 12R],""),IF(OR(G157="30L",G157="30R"),_xlfn.XLOOKUP(C157,Tabla42[ADEP],Tabla42[SID 30L],""),""))</f>
        <v>UDGUV</v>
      </c>
      <c r="S157" s="3">
        <f t="shared" si="2"/>
        <v>21</v>
      </c>
      <c r="T157" s="3" t="str">
        <f>_xlfn.XLOOKUP(C157,Tabla42[ADEP],Tabla42[Sector],"")</f>
        <v>Sector 2</v>
      </c>
    </row>
    <row r="158" spans="1:20" x14ac:dyDescent="0.2">
      <c r="A158" t="s">
        <v>309</v>
      </c>
      <c r="B158" t="s">
        <v>18</v>
      </c>
      <c r="C158" t="s">
        <v>19</v>
      </c>
      <c r="D158" t="s">
        <v>53</v>
      </c>
      <c r="E158" t="s">
        <v>610</v>
      </c>
      <c r="F158" s="2">
        <v>46296.901886574073</v>
      </c>
      <c r="G158" t="s">
        <v>21</v>
      </c>
      <c r="H158" t="s">
        <v>1275</v>
      </c>
      <c r="I158" s="3">
        <v>380</v>
      </c>
      <c r="J158" t="s">
        <v>22</v>
      </c>
      <c r="K158" t="s">
        <v>23</v>
      </c>
      <c r="L158" s="3">
        <v>860</v>
      </c>
      <c r="M158" t="s">
        <v>24</v>
      </c>
      <c r="N158" s="2">
        <v>46296.945555555554</v>
      </c>
      <c r="O158" s="3">
        <v>380</v>
      </c>
      <c r="P158" t="s">
        <v>25</v>
      </c>
      <c r="Q158" s="3">
        <v>190</v>
      </c>
      <c r="R158" s="3" t="str">
        <f>IF(OR(G158="12R",G158="12L"),_xlfn.XLOOKUP(C158,Tabla42[ADEP],Tabla42[SID 12R],""),IF(OR(G158="30L",G158="30R"),_xlfn.XLOOKUP(C158,Tabla42[ADEP],Tabla42[SID 30L],""),""))</f>
        <v>UDGUV</v>
      </c>
      <c r="S158" s="3">
        <f t="shared" si="2"/>
        <v>21</v>
      </c>
      <c r="T158" s="3" t="str">
        <f>_xlfn.XLOOKUP(C158,Tabla42[ADEP],Tabla42[Sector],"")</f>
        <v>Sector 2</v>
      </c>
    </row>
    <row r="159" spans="1:20" x14ac:dyDescent="0.2">
      <c r="A159" t="s">
        <v>680</v>
      </c>
      <c r="B159" t="s">
        <v>18</v>
      </c>
      <c r="C159" t="s">
        <v>720</v>
      </c>
      <c r="D159" t="s">
        <v>681</v>
      </c>
      <c r="F159" s="2">
        <v>46296.905092592591</v>
      </c>
      <c r="G159" t="s">
        <v>21</v>
      </c>
      <c r="H159" t="s">
        <v>1276</v>
      </c>
      <c r="I159" s="3">
        <v>430</v>
      </c>
      <c r="J159" t="s">
        <v>22</v>
      </c>
      <c r="K159" t="s">
        <v>50</v>
      </c>
      <c r="L159" s="3">
        <v>938</v>
      </c>
      <c r="M159" t="s">
        <v>1277</v>
      </c>
      <c r="N159" s="2">
        <v>46296.954791666663</v>
      </c>
      <c r="O159" s="3">
        <v>430</v>
      </c>
      <c r="P159" t="s">
        <v>25</v>
      </c>
      <c r="Q159" s="3">
        <v>30</v>
      </c>
      <c r="R159" s="3" t="str">
        <f>IF(OR(G159="12R",G159="12L"),_xlfn.XLOOKUP(C159,Tabla42[ADEP],Tabla42[SID 12R],""),IF(OR(G159="30L",G159="30R"),_xlfn.XLOOKUP(C159,Tabla42[ADEP],Tabla42[SID 30L],""),""))</f>
        <v>CZM</v>
      </c>
      <c r="S159" s="3">
        <f t="shared" si="2"/>
        <v>21</v>
      </c>
      <c r="T159" s="3" t="str">
        <f>_xlfn.XLOOKUP(C159,Tabla42[ADEP],Tabla42[Sector],"")</f>
        <v>Sector 7</v>
      </c>
    </row>
    <row r="160" spans="1:20" x14ac:dyDescent="0.2">
      <c r="A160" t="s">
        <v>1278</v>
      </c>
      <c r="B160" t="s">
        <v>18</v>
      </c>
      <c r="C160" t="s">
        <v>42</v>
      </c>
      <c r="D160" t="s">
        <v>124</v>
      </c>
      <c r="F160" s="2">
        <v>46296.906018518523</v>
      </c>
      <c r="G160" t="s">
        <v>21</v>
      </c>
      <c r="H160" t="s">
        <v>1279</v>
      </c>
      <c r="I160" s="3">
        <v>380</v>
      </c>
      <c r="J160" t="s">
        <v>22</v>
      </c>
      <c r="K160" t="s">
        <v>50</v>
      </c>
      <c r="L160" s="3">
        <v>1033</v>
      </c>
      <c r="M160" t="s">
        <v>439</v>
      </c>
      <c r="N160" s="2">
        <v>46296.960428240738</v>
      </c>
      <c r="O160" s="3">
        <v>360</v>
      </c>
      <c r="P160" t="s">
        <v>25</v>
      </c>
      <c r="Q160" s="3">
        <v>40</v>
      </c>
      <c r="R160" s="3" t="str">
        <f>IF(OR(G160="12R",G160="12L"),_xlfn.XLOOKUP(C160,Tabla42[ADEP],Tabla42[SID 12R],""),IF(OR(G160="30L",G160="30R"),_xlfn.XLOOKUP(C160,Tabla42[ADEP],Tabla42[SID 30L],""),""))</f>
        <v>UDGUV</v>
      </c>
      <c r="S160" s="3">
        <f t="shared" si="2"/>
        <v>21</v>
      </c>
      <c r="T160" s="3" t="str">
        <f>_xlfn.XLOOKUP(C160,Tabla42[ADEP],Tabla42[Sector],"")</f>
        <v>Sector 2</v>
      </c>
    </row>
    <row r="161" spans="1:20" x14ac:dyDescent="0.2">
      <c r="A161" t="s">
        <v>1280</v>
      </c>
      <c r="B161" t="s">
        <v>18</v>
      </c>
      <c r="C161" t="s">
        <v>742</v>
      </c>
      <c r="D161" t="s">
        <v>28</v>
      </c>
      <c r="E161" t="s">
        <v>1281</v>
      </c>
      <c r="F161" s="2">
        <v>46296.910034722227</v>
      </c>
      <c r="G161" t="s">
        <v>21</v>
      </c>
      <c r="H161" t="s">
        <v>1282</v>
      </c>
      <c r="I161" s="3">
        <v>360</v>
      </c>
      <c r="J161" t="s">
        <v>22</v>
      </c>
      <c r="K161" t="s">
        <v>23</v>
      </c>
      <c r="L161" s="3">
        <v>878</v>
      </c>
      <c r="M161" t="s">
        <v>35</v>
      </c>
      <c r="N161" s="2">
        <v>46296.953229166669</v>
      </c>
      <c r="O161" s="3">
        <v>340</v>
      </c>
      <c r="P161" t="s">
        <v>25</v>
      </c>
      <c r="Q161" s="3">
        <v>190</v>
      </c>
      <c r="R161" s="3" t="str">
        <f>IF(OR(G161="12R",G161="12L"),_xlfn.XLOOKUP(C161,Tabla42[ADEP],Tabla42[SID 12R],""),IF(OR(G161="30L",G161="30R"),_xlfn.XLOOKUP(C161,Tabla42[ADEP],Tabla42[SID 30L],""),""))</f>
        <v>UDGUV</v>
      </c>
      <c r="S161" s="3">
        <f t="shared" si="2"/>
        <v>21</v>
      </c>
      <c r="T161" s="3" t="str">
        <f>_xlfn.XLOOKUP(C161,Tabla42[ADEP],Tabla42[Sector],"")</f>
        <v>Sector 2</v>
      </c>
    </row>
    <row r="162" spans="1:20" x14ac:dyDescent="0.2">
      <c r="A162" t="s">
        <v>311</v>
      </c>
      <c r="B162" t="s">
        <v>18</v>
      </c>
      <c r="C162" t="s">
        <v>109</v>
      </c>
      <c r="D162" t="s">
        <v>28</v>
      </c>
      <c r="E162" t="s">
        <v>1283</v>
      </c>
      <c r="F162" s="2">
        <v>46296.912280092598</v>
      </c>
      <c r="G162" t="s">
        <v>21</v>
      </c>
      <c r="H162" t="s">
        <v>1284</v>
      </c>
      <c r="I162" s="3">
        <v>350</v>
      </c>
      <c r="J162" t="s">
        <v>22</v>
      </c>
      <c r="K162" t="s">
        <v>23</v>
      </c>
      <c r="L162" s="3">
        <v>149</v>
      </c>
      <c r="M162" t="s">
        <v>111</v>
      </c>
      <c r="N162" s="2">
        <v>46296.923159722224</v>
      </c>
      <c r="O162" s="3">
        <v>270</v>
      </c>
      <c r="P162" t="s">
        <v>25</v>
      </c>
      <c r="Q162" s="3">
        <v>190</v>
      </c>
      <c r="R162" s="3" t="str">
        <f>IF(OR(G162="12R",G162="12L"),_xlfn.XLOOKUP(C162,Tabla42[ADEP],Tabla42[SID 12R],""),IF(OR(G162="30L",G162="30R"),_xlfn.XLOOKUP(C162,Tabla42[ADEP],Tabla42[SID 30L],""),""))</f>
        <v>TAKUX</v>
      </c>
      <c r="S162" s="3">
        <f t="shared" si="2"/>
        <v>21</v>
      </c>
      <c r="T162" s="3" t="str">
        <f>_xlfn.XLOOKUP(C162,Tabla42[ADEP],Tabla42[Sector],"")</f>
        <v>Sector 7</v>
      </c>
    </row>
    <row r="163" spans="1:20" x14ac:dyDescent="0.2">
      <c r="A163" t="s">
        <v>312</v>
      </c>
      <c r="B163" t="s">
        <v>18</v>
      </c>
      <c r="C163" t="s">
        <v>204</v>
      </c>
      <c r="D163" t="s">
        <v>33</v>
      </c>
      <c r="E163" t="s">
        <v>1285</v>
      </c>
      <c r="F163" s="2">
        <v>46296.915520833332</v>
      </c>
      <c r="G163" t="s">
        <v>21</v>
      </c>
      <c r="H163" t="s">
        <v>1286</v>
      </c>
      <c r="I163" s="3">
        <v>350</v>
      </c>
      <c r="J163" t="s">
        <v>22</v>
      </c>
      <c r="K163" t="s">
        <v>23</v>
      </c>
      <c r="L163" s="3">
        <v>149</v>
      </c>
      <c r="M163" t="s">
        <v>111</v>
      </c>
      <c r="N163" s="2">
        <v>46296.926053240742</v>
      </c>
      <c r="O163" s="3">
        <v>262</v>
      </c>
      <c r="P163" t="s">
        <v>25</v>
      </c>
      <c r="Q163" s="3">
        <v>190</v>
      </c>
      <c r="R163" s="3" t="str">
        <f>IF(OR(G163="12R",G163="12L"),_xlfn.XLOOKUP(C163,Tabla42[ADEP],Tabla42[SID 12R],""),IF(OR(G163="30L",G163="30R"),_xlfn.XLOOKUP(C163,Tabla42[ADEP],Tabla42[SID 30L],""),""))</f>
        <v>TAKUX</v>
      </c>
      <c r="S163" s="3">
        <f t="shared" si="2"/>
        <v>21</v>
      </c>
      <c r="T163" s="3" t="str">
        <f>_xlfn.XLOOKUP(C163,Tabla42[ADEP],Tabla42[Sector],"")</f>
        <v>Sector 7</v>
      </c>
    </row>
    <row r="164" spans="1:20" x14ac:dyDescent="0.2">
      <c r="A164" t="s">
        <v>483</v>
      </c>
      <c r="B164" t="s">
        <v>18</v>
      </c>
      <c r="C164" t="s">
        <v>297</v>
      </c>
      <c r="D164" t="s">
        <v>243</v>
      </c>
      <c r="E164" t="s">
        <v>288</v>
      </c>
      <c r="F164" s="2">
        <v>46296.917349537034</v>
      </c>
      <c r="G164" t="s">
        <v>21</v>
      </c>
      <c r="H164" t="s">
        <v>1287</v>
      </c>
      <c r="I164" s="3">
        <v>370</v>
      </c>
      <c r="J164" t="s">
        <v>22</v>
      </c>
      <c r="K164" t="s">
        <v>23</v>
      </c>
      <c r="L164" s="3">
        <v>360</v>
      </c>
      <c r="M164" t="s">
        <v>30</v>
      </c>
      <c r="N164" s="2">
        <v>46296.936678240745</v>
      </c>
      <c r="O164" s="3">
        <v>370</v>
      </c>
      <c r="P164" t="s">
        <v>40</v>
      </c>
      <c r="Q164" s="3">
        <v>40</v>
      </c>
      <c r="R164" s="3" t="str">
        <f>IF(OR(G164="12R",G164="12L"),_xlfn.XLOOKUP(C164,Tabla42[ADEP],Tabla42[SID 12R],""),IF(OR(G164="30L",G164="30R"),_xlfn.XLOOKUP(C164,Tabla42[ADEP],Tabla42[SID 30L],""),""))</f>
        <v>NUDAL</v>
      </c>
      <c r="S164" s="3">
        <f t="shared" si="2"/>
        <v>22</v>
      </c>
      <c r="T164" s="3" t="str">
        <f>_xlfn.XLOOKUP(C164,Tabla42[ADEP],Tabla42[Sector],"")</f>
        <v>Sector 3</v>
      </c>
    </row>
    <row r="165" spans="1:20" x14ac:dyDescent="0.2">
      <c r="A165" t="s">
        <v>301</v>
      </c>
      <c r="B165" t="s">
        <v>18</v>
      </c>
      <c r="C165" t="s">
        <v>32</v>
      </c>
      <c r="D165" t="s">
        <v>60</v>
      </c>
      <c r="E165" t="s">
        <v>383</v>
      </c>
      <c r="F165" s="2">
        <v>46296.919675925921</v>
      </c>
      <c r="G165" t="s">
        <v>21</v>
      </c>
      <c r="H165" t="s">
        <v>1288</v>
      </c>
      <c r="I165" s="3">
        <v>340</v>
      </c>
      <c r="J165" t="s">
        <v>22</v>
      </c>
      <c r="K165" t="s">
        <v>141</v>
      </c>
      <c r="L165" s="3">
        <v>863</v>
      </c>
      <c r="M165" t="s">
        <v>35</v>
      </c>
      <c r="N165" s="2">
        <v>46296.963020833333</v>
      </c>
      <c r="O165" s="3">
        <v>340</v>
      </c>
      <c r="P165" t="s">
        <v>25</v>
      </c>
      <c r="Q165" s="3">
        <v>190</v>
      </c>
      <c r="R165" s="3" t="str">
        <f>IF(OR(G165="12R",G165="12L"),_xlfn.XLOOKUP(C165,Tabla42[ADEP],Tabla42[SID 12R],""),IF(OR(G165="30L",G165="30R"),_xlfn.XLOOKUP(C165,Tabla42[ADEP],Tabla42[SID 30L],""),""))</f>
        <v>UDGUV</v>
      </c>
      <c r="S165" s="3">
        <f t="shared" si="2"/>
        <v>22</v>
      </c>
      <c r="T165" s="3" t="str">
        <f>_xlfn.XLOOKUP(C165,Tabla42[ADEP],Tabla42[Sector],"")</f>
        <v>Sector 2</v>
      </c>
    </row>
    <row r="166" spans="1:20" x14ac:dyDescent="0.2">
      <c r="A166" t="s">
        <v>315</v>
      </c>
      <c r="B166" t="s">
        <v>18</v>
      </c>
      <c r="C166" t="s">
        <v>96</v>
      </c>
      <c r="D166" t="s">
        <v>60</v>
      </c>
      <c r="E166" t="s">
        <v>690</v>
      </c>
      <c r="F166" s="2">
        <v>46296.926840277782</v>
      </c>
      <c r="G166" t="s">
        <v>21</v>
      </c>
      <c r="H166" t="s">
        <v>170</v>
      </c>
      <c r="I166" s="3">
        <v>360</v>
      </c>
      <c r="J166" t="s">
        <v>22</v>
      </c>
      <c r="K166" t="s">
        <v>141</v>
      </c>
      <c r="L166" s="3">
        <v>859</v>
      </c>
      <c r="M166" t="s">
        <v>45</v>
      </c>
      <c r="N166" s="2">
        <v>46296.969965277778</v>
      </c>
      <c r="O166" s="3">
        <v>360</v>
      </c>
      <c r="P166" t="s">
        <v>25</v>
      </c>
      <c r="Q166" s="3">
        <v>190</v>
      </c>
      <c r="R166" s="3" t="str">
        <f>IF(OR(G166="12R",G166="12L"),_xlfn.XLOOKUP(C166,Tabla42[ADEP],Tabla42[SID 12R],""),IF(OR(G166="30L",G166="30R"),_xlfn.XLOOKUP(C166,Tabla42[ADEP],Tabla42[SID 30L],""),""))</f>
        <v>UDGUV</v>
      </c>
      <c r="S166" s="3">
        <f t="shared" si="2"/>
        <v>22</v>
      </c>
      <c r="T166" s="3" t="str">
        <f>_xlfn.XLOOKUP(C166,Tabla42[ADEP],Tabla42[Sector],"")</f>
        <v>Sector 2</v>
      </c>
    </row>
    <row r="167" spans="1:20" x14ac:dyDescent="0.2">
      <c r="A167" t="s">
        <v>462</v>
      </c>
      <c r="B167" t="s">
        <v>18</v>
      </c>
      <c r="C167" t="s">
        <v>32</v>
      </c>
      <c r="D167" t="s">
        <v>60</v>
      </c>
      <c r="E167" t="s">
        <v>529</v>
      </c>
      <c r="F167" s="2">
        <v>46296.928483796291</v>
      </c>
      <c r="G167" t="s">
        <v>21</v>
      </c>
      <c r="H167" t="s">
        <v>1289</v>
      </c>
      <c r="I167" s="3">
        <v>340</v>
      </c>
      <c r="J167" t="s">
        <v>22</v>
      </c>
      <c r="K167" t="s">
        <v>23</v>
      </c>
      <c r="L167" s="3">
        <v>878</v>
      </c>
      <c r="M167" t="s">
        <v>35</v>
      </c>
      <c r="N167" s="2">
        <v>46296.972905092596</v>
      </c>
      <c r="O167" s="3">
        <v>340</v>
      </c>
      <c r="P167" t="s">
        <v>25</v>
      </c>
      <c r="Q167" s="3">
        <v>190</v>
      </c>
      <c r="R167" s="3" t="str">
        <f>IF(OR(G167="12R",G167="12L"),_xlfn.XLOOKUP(C167,Tabla42[ADEP],Tabla42[SID 12R],""),IF(OR(G167="30L",G167="30R"),_xlfn.XLOOKUP(C167,Tabla42[ADEP],Tabla42[SID 30L],""),""))</f>
        <v>UDGUV</v>
      </c>
      <c r="S167" s="3">
        <f t="shared" si="2"/>
        <v>22</v>
      </c>
      <c r="T167" s="3" t="str">
        <f>_xlfn.XLOOKUP(C167,Tabla42[ADEP],Tabla42[Sector],"")</f>
        <v>Sector 2</v>
      </c>
    </row>
    <row r="168" spans="1:20" x14ac:dyDescent="0.2">
      <c r="A168" t="s">
        <v>308</v>
      </c>
      <c r="B168" t="s">
        <v>18</v>
      </c>
      <c r="C168" t="s">
        <v>137</v>
      </c>
      <c r="D168" t="s">
        <v>122</v>
      </c>
      <c r="E168" t="s">
        <v>1067</v>
      </c>
      <c r="F168" s="2">
        <v>46296.929513888885</v>
      </c>
      <c r="G168" t="s">
        <v>21</v>
      </c>
      <c r="H168" t="s">
        <v>1290</v>
      </c>
      <c r="I168" s="3">
        <v>370</v>
      </c>
      <c r="J168" t="s">
        <v>22</v>
      </c>
      <c r="K168" t="s">
        <v>23</v>
      </c>
      <c r="L168" s="3">
        <v>403</v>
      </c>
      <c r="M168" t="s">
        <v>780</v>
      </c>
      <c r="N168" s="2">
        <v>46296.951111111106</v>
      </c>
      <c r="O168" s="3">
        <v>370</v>
      </c>
      <c r="P168" t="s">
        <v>25</v>
      </c>
      <c r="Q168" s="3">
        <v>40</v>
      </c>
      <c r="R168" s="3" t="str">
        <f>IF(OR(G168="12R",G168="12L"),_xlfn.XLOOKUP(C168,Tabla42[ADEP],Tabla42[SID 12R],""),IF(OR(G168="30L",G168="30R"),_xlfn.XLOOKUP(C168,Tabla42[ADEP],Tabla42[SID 30L],""),""))</f>
        <v>NUDAL</v>
      </c>
      <c r="S168" s="3">
        <f t="shared" si="2"/>
        <v>22</v>
      </c>
      <c r="T168" s="3" t="str">
        <f>_xlfn.XLOOKUP(C168,Tabla42[ADEP],Tabla42[Sector],"")</f>
        <v>Sector 3</v>
      </c>
    </row>
    <row r="169" spans="1:20" x14ac:dyDescent="0.2">
      <c r="A169" t="s">
        <v>488</v>
      </c>
      <c r="B169" t="s">
        <v>18</v>
      </c>
      <c r="C169" t="s">
        <v>489</v>
      </c>
      <c r="D169" t="s">
        <v>122</v>
      </c>
      <c r="E169" t="s">
        <v>704</v>
      </c>
      <c r="F169" s="2">
        <v>46296.933090277773</v>
      </c>
      <c r="G169" t="s">
        <v>21</v>
      </c>
      <c r="H169" t="s">
        <v>1291</v>
      </c>
      <c r="I169" s="3">
        <v>340</v>
      </c>
      <c r="J169" t="s">
        <v>22</v>
      </c>
      <c r="K169" t="s">
        <v>23</v>
      </c>
      <c r="L169" s="3">
        <v>878</v>
      </c>
      <c r="M169" t="s">
        <v>35</v>
      </c>
      <c r="N169" s="2">
        <v>46296.977986111116</v>
      </c>
      <c r="O169" s="3">
        <v>340</v>
      </c>
      <c r="P169" t="s">
        <v>25</v>
      </c>
      <c r="Q169" s="3">
        <v>190</v>
      </c>
      <c r="R169" s="3" t="str">
        <f>IF(OR(G169="12R",G169="12L"),_xlfn.XLOOKUP(C169,Tabla42[ADEP],Tabla42[SID 12R],""),IF(OR(G169="30L",G169="30R"),_xlfn.XLOOKUP(C169,Tabla42[ADEP],Tabla42[SID 30L],""),""))</f>
        <v>OMSUK</v>
      </c>
      <c r="S169" s="3">
        <f t="shared" si="2"/>
        <v>22</v>
      </c>
      <c r="T169" s="3" t="str">
        <f>_xlfn.XLOOKUP(C169,Tabla42[ADEP],Tabla42[Sector],"")</f>
        <v>Sector 3</v>
      </c>
    </row>
    <row r="170" spans="1:20" x14ac:dyDescent="0.2">
      <c r="A170" t="s">
        <v>318</v>
      </c>
      <c r="B170" t="s">
        <v>18</v>
      </c>
      <c r="C170" t="s">
        <v>116</v>
      </c>
      <c r="D170" t="s">
        <v>43</v>
      </c>
      <c r="E170" t="s">
        <v>466</v>
      </c>
      <c r="F170" s="2">
        <v>46296.934166666666</v>
      </c>
      <c r="G170" t="s">
        <v>21</v>
      </c>
      <c r="H170" t="s">
        <v>1292</v>
      </c>
      <c r="I170" s="3">
        <v>360</v>
      </c>
      <c r="J170" t="s">
        <v>22</v>
      </c>
      <c r="K170" t="s">
        <v>23</v>
      </c>
      <c r="L170" s="3">
        <v>523</v>
      </c>
      <c r="M170" t="s">
        <v>123</v>
      </c>
      <c r="N170" s="2">
        <v>46296.960312499999</v>
      </c>
      <c r="O170" s="3">
        <v>380</v>
      </c>
      <c r="P170" t="s">
        <v>25</v>
      </c>
      <c r="Q170" s="3">
        <v>40</v>
      </c>
      <c r="R170" s="3" t="str">
        <f>IF(OR(G170="12R",G170="12L"),_xlfn.XLOOKUP(C170,Tabla42[ADEP],Tabla42[SID 12R],""),IF(OR(G170="30L",G170="30R"),_xlfn.XLOOKUP(C170,Tabla42[ADEP],Tabla42[SID 30L],""),""))</f>
        <v>ENEBA</v>
      </c>
      <c r="S170" s="3">
        <f t="shared" si="2"/>
        <v>22</v>
      </c>
      <c r="T170" s="3" t="str">
        <f>_xlfn.XLOOKUP(C170,Tabla42[ADEP],Tabla42[Sector],"")</f>
        <v>Sector 3</v>
      </c>
    </row>
    <row r="171" spans="1:20" x14ac:dyDescent="0.2">
      <c r="A171" t="s">
        <v>291</v>
      </c>
      <c r="B171" t="s">
        <v>18</v>
      </c>
      <c r="C171" t="s">
        <v>209</v>
      </c>
      <c r="D171" t="s">
        <v>110</v>
      </c>
      <c r="E171" t="s">
        <v>652</v>
      </c>
      <c r="F171" s="2">
        <v>46296.937430555554</v>
      </c>
      <c r="G171" t="s">
        <v>21</v>
      </c>
      <c r="H171" t="s">
        <v>1293</v>
      </c>
      <c r="I171" s="3">
        <v>400</v>
      </c>
      <c r="J171" t="s">
        <v>22</v>
      </c>
      <c r="K171" t="s">
        <v>23</v>
      </c>
      <c r="L171" s="3">
        <v>513</v>
      </c>
      <c r="M171" t="s">
        <v>123</v>
      </c>
      <c r="N171" s="2">
        <v>46296.962766203702</v>
      </c>
      <c r="O171" s="3">
        <v>400</v>
      </c>
      <c r="P171" t="s">
        <v>25</v>
      </c>
      <c r="Q171" s="3">
        <v>40</v>
      </c>
      <c r="R171" s="3" t="str">
        <f>IF(OR(G171="12R",G171="12L"),_xlfn.XLOOKUP(C171,Tabla42[ADEP],Tabla42[SID 12R],""),IF(OR(G171="30L",G171="30R"),_xlfn.XLOOKUP(C171,Tabla42[ADEP],Tabla42[SID 30L],""),""))</f>
        <v>ENEBA</v>
      </c>
      <c r="S171" s="3">
        <f t="shared" si="2"/>
        <v>22</v>
      </c>
      <c r="T171" s="3" t="str">
        <f>_xlfn.XLOOKUP(C171,Tabla42[ADEP],Tabla42[Sector],"")</f>
        <v>Sector 3</v>
      </c>
    </row>
    <row r="172" spans="1:20" x14ac:dyDescent="0.2">
      <c r="A172" t="s">
        <v>328</v>
      </c>
      <c r="B172" t="s">
        <v>18</v>
      </c>
      <c r="C172" t="s">
        <v>42</v>
      </c>
      <c r="D172" t="s">
        <v>43</v>
      </c>
      <c r="E172" t="s">
        <v>382</v>
      </c>
      <c r="F172" s="2">
        <v>46296.947546296295</v>
      </c>
      <c r="G172" t="s">
        <v>21</v>
      </c>
      <c r="H172" t="s">
        <v>1294</v>
      </c>
      <c r="I172" s="3">
        <v>360</v>
      </c>
      <c r="J172" t="s">
        <v>22</v>
      </c>
      <c r="K172" t="s">
        <v>23</v>
      </c>
      <c r="L172" s="3">
        <v>858</v>
      </c>
      <c r="M172" t="s">
        <v>45</v>
      </c>
      <c r="N172" s="2">
        <v>46296.991064814814</v>
      </c>
      <c r="O172" s="3">
        <v>340</v>
      </c>
      <c r="P172" t="s">
        <v>25</v>
      </c>
      <c r="Q172" s="3">
        <v>190</v>
      </c>
      <c r="R172" s="3" t="str">
        <f>IF(OR(G172="12R",G172="12L"),_xlfn.XLOOKUP(C172,Tabla42[ADEP],Tabla42[SID 12R],""),IF(OR(G172="30L",G172="30R"),_xlfn.XLOOKUP(C172,Tabla42[ADEP],Tabla42[SID 30L],""),""))</f>
        <v>UDGUV</v>
      </c>
      <c r="S172" s="3">
        <f t="shared" si="2"/>
        <v>22</v>
      </c>
      <c r="T172" s="3" t="str">
        <f>_xlfn.XLOOKUP(C172,Tabla42[ADEP],Tabla42[Sector],"")</f>
        <v>Sector 2</v>
      </c>
    </row>
    <row r="173" spans="1:20" x14ac:dyDescent="0.2">
      <c r="A173" t="s">
        <v>321</v>
      </c>
      <c r="B173" t="s">
        <v>18</v>
      </c>
      <c r="C173" t="s">
        <v>322</v>
      </c>
      <c r="D173" t="s">
        <v>53</v>
      </c>
      <c r="E173" t="s">
        <v>80</v>
      </c>
      <c r="F173" s="2">
        <v>46296.949097222227</v>
      </c>
      <c r="G173" t="s">
        <v>21</v>
      </c>
      <c r="H173" t="s">
        <v>526</v>
      </c>
      <c r="I173" s="3">
        <v>380</v>
      </c>
      <c r="J173" t="s">
        <v>22</v>
      </c>
      <c r="K173" t="s">
        <v>23</v>
      </c>
      <c r="L173" s="3">
        <v>859</v>
      </c>
      <c r="M173" t="s">
        <v>45</v>
      </c>
      <c r="N173" s="2">
        <v>46296.99291666667</v>
      </c>
      <c r="O173" s="3">
        <v>380</v>
      </c>
      <c r="P173" t="s">
        <v>25</v>
      </c>
      <c r="Q173" s="3">
        <v>190</v>
      </c>
      <c r="R173" s="3" t="str">
        <f>IF(OR(G173="12R",G173="12L"),_xlfn.XLOOKUP(C173,Tabla42[ADEP],Tabla42[SID 12R],""),IF(OR(G173="30L",G173="30R"),_xlfn.XLOOKUP(C173,Tabla42[ADEP],Tabla42[SID 30L],""),""))</f>
        <v>UDGUV</v>
      </c>
      <c r="S173" s="3">
        <f t="shared" si="2"/>
        <v>22</v>
      </c>
      <c r="T173" s="3" t="str">
        <f>_xlfn.XLOOKUP(C173,Tabla42[ADEP],Tabla42[Sector],"")</f>
        <v>Sector 2</v>
      </c>
    </row>
    <row r="174" spans="1:20" x14ac:dyDescent="0.2">
      <c r="A174" t="s">
        <v>319</v>
      </c>
      <c r="B174" t="s">
        <v>18</v>
      </c>
      <c r="C174" t="s">
        <v>320</v>
      </c>
      <c r="D174" t="s">
        <v>33</v>
      </c>
      <c r="E174" t="s">
        <v>91</v>
      </c>
      <c r="F174" s="2">
        <v>46296.954976851848</v>
      </c>
      <c r="G174" t="s">
        <v>21</v>
      </c>
      <c r="H174" t="s">
        <v>1295</v>
      </c>
      <c r="I174" s="3">
        <v>380</v>
      </c>
      <c r="J174" t="s">
        <v>22</v>
      </c>
      <c r="K174" t="s">
        <v>23</v>
      </c>
      <c r="L174" s="3">
        <v>868</v>
      </c>
      <c r="M174" t="s">
        <v>167</v>
      </c>
      <c r="N174" s="2">
        <v>46296.999652777777</v>
      </c>
      <c r="O174" s="3">
        <v>380</v>
      </c>
      <c r="P174" t="s">
        <v>25</v>
      </c>
      <c r="Q174" s="3">
        <v>190</v>
      </c>
      <c r="R174" s="3" t="str">
        <f>IF(OR(G174="12R",G174="12L"),_xlfn.XLOOKUP(C174,Tabla42[ADEP],Tabla42[SID 12R],""),IF(OR(G174="30L",G174="30R"),_xlfn.XLOOKUP(C174,Tabla42[ADEP],Tabla42[SID 30L],""),""))</f>
        <v>UDGUV</v>
      </c>
      <c r="S174" s="3">
        <f t="shared" si="2"/>
        <v>22</v>
      </c>
      <c r="T174" s="3" t="str">
        <f>_xlfn.XLOOKUP(C174,Tabla42[ADEP],Tabla42[Sector],"")</f>
        <v>Sector 2</v>
      </c>
    </row>
    <row r="175" spans="1:20" x14ac:dyDescent="0.2">
      <c r="A175" t="s">
        <v>503</v>
      </c>
      <c r="B175" t="s">
        <v>18</v>
      </c>
      <c r="C175" t="s">
        <v>489</v>
      </c>
      <c r="D175" t="s">
        <v>28</v>
      </c>
      <c r="E175" t="s">
        <v>1296</v>
      </c>
      <c r="F175" s="2">
        <v>46296.956053240741</v>
      </c>
      <c r="G175" t="s">
        <v>21</v>
      </c>
      <c r="H175" t="s">
        <v>1297</v>
      </c>
      <c r="I175" s="3">
        <v>320</v>
      </c>
      <c r="J175" t="s">
        <v>22</v>
      </c>
      <c r="K175" t="s">
        <v>23</v>
      </c>
      <c r="L175" s="3">
        <v>523</v>
      </c>
      <c r="M175" t="s">
        <v>123</v>
      </c>
      <c r="N175" s="2">
        <v>46296.983900462961</v>
      </c>
      <c r="O175" s="3">
        <v>320</v>
      </c>
      <c r="P175" t="s">
        <v>25</v>
      </c>
      <c r="Q175" s="3">
        <v>40</v>
      </c>
      <c r="R175" s="3" t="str">
        <f>IF(OR(G175="12R",G175="12L"),_xlfn.XLOOKUP(C175,Tabla42[ADEP],Tabla42[SID 12R],""),IF(OR(G175="30L",G175="30R"),_xlfn.XLOOKUP(C175,Tabla42[ADEP],Tabla42[SID 30L],""),""))</f>
        <v>OMSUK</v>
      </c>
      <c r="S175" s="3">
        <f t="shared" si="2"/>
        <v>22</v>
      </c>
      <c r="T175" s="3" t="str">
        <f>_xlfn.XLOOKUP(C175,Tabla42[ADEP],Tabla42[Sector],"")</f>
        <v>Sector 3</v>
      </c>
    </row>
    <row r="176" spans="1:20" x14ac:dyDescent="0.2">
      <c r="A176" t="s">
        <v>324</v>
      </c>
      <c r="B176" t="s">
        <v>18</v>
      </c>
      <c r="C176" t="s">
        <v>206</v>
      </c>
      <c r="D176" t="s">
        <v>53</v>
      </c>
      <c r="E176" t="s">
        <v>956</v>
      </c>
      <c r="F176" s="2">
        <v>46296.957314814819</v>
      </c>
      <c r="G176" t="s">
        <v>21</v>
      </c>
      <c r="H176" t="s">
        <v>326</v>
      </c>
      <c r="I176" s="3">
        <v>380</v>
      </c>
      <c r="J176" t="s">
        <v>22</v>
      </c>
      <c r="K176" t="s">
        <v>23</v>
      </c>
      <c r="L176" s="3">
        <v>859</v>
      </c>
      <c r="M176" t="s">
        <v>45</v>
      </c>
      <c r="N176" s="2">
        <v>46297.00135416667</v>
      </c>
      <c r="O176" s="3">
        <v>380</v>
      </c>
      <c r="P176" t="s">
        <v>25</v>
      </c>
      <c r="Q176" s="3">
        <v>190</v>
      </c>
      <c r="R176" s="3" t="str">
        <f>IF(OR(G176="12R",G176="12L"),_xlfn.XLOOKUP(C176,Tabla42[ADEP],Tabla42[SID 12R],""),IF(OR(G176="30L",G176="30R"),_xlfn.XLOOKUP(C176,Tabla42[ADEP],Tabla42[SID 30L],""),""))</f>
        <v>UDGUV</v>
      </c>
      <c r="S176" s="3">
        <f t="shared" si="2"/>
        <v>22</v>
      </c>
      <c r="T176" s="3" t="str">
        <f>_xlfn.XLOOKUP(C176,Tabla42[ADEP],Tabla42[Sector],"")</f>
        <v>Sector 2</v>
      </c>
    </row>
    <row r="177" spans="1:20" x14ac:dyDescent="0.2">
      <c r="A177" t="s">
        <v>1298</v>
      </c>
      <c r="B177" t="s">
        <v>18</v>
      </c>
      <c r="C177" t="s">
        <v>958</v>
      </c>
      <c r="D177" t="s">
        <v>1041</v>
      </c>
      <c r="E177" t="s">
        <v>1299</v>
      </c>
      <c r="F177" s="2">
        <v>46296.95820601852</v>
      </c>
      <c r="G177" t="s">
        <v>21</v>
      </c>
      <c r="H177" t="s">
        <v>1300</v>
      </c>
      <c r="I177" s="3">
        <v>450</v>
      </c>
      <c r="J177" t="s">
        <v>22</v>
      </c>
      <c r="K177" t="s">
        <v>50</v>
      </c>
      <c r="L177" s="3">
        <v>360</v>
      </c>
      <c r="M177" t="s">
        <v>30</v>
      </c>
      <c r="N177" s="2">
        <v>46296.976516203707</v>
      </c>
      <c r="O177" s="3">
        <v>450</v>
      </c>
      <c r="P177" t="s">
        <v>25</v>
      </c>
      <c r="Q177" s="3">
        <v>40</v>
      </c>
      <c r="R177" s="3" t="str">
        <f>IF(OR(G177="12R",G177="12L"),_xlfn.XLOOKUP(C177,Tabla42[ADEP],Tabla42[SID 12R],""),IF(OR(G177="30L",G177="30R"),_xlfn.XLOOKUP(C177,Tabla42[ADEP],Tabla42[SID 30L],""),""))</f>
        <v>NUDAL</v>
      </c>
      <c r="S177" s="3">
        <f t="shared" si="2"/>
        <v>22</v>
      </c>
      <c r="T177" s="3" t="str">
        <f>_xlfn.XLOOKUP(C177,Tabla42[ADEP],Tabla42[Sector],"")</f>
        <v>Sector 3</v>
      </c>
    </row>
    <row r="178" spans="1:20" x14ac:dyDescent="0.2">
      <c r="A178" t="s">
        <v>332</v>
      </c>
      <c r="B178" t="s">
        <v>18</v>
      </c>
      <c r="C178" t="s">
        <v>257</v>
      </c>
      <c r="D178" t="s">
        <v>117</v>
      </c>
      <c r="E178" t="s">
        <v>1301</v>
      </c>
      <c r="F178" s="2">
        <v>46296.963738425926</v>
      </c>
      <c r="G178" t="s">
        <v>21</v>
      </c>
      <c r="H178" t="s">
        <v>1302</v>
      </c>
      <c r="I178" s="3">
        <v>320</v>
      </c>
      <c r="J178" t="s">
        <v>22</v>
      </c>
      <c r="K178" t="s">
        <v>23</v>
      </c>
      <c r="L178" s="3">
        <v>878</v>
      </c>
      <c r="M178" t="s">
        <v>35</v>
      </c>
      <c r="N178" s="2">
        <v>46297.006886574076</v>
      </c>
      <c r="O178" s="3">
        <v>320</v>
      </c>
      <c r="P178" t="s">
        <v>25</v>
      </c>
      <c r="Q178" s="3">
        <v>190</v>
      </c>
      <c r="R178" s="3" t="str">
        <f>IF(OR(G178="12R",G178="12L"),_xlfn.XLOOKUP(C178,Tabla42[ADEP],Tabla42[SID 12R],""),IF(OR(G178="30L",G178="30R"),_xlfn.XLOOKUP(C178,Tabla42[ADEP],Tabla42[SID 30L],""),""))</f>
        <v>UDGUV</v>
      </c>
      <c r="S178" s="3">
        <f t="shared" si="2"/>
        <v>23</v>
      </c>
      <c r="T178" s="3" t="str">
        <f>_xlfn.XLOOKUP(C178,Tabla42[ADEP],Tabla42[Sector],"")</f>
        <v>Sector 2</v>
      </c>
    </row>
    <row r="179" spans="1:20" x14ac:dyDescent="0.2">
      <c r="A179" t="s">
        <v>330</v>
      </c>
      <c r="B179" t="s">
        <v>18</v>
      </c>
      <c r="C179" t="s">
        <v>62</v>
      </c>
      <c r="D179" t="s">
        <v>53</v>
      </c>
      <c r="E179" t="s">
        <v>325</v>
      </c>
      <c r="F179" s="2">
        <v>46296.969189814816</v>
      </c>
      <c r="G179" t="s">
        <v>21</v>
      </c>
      <c r="H179" t="s">
        <v>1303</v>
      </c>
      <c r="I179" s="3">
        <v>380</v>
      </c>
      <c r="J179" t="s">
        <v>22</v>
      </c>
      <c r="K179" t="s">
        <v>23</v>
      </c>
      <c r="L179" s="3">
        <v>868</v>
      </c>
      <c r="M179" t="s">
        <v>167</v>
      </c>
      <c r="N179" s="2">
        <v>46297.013217592597</v>
      </c>
      <c r="O179" s="3">
        <v>380</v>
      </c>
      <c r="P179" t="s">
        <v>25</v>
      </c>
      <c r="Q179" s="3">
        <v>190</v>
      </c>
      <c r="R179" s="3" t="str">
        <f>IF(OR(G179="12R",G179="12L"),_xlfn.XLOOKUP(C179,Tabla42[ADEP],Tabla42[SID 12R],""),IF(OR(G179="30L",G179="30R"),_xlfn.XLOOKUP(C179,Tabla42[ADEP],Tabla42[SID 30L],""),""))</f>
        <v>UDGUV</v>
      </c>
      <c r="S179" s="3">
        <f t="shared" si="2"/>
        <v>23</v>
      </c>
      <c r="T179" s="3" t="str">
        <f>_xlfn.XLOOKUP(C179,Tabla42[ADEP],Tabla42[Sector],"")</f>
        <v>Sector 2</v>
      </c>
    </row>
    <row r="180" spans="1:20" x14ac:dyDescent="0.2">
      <c r="A180" t="s">
        <v>333</v>
      </c>
      <c r="B180" t="s">
        <v>18</v>
      </c>
      <c r="C180" t="s">
        <v>204</v>
      </c>
      <c r="D180" t="s">
        <v>33</v>
      </c>
      <c r="E180" t="s">
        <v>1304</v>
      </c>
      <c r="F180" s="2">
        <v>46296.976354166662</v>
      </c>
      <c r="G180" t="s">
        <v>21</v>
      </c>
      <c r="H180" t="s">
        <v>1305</v>
      </c>
      <c r="I180" s="3">
        <v>350</v>
      </c>
      <c r="J180" t="s">
        <v>22</v>
      </c>
      <c r="K180" t="s">
        <v>23</v>
      </c>
      <c r="L180" s="3">
        <v>153</v>
      </c>
      <c r="M180" t="s">
        <v>111</v>
      </c>
      <c r="N180" s="2">
        <v>46296.98709490741</v>
      </c>
      <c r="O180" s="3">
        <v>262</v>
      </c>
      <c r="P180" t="s">
        <v>25</v>
      </c>
      <c r="Q180" s="3">
        <v>190</v>
      </c>
      <c r="R180" s="3" t="str">
        <f>IF(OR(G180="12R",G180="12L"),_xlfn.XLOOKUP(C180,Tabla42[ADEP],Tabla42[SID 12R],""),IF(OR(G180="30L",G180="30R"),_xlfn.XLOOKUP(C180,Tabla42[ADEP],Tabla42[SID 30L],""),""))</f>
        <v>TAKUX</v>
      </c>
      <c r="S180" s="3">
        <f t="shared" si="2"/>
        <v>23</v>
      </c>
      <c r="T180" s="3" t="str">
        <f>_xlfn.XLOOKUP(C180,Tabla42[ADEP],Tabla42[Sector],"")</f>
        <v>Sector 7</v>
      </c>
    </row>
    <row r="181" spans="1:20" x14ac:dyDescent="0.2">
      <c r="A181" t="s">
        <v>499</v>
      </c>
      <c r="B181" t="s">
        <v>18</v>
      </c>
      <c r="C181" t="s">
        <v>93</v>
      </c>
      <c r="D181" t="s">
        <v>53</v>
      </c>
      <c r="E181" t="s">
        <v>207</v>
      </c>
      <c r="F181" s="2">
        <v>46296.988726851851</v>
      </c>
      <c r="G181" t="s">
        <v>21</v>
      </c>
      <c r="H181" t="s">
        <v>1306</v>
      </c>
      <c r="I181" s="3">
        <v>360</v>
      </c>
      <c r="J181" t="s">
        <v>22</v>
      </c>
      <c r="K181" t="s">
        <v>23</v>
      </c>
      <c r="L181" s="3">
        <v>879</v>
      </c>
      <c r="M181" t="s">
        <v>94</v>
      </c>
      <c r="N181" s="2">
        <v>46297.034270833334</v>
      </c>
      <c r="O181" s="3">
        <v>236</v>
      </c>
      <c r="P181" t="s">
        <v>25</v>
      </c>
      <c r="Q181" s="3">
        <v>190</v>
      </c>
      <c r="R181" s="3" t="str">
        <f>IF(OR(G181="12R",G181="12L"),_xlfn.XLOOKUP(C181,Tabla42[ADEP],Tabla42[SID 12R],""),IF(OR(G181="30L",G181="30R"),_xlfn.XLOOKUP(C181,Tabla42[ADEP],Tabla42[SID 30L],""),""))</f>
        <v>UDGUV</v>
      </c>
      <c r="S181" s="3">
        <f t="shared" si="2"/>
        <v>23</v>
      </c>
      <c r="T181" s="3" t="str">
        <f>_xlfn.XLOOKUP(C181,Tabla42[ADEP],Tabla42[Sector],"")</f>
        <v>Sector 2</v>
      </c>
    </row>
    <row r="182" spans="1:20" x14ac:dyDescent="0.2">
      <c r="F182" s="2"/>
      <c r="I182" s="3"/>
      <c r="L182" s="3"/>
      <c r="N182" s="2"/>
      <c r="O182" s="3"/>
      <c r="Q182" s="3"/>
      <c r="R182" s="3" t="str">
        <f>IF(OR(G182="12R",G182="12L"),_xlfn.XLOOKUP(C182,Tabla42[ADEP],Tabla42[SID 12R],""),IF(OR(G182="30L",G182="30R"),_xlfn.XLOOKUP(C182,Tabla42[ADEP],Tabla42[SID 30L],""),""))</f>
        <v/>
      </c>
      <c r="S182" s="3">
        <f t="shared" si="2"/>
        <v>0</v>
      </c>
      <c r="T182" s="3" t="str">
        <f>_xlfn.XLOOKUP(C182,Tabla42[ADEP],Tabla42[Sector],"")</f>
        <v/>
      </c>
    </row>
    <row r="183" spans="1:20" x14ac:dyDescent="0.2">
      <c r="F183" s="2"/>
      <c r="I183" s="3"/>
      <c r="L183" s="3"/>
      <c r="N183" s="2"/>
      <c r="O183" s="3"/>
      <c r="Q183" s="3"/>
      <c r="R183" s="3" t="str">
        <f>IF(OR(G183="12R",G183="12L"),_xlfn.XLOOKUP(C183,Tabla42[ADEP],Tabla42[SID 12R],""),IF(OR(G183="30L",G183="30R"),_xlfn.XLOOKUP(C183,Tabla42[ADEP],Tabla42[SID 30L],""),""))</f>
        <v/>
      </c>
      <c r="S183" s="3">
        <f t="shared" si="2"/>
        <v>0</v>
      </c>
      <c r="T183" s="3" t="str">
        <f>_xlfn.XLOOKUP(C183,Tabla42[ADEP],Tabla42[Sector],"")</f>
        <v/>
      </c>
    </row>
    <row r="184" spans="1:20" x14ac:dyDescent="0.2">
      <c r="F184" s="2"/>
      <c r="I184" s="3"/>
      <c r="L184" s="3"/>
      <c r="N184" s="2"/>
      <c r="O184" s="3"/>
      <c r="Q184" s="3"/>
      <c r="R184" s="3" t="str">
        <f>IF(OR(G184="12R",G184="12L"),_xlfn.XLOOKUP(C184,Tabla42[ADEP],Tabla42[SID 12R],""),IF(OR(G184="30L",G184="30R"),_xlfn.XLOOKUP(C184,Tabla42[ADEP],Tabla42[SID 30L],""),""))</f>
        <v/>
      </c>
      <c r="S184" s="3">
        <f t="shared" si="2"/>
        <v>0</v>
      </c>
      <c r="T184" s="3" t="str">
        <f>_xlfn.XLOOKUP(C184,Tabla42[ADEP],Tabla42[Sector],"")</f>
        <v/>
      </c>
    </row>
    <row r="185" spans="1:20" x14ac:dyDescent="0.2">
      <c r="F185" s="2"/>
      <c r="I185" s="3"/>
      <c r="L185" s="3"/>
      <c r="N185" s="2"/>
      <c r="O185" s="3"/>
      <c r="Q185" s="3"/>
      <c r="R185" s="3" t="str">
        <f>IF(OR(G185="12R",G185="12L"),_xlfn.XLOOKUP(C185,Tabla42[ADEP],Tabla42[SID 12R],""),IF(OR(G185="30L",G185="30R"),_xlfn.XLOOKUP(C185,Tabla42[ADEP],Tabla42[SID 30L],""),""))</f>
        <v/>
      </c>
      <c r="S185" s="3">
        <f t="shared" si="2"/>
        <v>0</v>
      </c>
      <c r="T185" s="3" t="str">
        <f>_xlfn.XLOOKUP(C185,Tabla42[ADEP],Tabla42[Sector],"")</f>
        <v/>
      </c>
    </row>
    <row r="186" spans="1:20" x14ac:dyDescent="0.2">
      <c r="F186" s="2"/>
      <c r="I186" s="3"/>
      <c r="L186" s="3"/>
      <c r="N186" s="2"/>
      <c r="O186" s="3"/>
      <c r="Q186" s="3"/>
      <c r="R186" s="3" t="str">
        <f>IF(OR(G186="12R",G186="12L"),_xlfn.XLOOKUP(C186,Tabla42[ADEP],Tabla42[SID 12R],""),IF(OR(G186="30L",G186="30R"),_xlfn.XLOOKUP(C186,Tabla42[ADEP],Tabla42[SID 30L],""),""))</f>
        <v/>
      </c>
      <c r="S186" s="3">
        <f t="shared" si="2"/>
        <v>0</v>
      </c>
      <c r="T186" s="3" t="str">
        <f>_xlfn.XLOOKUP(C186,Tabla42[ADEP],Tabla42[Sector],"")</f>
        <v/>
      </c>
    </row>
    <row r="187" spans="1:20" x14ac:dyDescent="0.2">
      <c r="F187" s="2"/>
      <c r="I187" s="3"/>
      <c r="L187" s="3"/>
      <c r="N187" s="2"/>
      <c r="O187" s="3"/>
      <c r="Q187" s="3"/>
      <c r="R187" s="3" t="str">
        <f>IF(OR(G187="12R",G187="12L"),_xlfn.XLOOKUP(C187,Tabla42[ADEP],Tabla42[SID 12R],""),IF(OR(G187="30L",G187="30R"),_xlfn.XLOOKUP(C187,Tabla42[ADEP],Tabla42[SID 30L],""),""))</f>
        <v/>
      </c>
      <c r="S187" s="3">
        <f t="shared" si="2"/>
        <v>0</v>
      </c>
      <c r="T187" s="3" t="str">
        <f>_xlfn.XLOOKUP(C187,Tabla42[ADEP],Tabla42[Sector],"")</f>
        <v/>
      </c>
    </row>
    <row r="188" spans="1:20" x14ac:dyDescent="0.2">
      <c r="F188" s="2"/>
      <c r="I188" s="3"/>
      <c r="L188" s="3"/>
      <c r="N188" s="2"/>
      <c r="O188" s="3"/>
      <c r="Q188" s="3"/>
      <c r="R188" s="3" t="str">
        <f>IF(OR(G188="12R",G188="12L"),_xlfn.XLOOKUP(C188,Tabla42[ADEP],Tabla42[SID 12R],""),IF(OR(G188="30L",G188="30R"),_xlfn.XLOOKUP(C188,Tabla42[ADEP],Tabla42[SID 30L],""),""))</f>
        <v/>
      </c>
      <c r="S188" s="3">
        <f t="shared" si="2"/>
        <v>0</v>
      </c>
      <c r="T188" s="3" t="str">
        <f>_xlfn.XLOOKUP(C188,Tabla42[ADEP],Tabla42[Sector],"")</f>
        <v/>
      </c>
    </row>
    <row r="189" spans="1:20" x14ac:dyDescent="0.2">
      <c r="F189" s="2"/>
      <c r="I189" s="3"/>
      <c r="L189" s="3"/>
      <c r="N189" s="2"/>
      <c r="O189" s="3"/>
      <c r="Q189" s="3"/>
      <c r="R189" s="3" t="str">
        <f>IF(OR(G189="12R",G189="12L"),_xlfn.XLOOKUP(C189,Tabla42[ADEP],Tabla42[SID 12R],""),IF(OR(G189="30L",G189="30R"),_xlfn.XLOOKUP(C189,Tabla42[ADEP],Tabla42[SID 30L],""),""))</f>
        <v/>
      </c>
      <c r="S189" s="3">
        <f t="shared" si="2"/>
        <v>0</v>
      </c>
      <c r="T189" s="3" t="str">
        <f>_xlfn.XLOOKUP(C189,Tabla42[ADEP],Tabla42[Sector],"")</f>
        <v/>
      </c>
    </row>
    <row r="190" spans="1: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1: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1: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1307</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2</v>
      </c>
      <c r="C227" s="8">
        <f t="shared" si="4"/>
        <v>0</v>
      </c>
      <c r="D227" s="8">
        <f t="shared" si="4"/>
        <v>0</v>
      </c>
      <c r="E227" s="8">
        <f t="shared" si="4"/>
        <v>0</v>
      </c>
      <c r="F227" s="8">
        <f t="shared" si="4"/>
        <v>0</v>
      </c>
      <c r="G227" s="8">
        <f t="shared" si="4"/>
        <v>0</v>
      </c>
      <c r="H227" s="8">
        <f t="shared" si="4"/>
        <v>1</v>
      </c>
      <c r="I227" s="9">
        <f t="shared" ref="I227:I235" si="5">SUM(B227:H227)</f>
        <v>3</v>
      </c>
    </row>
    <row r="228" spans="1:9" x14ac:dyDescent="0.2">
      <c r="A228" s="7">
        <v>15</v>
      </c>
      <c r="B228" s="8">
        <f t="shared" si="4"/>
        <v>0</v>
      </c>
      <c r="C228" s="8">
        <f t="shared" si="4"/>
        <v>0</v>
      </c>
      <c r="D228" s="8">
        <f t="shared" si="4"/>
        <v>0</v>
      </c>
      <c r="E228" s="8">
        <f t="shared" si="4"/>
        <v>0</v>
      </c>
      <c r="F228" s="8">
        <f t="shared" si="4"/>
        <v>2</v>
      </c>
      <c r="G228" s="8">
        <f t="shared" si="4"/>
        <v>0</v>
      </c>
      <c r="H228" s="8">
        <f t="shared" si="4"/>
        <v>8</v>
      </c>
      <c r="I228" s="9">
        <f t="shared" si="5"/>
        <v>10</v>
      </c>
    </row>
    <row r="229" spans="1:9" x14ac:dyDescent="0.2">
      <c r="A229" s="7">
        <v>16</v>
      </c>
      <c r="B229" s="8">
        <f t="shared" si="4"/>
        <v>2</v>
      </c>
      <c r="C229" s="8">
        <f t="shared" si="4"/>
        <v>2</v>
      </c>
      <c r="D229" s="8">
        <f t="shared" si="4"/>
        <v>0</v>
      </c>
      <c r="E229" s="8">
        <f t="shared" si="4"/>
        <v>1</v>
      </c>
      <c r="F229" s="8">
        <f t="shared" si="4"/>
        <v>2</v>
      </c>
      <c r="G229" s="8">
        <f t="shared" si="4"/>
        <v>2</v>
      </c>
      <c r="H229" s="8">
        <f t="shared" si="4"/>
        <v>8</v>
      </c>
      <c r="I229" s="9">
        <f t="shared" si="5"/>
        <v>17</v>
      </c>
    </row>
    <row r="230" spans="1:9" x14ac:dyDescent="0.2">
      <c r="A230" s="7">
        <v>17</v>
      </c>
      <c r="B230" s="8">
        <f t="shared" si="4"/>
        <v>0</v>
      </c>
      <c r="C230" s="8">
        <f t="shared" si="4"/>
        <v>2</v>
      </c>
      <c r="D230" s="8">
        <f t="shared" si="4"/>
        <v>1</v>
      </c>
      <c r="E230" s="8">
        <f t="shared" si="4"/>
        <v>0</v>
      </c>
      <c r="F230" s="8">
        <f t="shared" si="4"/>
        <v>4</v>
      </c>
      <c r="G230" s="8">
        <f t="shared" si="4"/>
        <v>1</v>
      </c>
      <c r="H230" s="8">
        <f t="shared" si="4"/>
        <v>6</v>
      </c>
      <c r="I230" s="9">
        <f t="shared" si="5"/>
        <v>14</v>
      </c>
    </row>
    <row r="231" spans="1:9" x14ac:dyDescent="0.2">
      <c r="A231" s="7">
        <v>18</v>
      </c>
      <c r="B231" s="8">
        <f t="shared" si="4"/>
        <v>1</v>
      </c>
      <c r="C231" s="8">
        <f t="shared" si="4"/>
        <v>4</v>
      </c>
      <c r="D231" s="8">
        <f t="shared" si="4"/>
        <v>0</v>
      </c>
      <c r="E231" s="8">
        <f t="shared" si="4"/>
        <v>1</v>
      </c>
      <c r="F231" s="8">
        <f t="shared" si="4"/>
        <v>7</v>
      </c>
      <c r="G231" s="8">
        <f t="shared" si="4"/>
        <v>2</v>
      </c>
      <c r="H231" s="8">
        <f t="shared" si="4"/>
        <v>5</v>
      </c>
      <c r="I231" s="9">
        <f t="shared" si="5"/>
        <v>20</v>
      </c>
    </row>
    <row r="232" spans="1:9" x14ac:dyDescent="0.2">
      <c r="A232" s="7">
        <v>19</v>
      </c>
      <c r="B232" s="8">
        <f t="shared" si="4"/>
        <v>0</v>
      </c>
      <c r="C232" s="8">
        <f t="shared" si="4"/>
        <v>7</v>
      </c>
      <c r="D232" s="8">
        <f t="shared" si="4"/>
        <v>0</v>
      </c>
      <c r="E232" s="8">
        <f t="shared" si="4"/>
        <v>1</v>
      </c>
      <c r="F232" s="8">
        <f t="shared" si="4"/>
        <v>3</v>
      </c>
      <c r="G232" s="8">
        <f t="shared" si="4"/>
        <v>1</v>
      </c>
      <c r="H232" s="8">
        <f t="shared" si="4"/>
        <v>10</v>
      </c>
      <c r="I232" s="9">
        <f t="shared" si="5"/>
        <v>22</v>
      </c>
    </row>
    <row r="233" spans="1:9" x14ac:dyDescent="0.2">
      <c r="A233" s="7">
        <v>20</v>
      </c>
      <c r="B233" s="8">
        <f t="shared" si="4"/>
        <v>1</v>
      </c>
      <c r="C233" s="8">
        <f t="shared" si="4"/>
        <v>4</v>
      </c>
      <c r="D233" s="8">
        <f t="shared" si="4"/>
        <v>0</v>
      </c>
      <c r="E233" s="8">
        <f t="shared" si="4"/>
        <v>1</v>
      </c>
      <c r="F233" s="8">
        <f t="shared" si="4"/>
        <v>4</v>
      </c>
      <c r="G233" s="8">
        <f t="shared" si="4"/>
        <v>0</v>
      </c>
      <c r="H233" s="8">
        <f t="shared" si="4"/>
        <v>6</v>
      </c>
      <c r="I233" s="9">
        <f t="shared" si="5"/>
        <v>16</v>
      </c>
    </row>
    <row r="234" spans="1:9" x14ac:dyDescent="0.2">
      <c r="A234" s="7">
        <v>21</v>
      </c>
      <c r="B234" s="8">
        <f t="shared" si="4"/>
        <v>2</v>
      </c>
      <c r="C234" s="8">
        <f t="shared" si="4"/>
        <v>2</v>
      </c>
      <c r="D234" s="8">
        <f t="shared" si="4"/>
        <v>0</v>
      </c>
      <c r="E234" s="8">
        <f t="shared" si="4"/>
        <v>3</v>
      </c>
      <c r="F234" s="8">
        <f t="shared" si="4"/>
        <v>5</v>
      </c>
      <c r="G234" s="8">
        <f t="shared" si="4"/>
        <v>2</v>
      </c>
      <c r="H234" s="8">
        <f t="shared" si="4"/>
        <v>9</v>
      </c>
      <c r="I234" s="9">
        <f t="shared" si="5"/>
        <v>23</v>
      </c>
    </row>
    <row r="235" spans="1:9" x14ac:dyDescent="0.2">
      <c r="A235" s="10">
        <v>22</v>
      </c>
      <c r="B235" s="11">
        <f t="shared" si="4"/>
        <v>0</v>
      </c>
      <c r="C235" s="11">
        <f t="shared" si="4"/>
        <v>2</v>
      </c>
      <c r="D235" s="11">
        <f t="shared" si="4"/>
        <v>0</v>
      </c>
      <c r="E235" s="11">
        <f t="shared" si="4"/>
        <v>3</v>
      </c>
      <c r="F235" s="11">
        <f t="shared" si="4"/>
        <v>2</v>
      </c>
      <c r="G235" s="11">
        <f t="shared" si="4"/>
        <v>0</v>
      </c>
      <c r="H235" s="11">
        <f t="shared" si="4"/>
        <v>7</v>
      </c>
      <c r="I235" s="12">
        <f t="shared" si="5"/>
        <v>14</v>
      </c>
    </row>
    <row r="258" spans="1:9" ht="24" x14ac:dyDescent="0.3">
      <c r="A258" s="20" t="s">
        <v>1308</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0</v>
      </c>
      <c r="D263" s="8">
        <f t="shared" si="6"/>
        <v>2</v>
      </c>
      <c r="E263" s="9">
        <f t="shared" ref="E263:E272" si="7">SUM(B263:D263)</f>
        <v>3</v>
      </c>
    </row>
    <row r="264" spans="1:9" x14ac:dyDescent="0.2">
      <c r="A264" s="7">
        <v>15</v>
      </c>
      <c r="B264" s="8">
        <f t="shared" si="6"/>
        <v>8</v>
      </c>
      <c r="C264" s="8">
        <f t="shared" si="6"/>
        <v>2</v>
      </c>
      <c r="D264" s="8">
        <f t="shared" si="6"/>
        <v>0</v>
      </c>
      <c r="E264" s="9">
        <f t="shared" si="7"/>
        <v>10</v>
      </c>
    </row>
    <row r="265" spans="1:9" x14ac:dyDescent="0.2">
      <c r="A265" s="7">
        <v>16</v>
      </c>
      <c r="B265" s="8">
        <f t="shared" si="6"/>
        <v>8</v>
      </c>
      <c r="C265" s="8">
        <f t="shared" si="6"/>
        <v>5</v>
      </c>
      <c r="D265" s="8">
        <f t="shared" si="6"/>
        <v>4</v>
      </c>
      <c r="E265" s="9">
        <f t="shared" si="7"/>
        <v>17</v>
      </c>
    </row>
    <row r="266" spans="1:9" x14ac:dyDescent="0.2">
      <c r="A266" s="7">
        <v>17</v>
      </c>
      <c r="B266" s="8">
        <f t="shared" si="6"/>
        <v>6</v>
      </c>
      <c r="C266" s="8">
        <f t="shared" si="6"/>
        <v>6</v>
      </c>
      <c r="D266" s="8">
        <f t="shared" si="6"/>
        <v>2</v>
      </c>
      <c r="E266" s="9">
        <f t="shared" si="7"/>
        <v>14</v>
      </c>
    </row>
    <row r="267" spans="1:9" x14ac:dyDescent="0.2">
      <c r="A267" s="7">
        <v>18</v>
      </c>
      <c r="B267" s="8">
        <f t="shared" si="6"/>
        <v>5</v>
      </c>
      <c r="C267" s="8">
        <f t="shared" si="6"/>
        <v>12</v>
      </c>
      <c r="D267" s="8">
        <f t="shared" si="6"/>
        <v>3</v>
      </c>
      <c r="E267" s="9">
        <f t="shared" si="7"/>
        <v>20</v>
      </c>
    </row>
    <row r="268" spans="1:9" x14ac:dyDescent="0.2">
      <c r="A268" s="7">
        <v>19</v>
      </c>
      <c r="B268" s="8">
        <f t="shared" si="6"/>
        <v>10</v>
      </c>
      <c r="C268" s="8">
        <f t="shared" si="6"/>
        <v>11</v>
      </c>
      <c r="D268" s="8">
        <f t="shared" si="6"/>
        <v>1</v>
      </c>
      <c r="E268" s="9">
        <f t="shared" si="7"/>
        <v>22</v>
      </c>
    </row>
    <row r="269" spans="1:9" x14ac:dyDescent="0.2">
      <c r="A269" s="7">
        <v>20</v>
      </c>
      <c r="B269" s="8">
        <f t="shared" si="6"/>
        <v>6</v>
      </c>
      <c r="C269" s="8">
        <f t="shared" si="6"/>
        <v>9</v>
      </c>
      <c r="D269" s="8">
        <f t="shared" si="6"/>
        <v>1</v>
      </c>
      <c r="E269" s="9">
        <f t="shared" si="7"/>
        <v>16</v>
      </c>
    </row>
    <row r="270" spans="1:9" x14ac:dyDescent="0.2">
      <c r="A270" s="7">
        <v>21</v>
      </c>
      <c r="B270" s="8">
        <f t="shared" si="6"/>
        <v>9</v>
      </c>
      <c r="C270" s="8">
        <f t="shared" si="6"/>
        <v>10</v>
      </c>
      <c r="D270" s="8">
        <f t="shared" si="6"/>
        <v>4</v>
      </c>
      <c r="E270" s="9">
        <f t="shared" si="7"/>
        <v>23</v>
      </c>
    </row>
    <row r="271" spans="1:9" x14ac:dyDescent="0.2">
      <c r="A271" s="7">
        <v>22</v>
      </c>
      <c r="B271" s="8">
        <f t="shared" si="6"/>
        <v>7</v>
      </c>
      <c r="C271" s="8">
        <f t="shared" si="6"/>
        <v>7</v>
      </c>
      <c r="D271" s="8">
        <f t="shared" si="6"/>
        <v>0</v>
      </c>
      <c r="E271" s="9">
        <f t="shared" si="7"/>
        <v>14</v>
      </c>
    </row>
    <row r="272" spans="1:9" x14ac:dyDescent="0.2">
      <c r="A272" s="10">
        <v>23</v>
      </c>
      <c r="B272" s="11">
        <f t="shared" si="6"/>
        <v>3</v>
      </c>
      <c r="C272" s="11">
        <f t="shared" si="6"/>
        <v>0</v>
      </c>
      <c r="D272" s="11">
        <f t="shared" si="6"/>
        <v>1</v>
      </c>
      <c r="E272" s="12">
        <f t="shared" si="7"/>
        <v>4</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C49F-B944-F145-B9BB-BF7CE0A43997}">
  <dimension ref="A1:T272"/>
  <sheetViews>
    <sheetView showGridLines="0" zoomScale="110" zoomScaleNormal="110" workbookViewId="0">
      <selection activeCell="L275" sqref="L27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334</v>
      </c>
      <c r="B2" s="13" t="s">
        <v>18</v>
      </c>
      <c r="C2" s="13" t="s">
        <v>42</v>
      </c>
      <c r="D2" s="13" t="s">
        <v>122</v>
      </c>
      <c r="E2" s="13" t="s">
        <v>633</v>
      </c>
      <c r="F2" s="14">
        <v>46297.001192129625</v>
      </c>
      <c r="G2" s="13" t="s">
        <v>21</v>
      </c>
      <c r="H2" s="13" t="s">
        <v>1309</v>
      </c>
      <c r="I2" s="15">
        <v>380</v>
      </c>
      <c r="J2" s="13" t="s">
        <v>22</v>
      </c>
      <c r="K2" s="13" t="s">
        <v>23</v>
      </c>
      <c r="L2" s="15">
        <v>859</v>
      </c>
      <c r="M2" s="13" t="s">
        <v>45</v>
      </c>
      <c r="N2" s="14">
        <v>46297.045694444445</v>
      </c>
      <c r="O2" s="15">
        <v>380</v>
      </c>
      <c r="P2" s="13" t="s">
        <v>25</v>
      </c>
      <c r="Q2" s="15">
        <v>190</v>
      </c>
      <c r="R2" s="3" t="str">
        <f>IF(OR(G2="12R",G2="12L"),_xlfn.XLOOKUP(C2,Tabla42[ADEP],Tabla42[SID 12R],""),IF(OR(G2="30L",G2="30R"),_xlfn.XLOOKUP(C2,Tabla42[ADEP],Tabla42[SID 30L],""),""))</f>
        <v>UDGUV</v>
      </c>
      <c r="S2" s="3">
        <f>HOUR(F2)</f>
        <v>0</v>
      </c>
      <c r="T2" s="3" t="str">
        <f>_xlfn.XLOOKUP(C2,Tabla42[ADEP],Tabla42[Sector],"")</f>
        <v>Sector 2</v>
      </c>
    </row>
    <row r="3" spans="1:20" x14ac:dyDescent="0.2">
      <c r="A3" s="13" t="s">
        <v>336</v>
      </c>
      <c r="B3" s="13" t="s">
        <v>18</v>
      </c>
      <c r="C3" s="13" t="s">
        <v>290</v>
      </c>
      <c r="D3" s="13" t="s">
        <v>53</v>
      </c>
      <c r="E3" s="13" t="s">
        <v>815</v>
      </c>
      <c r="F3" s="14">
        <v>46297.011145833334</v>
      </c>
      <c r="G3" s="13" t="s">
        <v>21</v>
      </c>
      <c r="H3" s="13" t="s">
        <v>1310</v>
      </c>
      <c r="I3" s="15">
        <v>350</v>
      </c>
      <c r="J3" s="13" t="s">
        <v>22</v>
      </c>
      <c r="K3" s="13" t="s">
        <v>23</v>
      </c>
      <c r="L3" s="15">
        <v>158</v>
      </c>
      <c r="M3" s="13" t="s">
        <v>647</v>
      </c>
      <c r="N3" s="14">
        <v>46297.021909722222</v>
      </c>
      <c r="O3" s="15">
        <v>271</v>
      </c>
      <c r="P3" s="13" t="s">
        <v>25</v>
      </c>
      <c r="Q3" s="15">
        <v>190</v>
      </c>
      <c r="R3" s="3" t="str">
        <f>IF(OR(G3="12R",G3="12L"),_xlfn.XLOOKUP(C3,Tabla42[ADEP],Tabla42[SID 12R],""),IF(OR(G3="30L",G3="30R"),_xlfn.XLOOKUP(C3,Tabla42[ADEP],Tabla42[SID 30L],""),""))</f>
        <v>CZM</v>
      </c>
      <c r="S3" s="3">
        <f t="shared" ref="S3:S66" si="0">HOUR(F3)</f>
        <v>0</v>
      </c>
      <c r="T3" s="3" t="str">
        <f>_xlfn.XLOOKUP(C3,Tabla42[ADEP],Tabla42[Sector],"")</f>
        <v>Sector 7</v>
      </c>
    </row>
    <row r="4" spans="1:20" x14ac:dyDescent="0.2">
      <c r="A4" s="13" t="s">
        <v>500</v>
      </c>
      <c r="B4" s="13" t="s">
        <v>18</v>
      </c>
      <c r="C4" s="13" t="s">
        <v>501</v>
      </c>
      <c r="D4" s="13" t="s">
        <v>53</v>
      </c>
      <c r="E4" s="13" t="s">
        <v>393</v>
      </c>
      <c r="F4" s="14">
        <v>46297.01226851852</v>
      </c>
      <c r="G4" s="13" t="s">
        <v>21</v>
      </c>
      <c r="H4" s="13" t="s">
        <v>1311</v>
      </c>
      <c r="I4" s="15">
        <v>380</v>
      </c>
      <c r="J4" s="13" t="s">
        <v>22</v>
      </c>
      <c r="K4" s="13" t="s">
        <v>23</v>
      </c>
      <c r="L4" s="15">
        <v>865</v>
      </c>
      <c r="M4" s="13" t="s">
        <v>35</v>
      </c>
      <c r="N4" s="14">
        <v>46297.055231481485</v>
      </c>
      <c r="O4" s="15">
        <v>380</v>
      </c>
      <c r="P4" s="13" t="s">
        <v>25</v>
      </c>
      <c r="Q4" s="15">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3" t="s">
        <v>17</v>
      </c>
      <c r="B5" s="13" t="s">
        <v>18</v>
      </c>
      <c r="C5" s="13" t="s">
        <v>19</v>
      </c>
      <c r="D5" s="13" t="s">
        <v>33</v>
      </c>
      <c r="E5" s="13" t="s">
        <v>790</v>
      </c>
      <c r="F5" s="14">
        <v>46297.013865740737</v>
      </c>
      <c r="G5" s="13" t="s">
        <v>21</v>
      </c>
      <c r="H5" s="13" t="s">
        <v>1312</v>
      </c>
      <c r="I5" s="15">
        <v>360</v>
      </c>
      <c r="J5" s="13" t="s">
        <v>22</v>
      </c>
      <c r="K5" s="13" t="s">
        <v>23</v>
      </c>
      <c r="L5" s="15">
        <v>860</v>
      </c>
      <c r="M5" s="13" t="s">
        <v>24</v>
      </c>
      <c r="N5" s="14">
        <v>46297.05804398148</v>
      </c>
      <c r="O5" s="15">
        <v>360</v>
      </c>
      <c r="P5" s="13" t="s">
        <v>25</v>
      </c>
      <c r="Q5" s="15">
        <v>190</v>
      </c>
      <c r="R5" s="3" t="str">
        <f>IF(OR(G5="12R",G5="12L"),_xlfn.XLOOKUP(C5,Tabla42[ADEP],Tabla42[SID 12R],""),IF(OR(G5="30L",G5="30R"),_xlfn.XLOOKUP(C5,Tabla42[ADEP],Tabla42[SID 30L],""),""))</f>
        <v>UDGUV</v>
      </c>
      <c r="S5" s="3">
        <f t="shared" si="0"/>
        <v>0</v>
      </c>
      <c r="T5" s="3" t="str">
        <f>_xlfn.XLOOKUP(C5,Tabla42[ADEP],Tabla42[Sector],"")</f>
        <v>Sector 2</v>
      </c>
    </row>
    <row r="6" spans="1:20" x14ac:dyDescent="0.2">
      <c r="A6" s="13" t="s">
        <v>1313</v>
      </c>
      <c r="B6" s="13" t="s">
        <v>18</v>
      </c>
      <c r="C6" s="13" t="s">
        <v>32</v>
      </c>
      <c r="D6" s="13" t="s">
        <v>418</v>
      </c>
      <c r="E6" s="13"/>
      <c r="F6" s="14">
        <v>46297.022974537038</v>
      </c>
      <c r="G6" s="13" t="s">
        <v>21</v>
      </c>
      <c r="H6" s="13" t="s">
        <v>1314</v>
      </c>
      <c r="I6" s="15">
        <v>430</v>
      </c>
      <c r="J6" s="13" t="s">
        <v>22</v>
      </c>
      <c r="K6" s="13" t="s">
        <v>50</v>
      </c>
      <c r="L6" s="15">
        <v>867</v>
      </c>
      <c r="M6" s="13" t="s">
        <v>35</v>
      </c>
      <c r="N6" s="14">
        <v>46297.071817129632</v>
      </c>
      <c r="O6" s="15">
        <v>430</v>
      </c>
      <c r="P6" s="13" t="s">
        <v>25</v>
      </c>
      <c r="Q6" s="15">
        <v>30</v>
      </c>
      <c r="R6" s="3" t="str">
        <f>IF(OR(G6="12R",G6="12L"),_xlfn.XLOOKUP(C6,Tabla42[ADEP],Tabla42[SID 12R],""),IF(OR(G6="30L",G6="30R"),_xlfn.XLOOKUP(C6,Tabla42[ADEP],Tabla42[SID 30L],""),""))</f>
        <v>UDGUV</v>
      </c>
      <c r="S6" s="3">
        <f t="shared" si="0"/>
        <v>0</v>
      </c>
      <c r="T6" s="3" t="str">
        <f>_xlfn.XLOOKUP(C6,Tabla42[ADEP],Tabla42[Sector],"")</f>
        <v>Sector 2</v>
      </c>
    </row>
    <row r="7" spans="1:20" x14ac:dyDescent="0.2">
      <c r="A7" s="13" t="s">
        <v>31</v>
      </c>
      <c r="B7" s="13" t="s">
        <v>18</v>
      </c>
      <c r="C7" s="13" t="s">
        <v>32</v>
      </c>
      <c r="D7" s="13" t="s">
        <v>33</v>
      </c>
      <c r="E7" s="13" t="s">
        <v>677</v>
      </c>
      <c r="F7" s="14">
        <v>46297.03087962963</v>
      </c>
      <c r="G7" s="13" t="s">
        <v>21</v>
      </c>
      <c r="H7" s="13" t="s">
        <v>1315</v>
      </c>
      <c r="I7" s="15">
        <v>380</v>
      </c>
      <c r="J7" s="13" t="s">
        <v>22</v>
      </c>
      <c r="K7" s="13" t="s">
        <v>23</v>
      </c>
      <c r="L7" s="15">
        <v>864</v>
      </c>
      <c r="M7" s="13" t="s">
        <v>35</v>
      </c>
      <c r="N7" s="14">
        <v>46297.075381944444</v>
      </c>
      <c r="O7" s="15">
        <v>380</v>
      </c>
      <c r="P7" s="13" t="s">
        <v>25</v>
      </c>
      <c r="Q7" s="15">
        <v>190</v>
      </c>
      <c r="R7" s="3" t="str">
        <f>IF(OR(G7="12R",G7="12L"),_xlfn.XLOOKUP(C7,Tabla42[ADEP],Tabla42[SID 12R],""),IF(OR(G7="30L",G7="30R"),_xlfn.XLOOKUP(C7,Tabla42[ADEP],Tabla42[SID 30L],""),""))</f>
        <v>UDGUV</v>
      </c>
      <c r="S7" s="3">
        <f t="shared" si="0"/>
        <v>0</v>
      </c>
      <c r="T7" s="3" t="str">
        <f>_xlfn.XLOOKUP(C7,Tabla42[ADEP],Tabla42[Sector],"")</f>
        <v>Sector 2</v>
      </c>
    </row>
    <row r="8" spans="1:20" x14ac:dyDescent="0.2">
      <c r="A8" s="13" t="s">
        <v>56</v>
      </c>
      <c r="B8" s="13" t="s">
        <v>18</v>
      </c>
      <c r="C8" s="13" t="s">
        <v>42</v>
      </c>
      <c r="D8" s="13" t="s">
        <v>20</v>
      </c>
      <c r="E8" s="13" t="s">
        <v>169</v>
      </c>
      <c r="F8" s="14">
        <v>46297.055798611109</v>
      </c>
      <c r="G8" s="13" t="s">
        <v>21</v>
      </c>
      <c r="H8" s="13" t="s">
        <v>1316</v>
      </c>
      <c r="I8" s="15">
        <v>360</v>
      </c>
      <c r="J8" s="13" t="s">
        <v>22</v>
      </c>
      <c r="K8" s="13" t="s">
        <v>23</v>
      </c>
      <c r="L8" s="15">
        <v>856</v>
      </c>
      <c r="M8" s="13" t="s">
        <v>45</v>
      </c>
      <c r="N8" s="14">
        <v>46297.100138888884</v>
      </c>
      <c r="O8" s="15">
        <v>360</v>
      </c>
      <c r="P8" s="13" t="s">
        <v>25</v>
      </c>
      <c r="Q8" s="15">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13" t="s">
        <v>46</v>
      </c>
      <c r="B9" s="13" t="s">
        <v>18</v>
      </c>
      <c r="C9" s="13" t="s">
        <v>47</v>
      </c>
      <c r="D9" s="13" t="s">
        <v>48</v>
      </c>
      <c r="E9" s="13" t="s">
        <v>416</v>
      </c>
      <c r="F9" s="14">
        <v>46297.057349537034</v>
      </c>
      <c r="G9" s="13" t="s">
        <v>21</v>
      </c>
      <c r="H9" s="13" t="s">
        <v>1317</v>
      </c>
      <c r="I9" s="15">
        <v>370</v>
      </c>
      <c r="J9" s="13" t="s">
        <v>22</v>
      </c>
      <c r="K9" s="13" t="s">
        <v>23</v>
      </c>
      <c r="L9" s="15">
        <v>359</v>
      </c>
      <c r="M9" s="13" t="s">
        <v>30</v>
      </c>
      <c r="N9" s="14">
        <v>46297.076249999998</v>
      </c>
      <c r="O9" s="15">
        <v>370</v>
      </c>
      <c r="P9" s="13" t="s">
        <v>40</v>
      </c>
      <c r="Q9" s="15">
        <v>40</v>
      </c>
      <c r="R9" s="3" t="str">
        <f>IF(OR(G9="12R",G9="12L"),_xlfn.XLOOKUP(C9,Tabla42[ADEP],Tabla42[SID 12R],""),IF(OR(G9="30L",G9="30R"),_xlfn.XLOOKUP(C9,Tabla42[ADEP],Tabla42[SID 30L],""),""))</f>
        <v>NUDAL</v>
      </c>
      <c r="S9" s="3">
        <f t="shared" si="0"/>
        <v>1</v>
      </c>
      <c r="T9" s="3" t="str">
        <f>_xlfn.XLOOKUP(C9,Tabla42[ADEP],Tabla42[Sector],"")</f>
        <v>Sector 3</v>
      </c>
    </row>
    <row r="10" spans="1:20" x14ac:dyDescent="0.2">
      <c r="A10" s="13" t="s">
        <v>41</v>
      </c>
      <c r="B10" s="13" t="s">
        <v>18</v>
      </c>
      <c r="C10" s="13" t="s">
        <v>42</v>
      </c>
      <c r="D10" s="13" t="s">
        <v>43</v>
      </c>
      <c r="E10" s="13" t="s">
        <v>182</v>
      </c>
      <c r="F10" s="14">
        <v>46297.06212962963</v>
      </c>
      <c r="G10" s="13" t="s">
        <v>21</v>
      </c>
      <c r="H10" s="13" t="s">
        <v>99</v>
      </c>
      <c r="I10" s="15">
        <v>360</v>
      </c>
      <c r="J10" s="13" t="s">
        <v>22</v>
      </c>
      <c r="K10" s="13" t="s">
        <v>23</v>
      </c>
      <c r="L10" s="15">
        <v>859</v>
      </c>
      <c r="M10" s="13" t="s">
        <v>45</v>
      </c>
      <c r="N10" s="14">
        <v>46297.106145833328</v>
      </c>
      <c r="O10" s="15">
        <v>360</v>
      </c>
      <c r="P10" s="13" t="s">
        <v>25</v>
      </c>
      <c r="Q10" s="15">
        <v>190</v>
      </c>
      <c r="R10" s="3" t="str">
        <f>IF(OR(G10="12R",G10="12L"),_xlfn.XLOOKUP(C10,Tabla42[ADEP],Tabla42[SID 12R],""),IF(OR(G10="30L",G10="30R"),_xlfn.XLOOKUP(C10,Tabla42[ADEP],Tabla42[SID 30L],""),""))</f>
        <v>UDGUV</v>
      </c>
      <c r="S10" s="3">
        <f t="shared" si="0"/>
        <v>1</v>
      </c>
      <c r="T10" s="3" t="str">
        <f>_xlfn.XLOOKUP(C10,Tabla42[ADEP],Tabla42[Sector],"")</f>
        <v>Sector 2</v>
      </c>
    </row>
    <row r="11" spans="1:20" x14ac:dyDescent="0.2">
      <c r="A11" s="13" t="s">
        <v>346</v>
      </c>
      <c r="B11" s="13" t="s">
        <v>18</v>
      </c>
      <c r="C11" s="13" t="s">
        <v>37</v>
      </c>
      <c r="D11" s="13" t="s">
        <v>243</v>
      </c>
      <c r="E11" s="13" t="s">
        <v>980</v>
      </c>
      <c r="F11" s="14">
        <v>46297.076643518521</v>
      </c>
      <c r="G11" s="13" t="s">
        <v>21</v>
      </c>
      <c r="H11" s="13" t="s">
        <v>1318</v>
      </c>
      <c r="I11" s="15">
        <v>370</v>
      </c>
      <c r="J11" s="13" t="s">
        <v>22</v>
      </c>
      <c r="K11" s="13" t="s">
        <v>23</v>
      </c>
      <c r="L11" s="15">
        <v>134</v>
      </c>
      <c r="M11" s="13" t="s">
        <v>408</v>
      </c>
      <c r="N11" s="14">
        <v>46297.085879629631</v>
      </c>
      <c r="O11" s="15">
        <v>209</v>
      </c>
      <c r="P11" s="13" t="s">
        <v>40</v>
      </c>
      <c r="Q11" s="15">
        <v>190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13" t="s">
        <v>61</v>
      </c>
      <c r="B12" s="13" t="s">
        <v>18</v>
      </c>
      <c r="C12" s="13" t="s">
        <v>62</v>
      </c>
      <c r="D12" s="13" t="s">
        <v>63</v>
      </c>
      <c r="E12" s="13" t="s">
        <v>1319</v>
      </c>
      <c r="F12" s="14">
        <v>46297.078680555554</v>
      </c>
      <c r="G12" s="13" t="s">
        <v>21</v>
      </c>
      <c r="H12" s="13" t="s">
        <v>1320</v>
      </c>
      <c r="I12" s="15">
        <v>340</v>
      </c>
      <c r="J12" s="13" t="s">
        <v>22</v>
      </c>
      <c r="K12" s="13" t="s">
        <v>23</v>
      </c>
      <c r="L12" s="15">
        <v>865</v>
      </c>
      <c r="M12" s="13" t="s">
        <v>167</v>
      </c>
      <c r="N12" s="14">
        <v>46297.123402777783</v>
      </c>
      <c r="O12" s="15">
        <v>340</v>
      </c>
      <c r="P12" s="13" t="s">
        <v>25</v>
      </c>
      <c r="Q12" s="15">
        <v>190</v>
      </c>
      <c r="R12" s="3" t="str">
        <f>IF(OR(G12="12R",G12="12L"),_xlfn.XLOOKUP(C12,Tabla42[ADEP],Tabla42[SID 12R],""),IF(OR(G12="30L",G12="30R"),_xlfn.XLOOKUP(C12,Tabla42[ADEP],Tabla42[SID 30L],""),""))</f>
        <v>UDGUV</v>
      </c>
      <c r="S12" s="3">
        <f t="shared" si="0"/>
        <v>1</v>
      </c>
      <c r="T12" s="3" t="str">
        <f>_xlfn.XLOOKUP(C12,Tabla42[ADEP],Tabla42[Sector],"")</f>
        <v>Sector 2</v>
      </c>
    </row>
    <row r="13" spans="1:20" x14ac:dyDescent="0.2">
      <c r="A13" s="13" t="s">
        <v>59</v>
      </c>
      <c r="B13" s="13" t="s">
        <v>18</v>
      </c>
      <c r="C13" s="13" t="s">
        <v>27</v>
      </c>
      <c r="D13" s="13" t="s">
        <v>60</v>
      </c>
      <c r="E13" s="13" t="s">
        <v>810</v>
      </c>
      <c r="F13" s="14">
        <v>46297.093101851853</v>
      </c>
      <c r="G13" s="13" t="s">
        <v>21</v>
      </c>
      <c r="H13" s="13" t="s">
        <v>1321</v>
      </c>
      <c r="I13" s="15">
        <v>340</v>
      </c>
      <c r="J13" s="13" t="s">
        <v>22</v>
      </c>
      <c r="K13" s="13" t="s">
        <v>23</v>
      </c>
      <c r="L13" s="15">
        <v>534</v>
      </c>
      <c r="M13" s="13" t="s">
        <v>123</v>
      </c>
      <c r="N13" s="14">
        <v>46297.120601851857</v>
      </c>
      <c r="O13" s="15">
        <v>340</v>
      </c>
      <c r="P13" s="13" t="s">
        <v>25</v>
      </c>
      <c r="Q13" s="15">
        <v>40</v>
      </c>
      <c r="R13" s="3" t="str">
        <f>IF(OR(G13="12R",G13="12L"),_xlfn.XLOOKUP(C13,Tabla42[ADEP],Tabla42[SID 12R],""),IF(OR(G13="30L",G13="30R"),_xlfn.XLOOKUP(C13,Tabla42[ADEP],Tabla42[SID 30L],""),""))</f>
        <v>OMSUK</v>
      </c>
      <c r="S13" s="3">
        <f t="shared" si="0"/>
        <v>2</v>
      </c>
      <c r="T13" s="3" t="str">
        <f>_xlfn.XLOOKUP(C13,Tabla42[ADEP],Tabla42[Sector],"")</f>
        <v>Sector 3</v>
      </c>
    </row>
    <row r="14" spans="1:20" x14ac:dyDescent="0.2">
      <c r="A14" s="13" t="s">
        <v>64</v>
      </c>
      <c r="B14" s="13" t="s">
        <v>18</v>
      </c>
      <c r="C14" s="13" t="s">
        <v>65</v>
      </c>
      <c r="D14" s="13" t="s">
        <v>63</v>
      </c>
      <c r="E14" s="13" t="s">
        <v>66</v>
      </c>
      <c r="F14" s="14">
        <v>46297.110879629632</v>
      </c>
      <c r="G14" s="13" t="s">
        <v>21</v>
      </c>
      <c r="H14" s="13" t="s">
        <v>1021</v>
      </c>
      <c r="I14" s="15">
        <v>220</v>
      </c>
      <c r="J14" s="13" t="s">
        <v>22</v>
      </c>
      <c r="K14" s="13" t="s">
        <v>23</v>
      </c>
      <c r="L14" s="15">
        <v>358</v>
      </c>
      <c r="M14" s="13" t="s">
        <v>65</v>
      </c>
      <c r="N14" s="14">
        <v>46297.13652777778</v>
      </c>
      <c r="O14" s="15">
        <v>0</v>
      </c>
      <c r="P14" s="13" t="s">
        <v>25</v>
      </c>
      <c r="Q14" s="15">
        <v>190</v>
      </c>
      <c r="R14" s="3" t="str">
        <f>IF(OR(G14="12R",G14="12L"),_xlfn.XLOOKUP(C14,Tabla42[ADEP],Tabla42[SID 12R],""),IF(OR(G14="30L",G14="30R"),_xlfn.XLOOKUP(C14,Tabla42[ADEP],Tabla42[SID 30L],""),""))</f>
        <v>UDGUV</v>
      </c>
      <c r="S14" s="3">
        <f t="shared" si="0"/>
        <v>2</v>
      </c>
      <c r="T14" s="3" t="str">
        <f>_xlfn.XLOOKUP(C14,Tabla42[ADEP],Tabla42[Sector],"")</f>
        <v>Sector 2</v>
      </c>
    </row>
    <row r="15" spans="1:20" x14ac:dyDescent="0.2">
      <c r="A15" s="13" t="s">
        <v>72</v>
      </c>
      <c r="B15" s="13" t="s">
        <v>18</v>
      </c>
      <c r="C15" s="13" t="s">
        <v>73</v>
      </c>
      <c r="D15" s="13" t="s">
        <v>63</v>
      </c>
      <c r="E15" s="13" t="s">
        <v>74</v>
      </c>
      <c r="F15" s="14">
        <v>46297.116770833338</v>
      </c>
      <c r="G15" s="13" t="s">
        <v>21</v>
      </c>
      <c r="H15" s="13" t="s">
        <v>1322</v>
      </c>
      <c r="I15" s="15">
        <v>320</v>
      </c>
      <c r="J15" s="13" t="s">
        <v>22</v>
      </c>
      <c r="K15" s="13" t="s">
        <v>23</v>
      </c>
      <c r="L15" s="15">
        <v>742</v>
      </c>
      <c r="M15" s="13" t="s">
        <v>73</v>
      </c>
      <c r="N15" s="14">
        <v>46297.166192129633</v>
      </c>
      <c r="O15" s="15">
        <v>0</v>
      </c>
      <c r="P15" s="13" t="s">
        <v>25</v>
      </c>
      <c r="Q15" s="15">
        <v>190</v>
      </c>
      <c r="R15" s="3" t="str">
        <f>IF(OR(G15="12R",G15="12L"),_xlfn.XLOOKUP(C15,Tabla42[ADEP],Tabla42[SID 12R],""),IF(OR(G15="30L",G15="30R"),_xlfn.XLOOKUP(C15,Tabla42[ADEP],Tabla42[SID 30L],""),""))</f>
        <v>UDGUV</v>
      </c>
      <c r="S15" s="3">
        <f t="shared" si="0"/>
        <v>2</v>
      </c>
      <c r="T15" s="3" t="str">
        <f>_xlfn.XLOOKUP(C15,Tabla42[ADEP],Tabla42[Sector],"")</f>
        <v>Sector 2</v>
      </c>
    </row>
    <row r="16" spans="1:20" x14ac:dyDescent="0.2">
      <c r="A16" s="13" t="s">
        <v>348</v>
      </c>
      <c r="B16" s="13" t="s">
        <v>18</v>
      </c>
      <c r="C16" s="13" t="s">
        <v>204</v>
      </c>
      <c r="D16" s="13" t="s">
        <v>53</v>
      </c>
      <c r="E16" s="13" t="s">
        <v>106</v>
      </c>
      <c r="F16" s="14">
        <v>46297.120219907403</v>
      </c>
      <c r="G16" s="13" t="s">
        <v>21</v>
      </c>
      <c r="H16" s="13" t="s">
        <v>1323</v>
      </c>
      <c r="I16" s="15">
        <v>370</v>
      </c>
      <c r="J16" s="13" t="s">
        <v>22</v>
      </c>
      <c r="K16" s="13" t="s">
        <v>23</v>
      </c>
      <c r="L16" s="15">
        <v>149</v>
      </c>
      <c r="M16" s="13" t="s">
        <v>111</v>
      </c>
      <c r="N16" s="14">
        <v>46297.131030092598</v>
      </c>
      <c r="O16" s="15">
        <v>310</v>
      </c>
      <c r="P16" s="13" t="s">
        <v>25</v>
      </c>
      <c r="Q16" s="15">
        <v>190</v>
      </c>
      <c r="R16" s="3" t="str">
        <f>IF(OR(G16="12R",G16="12L"),_xlfn.XLOOKUP(C16,Tabla42[ADEP],Tabla42[SID 12R],""),IF(OR(G16="30L",G16="30R"),_xlfn.XLOOKUP(C16,Tabla42[ADEP],Tabla42[SID 30L],""),""))</f>
        <v>TAKUX</v>
      </c>
      <c r="S16" s="3">
        <f t="shared" si="0"/>
        <v>2</v>
      </c>
      <c r="T16" s="3" t="str">
        <f>_xlfn.XLOOKUP(C16,Tabla42[ADEP],Tabla42[Sector],"")</f>
        <v>Sector 7</v>
      </c>
    </row>
    <row r="17" spans="1:20" x14ac:dyDescent="0.2">
      <c r="A17" s="13" t="s">
        <v>69</v>
      </c>
      <c r="B17" s="13" t="s">
        <v>18</v>
      </c>
      <c r="C17" s="13" t="s">
        <v>42</v>
      </c>
      <c r="D17" s="13" t="s">
        <v>33</v>
      </c>
      <c r="E17" s="13" t="s">
        <v>635</v>
      </c>
      <c r="F17" s="14">
        <v>46297.124085648145</v>
      </c>
      <c r="G17" s="13" t="s">
        <v>21</v>
      </c>
      <c r="H17" s="13" t="s">
        <v>1324</v>
      </c>
      <c r="I17" s="15">
        <v>360</v>
      </c>
      <c r="J17" s="13" t="s">
        <v>22</v>
      </c>
      <c r="K17" s="13" t="s">
        <v>23</v>
      </c>
      <c r="L17" s="15">
        <v>861</v>
      </c>
      <c r="M17" s="13" t="s">
        <v>816</v>
      </c>
      <c r="N17" s="14">
        <v>46297.167662037042</v>
      </c>
      <c r="O17" s="15">
        <v>360</v>
      </c>
      <c r="P17" s="13" t="s">
        <v>25</v>
      </c>
      <c r="Q17" s="15">
        <v>190</v>
      </c>
      <c r="R17" s="3" t="str">
        <f>IF(OR(G17="12R",G17="12L"),_xlfn.XLOOKUP(C17,Tabla42[ADEP],Tabla42[SID 12R],""),IF(OR(G17="30L",G17="30R"),_xlfn.XLOOKUP(C17,Tabla42[ADEP],Tabla42[SID 30L],""),""))</f>
        <v>UDGUV</v>
      </c>
      <c r="S17" s="3">
        <f t="shared" si="0"/>
        <v>2</v>
      </c>
      <c r="T17" s="3" t="str">
        <f>_xlfn.XLOOKUP(C17,Tabla42[ADEP],Tabla42[Sector],"")</f>
        <v>Sector 2</v>
      </c>
    </row>
    <row r="18" spans="1:20" x14ac:dyDescent="0.2">
      <c r="A18" s="13" t="s">
        <v>504</v>
      </c>
      <c r="B18" s="13" t="s">
        <v>18</v>
      </c>
      <c r="C18" s="13" t="s">
        <v>96</v>
      </c>
      <c r="D18" s="13" t="s">
        <v>33</v>
      </c>
      <c r="E18" s="13" t="s">
        <v>456</v>
      </c>
      <c r="F18" s="14">
        <v>46297.131967592592</v>
      </c>
      <c r="G18" s="13" t="s">
        <v>21</v>
      </c>
      <c r="H18" s="13" t="s">
        <v>170</v>
      </c>
      <c r="I18" s="15">
        <v>360</v>
      </c>
      <c r="J18" s="13" t="s">
        <v>22</v>
      </c>
      <c r="K18" s="13" t="s">
        <v>23</v>
      </c>
      <c r="L18" s="15">
        <v>859</v>
      </c>
      <c r="M18" s="13" t="s">
        <v>45</v>
      </c>
      <c r="N18" s="14">
        <v>46297.176215277781</v>
      </c>
      <c r="O18" s="15">
        <v>360</v>
      </c>
      <c r="P18" s="13" t="s">
        <v>25</v>
      </c>
      <c r="Q18" s="15">
        <v>190</v>
      </c>
      <c r="R18" s="3" t="str">
        <f>IF(OR(G18="12R",G18="12L"),_xlfn.XLOOKUP(C18,Tabla42[ADEP],Tabla42[SID 12R],""),IF(OR(G18="30L",G18="30R"),_xlfn.XLOOKUP(C18,Tabla42[ADEP],Tabla42[SID 30L],""),""))</f>
        <v>UDGUV</v>
      </c>
      <c r="S18" s="3">
        <f t="shared" si="0"/>
        <v>3</v>
      </c>
      <c r="T18" s="3" t="str">
        <f>_xlfn.XLOOKUP(C18,Tabla42[ADEP],Tabla42[Sector],"")</f>
        <v>Sector 2</v>
      </c>
    </row>
    <row r="19" spans="1:20" x14ac:dyDescent="0.2">
      <c r="A19" s="13" t="s">
        <v>327</v>
      </c>
      <c r="B19" s="13" t="s">
        <v>18</v>
      </c>
      <c r="C19" s="13" t="s">
        <v>84</v>
      </c>
      <c r="D19" s="13" t="s">
        <v>85</v>
      </c>
      <c r="E19" s="13" t="s">
        <v>622</v>
      </c>
      <c r="F19" s="14">
        <v>46297.137060185181</v>
      </c>
      <c r="G19" s="13" t="s">
        <v>21</v>
      </c>
      <c r="H19" s="13" t="s">
        <v>1325</v>
      </c>
      <c r="I19" s="15">
        <v>370</v>
      </c>
      <c r="J19" s="13" t="s">
        <v>22</v>
      </c>
      <c r="K19" s="13" t="s">
        <v>23</v>
      </c>
      <c r="L19" s="15">
        <v>412</v>
      </c>
      <c r="M19" s="13" t="s">
        <v>30</v>
      </c>
      <c r="N19" s="14">
        <v>46297.159560185188</v>
      </c>
      <c r="O19" s="15">
        <v>334</v>
      </c>
      <c r="P19" s="13" t="s">
        <v>40</v>
      </c>
      <c r="Q19" s="15">
        <v>190</v>
      </c>
      <c r="R19" s="3" t="str">
        <f>IF(OR(G19="12R",G19="12L"),_xlfn.XLOOKUP(C19,Tabla42[ADEP],Tabla42[SID 12R],""),IF(OR(G19="30L",G19="30R"),_xlfn.XLOOKUP(C19,Tabla42[ADEP],Tabla42[SID 30L],""),""))</f>
        <v>NUDAL</v>
      </c>
      <c r="S19" s="3">
        <f t="shared" si="0"/>
        <v>3</v>
      </c>
      <c r="T19" s="3" t="str">
        <f>_xlfn.XLOOKUP(C19,Tabla42[ADEP],Tabla42[Sector],"")</f>
        <v>Sector 3</v>
      </c>
    </row>
    <row r="20" spans="1:20" x14ac:dyDescent="0.2">
      <c r="A20" s="13" t="s">
        <v>506</v>
      </c>
      <c r="B20" s="13" t="s">
        <v>18</v>
      </c>
      <c r="C20" s="13" t="s">
        <v>507</v>
      </c>
      <c r="D20" s="13" t="s">
        <v>243</v>
      </c>
      <c r="E20" s="13" t="s">
        <v>1029</v>
      </c>
      <c r="F20" s="14">
        <v>46297.143645833334</v>
      </c>
      <c r="G20" s="13" t="s">
        <v>21</v>
      </c>
      <c r="H20" s="13" t="s">
        <v>1326</v>
      </c>
      <c r="I20" s="15">
        <v>370</v>
      </c>
      <c r="J20" s="13" t="s">
        <v>22</v>
      </c>
      <c r="K20" s="13" t="s">
        <v>23</v>
      </c>
      <c r="L20" s="15">
        <v>147</v>
      </c>
      <c r="M20" s="13" t="s">
        <v>1327</v>
      </c>
      <c r="N20" s="14">
        <v>46297.153599537036</v>
      </c>
      <c r="O20" s="15">
        <v>239</v>
      </c>
      <c r="P20" s="13" t="s">
        <v>40</v>
      </c>
      <c r="Q20" s="15">
        <v>190</v>
      </c>
      <c r="R20" s="3" t="str">
        <f>IF(OR(G20="12R",G20="12L"),_xlfn.XLOOKUP(C20,Tabla42[ADEP],Tabla42[SID 12R],""),IF(OR(G20="30L",G20="30R"),_xlfn.XLOOKUP(C20,Tabla42[ADEP],Tabla42[SID 30L],""),""))</f>
        <v>NUDAL</v>
      </c>
      <c r="S20" s="3">
        <f t="shared" si="0"/>
        <v>3</v>
      </c>
      <c r="T20" s="3" t="str">
        <f>_xlfn.XLOOKUP(C20,Tabla42[ADEP],Tabla42[Sector],"")</f>
        <v>Sector 3</v>
      </c>
    </row>
    <row r="21" spans="1:20" x14ac:dyDescent="0.2">
      <c r="A21" s="13" t="s">
        <v>75</v>
      </c>
      <c r="B21" s="13" t="s">
        <v>18</v>
      </c>
      <c r="C21" s="13" t="s">
        <v>19</v>
      </c>
      <c r="D21" s="13" t="s">
        <v>20</v>
      </c>
      <c r="E21" s="13" t="s">
        <v>76</v>
      </c>
      <c r="F21" s="14">
        <v>46297.1487037037</v>
      </c>
      <c r="G21" s="13" t="s">
        <v>21</v>
      </c>
      <c r="H21" s="13" t="s">
        <v>1328</v>
      </c>
      <c r="I21" s="15">
        <v>360</v>
      </c>
      <c r="J21" s="13" t="s">
        <v>22</v>
      </c>
      <c r="K21" s="13" t="s">
        <v>23</v>
      </c>
      <c r="L21" s="15">
        <v>869</v>
      </c>
      <c r="M21" s="13" t="s">
        <v>1329</v>
      </c>
      <c r="N21" s="14">
        <v>46297.193344907406</v>
      </c>
      <c r="O21" s="15">
        <v>360</v>
      </c>
      <c r="P21" s="13" t="s">
        <v>25</v>
      </c>
      <c r="Q21" s="15">
        <v>190</v>
      </c>
      <c r="R21" s="3" t="str">
        <f>IF(OR(G21="12R",G21="12L"),_xlfn.XLOOKUP(C21,Tabla42[ADEP],Tabla42[SID 12R],""),IF(OR(G21="30L",G21="30R"),_xlfn.XLOOKUP(C21,Tabla42[ADEP],Tabla42[SID 30L],""),""))</f>
        <v>UDGUV</v>
      </c>
      <c r="S21" s="3">
        <f t="shared" si="0"/>
        <v>3</v>
      </c>
      <c r="T21" s="3" t="str">
        <f>_xlfn.XLOOKUP(C21,Tabla42[ADEP],Tabla42[Sector],"")</f>
        <v>Sector 2</v>
      </c>
    </row>
    <row r="22" spans="1:20" x14ac:dyDescent="0.2">
      <c r="A22" s="13" t="s">
        <v>81</v>
      </c>
      <c r="B22" s="13" t="s">
        <v>18</v>
      </c>
      <c r="C22" s="13" t="s">
        <v>49</v>
      </c>
      <c r="D22" s="13" t="s">
        <v>33</v>
      </c>
      <c r="E22" s="13" t="s">
        <v>472</v>
      </c>
      <c r="F22" s="14">
        <v>46297.15825231481</v>
      </c>
      <c r="G22" s="13" t="s">
        <v>21</v>
      </c>
      <c r="H22" s="13" t="s">
        <v>1330</v>
      </c>
      <c r="I22" s="15">
        <v>380</v>
      </c>
      <c r="J22" s="13" t="s">
        <v>22</v>
      </c>
      <c r="K22" s="13" t="s">
        <v>23</v>
      </c>
      <c r="L22" s="15">
        <v>875</v>
      </c>
      <c r="M22" s="13" t="s">
        <v>664</v>
      </c>
      <c r="N22" s="14">
        <v>46297.202465277776</v>
      </c>
      <c r="O22" s="15">
        <v>380</v>
      </c>
      <c r="P22" s="13" t="s">
        <v>25</v>
      </c>
      <c r="Q22" s="15">
        <v>190</v>
      </c>
      <c r="R22" s="3" t="str">
        <f>IF(OR(G22="12R",G22="12L"),_xlfn.XLOOKUP(C22,Tabla42[ADEP],Tabla42[SID 12R],""),IF(OR(G22="30L",G22="30R"),_xlfn.XLOOKUP(C22,Tabla42[ADEP],Tabla42[SID 30L],""),""))</f>
        <v>UDGUV</v>
      </c>
      <c r="S22" s="3">
        <f t="shared" si="0"/>
        <v>3</v>
      </c>
      <c r="T22" s="3" t="str">
        <f>_xlfn.XLOOKUP(C22,Tabla42[ADEP],Tabla42[Sector],"")</f>
        <v>Sector 2</v>
      </c>
    </row>
    <row r="23" spans="1:20" x14ac:dyDescent="0.2">
      <c r="A23" s="13" t="s">
        <v>78</v>
      </c>
      <c r="B23" s="13" t="s">
        <v>18</v>
      </c>
      <c r="C23" s="13" t="s">
        <v>42</v>
      </c>
      <c r="D23" s="13" t="s">
        <v>20</v>
      </c>
      <c r="E23" s="13" t="s">
        <v>667</v>
      </c>
      <c r="F23" s="14">
        <v>46297.171365740738</v>
      </c>
      <c r="G23" s="13" t="s">
        <v>21</v>
      </c>
      <c r="H23" s="13" t="s">
        <v>1331</v>
      </c>
      <c r="I23" s="15">
        <v>360</v>
      </c>
      <c r="J23" s="13" t="s">
        <v>22</v>
      </c>
      <c r="K23" s="13" t="s">
        <v>23</v>
      </c>
      <c r="L23" s="15">
        <v>861</v>
      </c>
      <c r="M23" s="13" t="s">
        <v>630</v>
      </c>
      <c r="N23" s="14">
        <v>46297.216689814813</v>
      </c>
      <c r="O23" s="15">
        <v>360</v>
      </c>
      <c r="P23" s="13" t="s">
        <v>25</v>
      </c>
      <c r="Q23" s="15">
        <v>190</v>
      </c>
      <c r="R23" s="3" t="str">
        <f>IF(OR(G23="12R",G23="12L"),_xlfn.XLOOKUP(C23,Tabla42[ADEP],Tabla42[SID 12R],""),IF(OR(G23="30L",G23="30R"),_xlfn.XLOOKUP(C23,Tabla42[ADEP],Tabla42[SID 30L],""),""))</f>
        <v>UDGUV</v>
      </c>
      <c r="S23" s="3">
        <f t="shared" si="0"/>
        <v>4</v>
      </c>
      <c r="T23" s="3" t="str">
        <f>_xlfn.XLOOKUP(C23,Tabla42[ADEP],Tabla42[Sector],"")</f>
        <v>Sector 2</v>
      </c>
    </row>
    <row r="24" spans="1:20" x14ac:dyDescent="0.2">
      <c r="A24" s="13" t="s">
        <v>88</v>
      </c>
      <c r="B24" s="13" t="s">
        <v>18</v>
      </c>
      <c r="C24" s="13" t="s">
        <v>32</v>
      </c>
      <c r="D24" s="13" t="s">
        <v>20</v>
      </c>
      <c r="E24" s="13" t="s">
        <v>484</v>
      </c>
      <c r="F24" s="14">
        <v>46297.193611111114</v>
      </c>
      <c r="G24" s="13" t="s">
        <v>21</v>
      </c>
      <c r="H24" s="13" t="s">
        <v>352</v>
      </c>
      <c r="I24" s="15">
        <v>360</v>
      </c>
      <c r="J24" s="13" t="s">
        <v>22</v>
      </c>
      <c r="K24" s="13" t="s">
        <v>23</v>
      </c>
      <c r="L24" s="15">
        <v>878</v>
      </c>
      <c r="M24" s="13" t="s">
        <v>35</v>
      </c>
      <c r="N24" s="14">
        <v>46297.238032407404</v>
      </c>
      <c r="O24" s="15">
        <v>340</v>
      </c>
      <c r="P24" s="13" t="s">
        <v>25</v>
      </c>
      <c r="Q24" s="15">
        <v>190</v>
      </c>
      <c r="R24" s="3" t="str">
        <f>IF(OR(G24="12R",G24="12L"),_xlfn.XLOOKUP(C24,Tabla42[ADEP],Tabla42[SID 12R],""),IF(OR(G24="30L",G24="30R"),_xlfn.XLOOKUP(C24,Tabla42[ADEP],Tabla42[SID 30L],""),""))</f>
        <v>UDGUV</v>
      </c>
      <c r="S24" s="3">
        <f t="shared" si="0"/>
        <v>4</v>
      </c>
      <c r="T24" s="3" t="str">
        <f>_xlfn.XLOOKUP(C24,Tabla42[ADEP],Tabla42[Sector],"")</f>
        <v>Sector 2</v>
      </c>
    </row>
    <row r="25" spans="1:20" x14ac:dyDescent="0.2">
      <c r="A25" s="13" t="s">
        <v>1332</v>
      </c>
      <c r="B25" s="13" t="s">
        <v>18</v>
      </c>
      <c r="C25" s="13" t="s">
        <v>65</v>
      </c>
      <c r="D25" s="13" t="s">
        <v>794</v>
      </c>
      <c r="E25" s="13"/>
      <c r="F25" s="14">
        <v>46297.195011574076</v>
      </c>
      <c r="G25" s="13" t="s">
        <v>21</v>
      </c>
      <c r="H25" s="13" t="s">
        <v>750</v>
      </c>
      <c r="I25" s="15">
        <v>220</v>
      </c>
      <c r="J25" s="13" t="s">
        <v>22</v>
      </c>
      <c r="K25" s="13" t="s">
        <v>141</v>
      </c>
      <c r="L25" s="15">
        <v>355</v>
      </c>
      <c r="M25" s="13" t="s">
        <v>65</v>
      </c>
      <c r="N25" s="14">
        <v>46297.221006944441</v>
      </c>
      <c r="O25" s="15">
        <v>0</v>
      </c>
      <c r="P25" s="13" t="s">
        <v>129</v>
      </c>
      <c r="Q25" s="15">
        <v>30</v>
      </c>
      <c r="R25" s="3" t="str">
        <f>IF(OR(G25="12R",G25="12L"),_xlfn.XLOOKUP(C25,Tabla42[ADEP],Tabla42[SID 12R],""),IF(OR(G25="30L",G25="30R"),_xlfn.XLOOKUP(C25,Tabla42[ADEP],Tabla42[SID 30L],""),""))</f>
        <v>UDGUV</v>
      </c>
      <c r="S25" s="3">
        <f t="shared" si="0"/>
        <v>4</v>
      </c>
      <c r="T25" s="3" t="str">
        <f>_xlfn.XLOOKUP(C25,Tabla42[ADEP],Tabla42[Sector],"")</f>
        <v>Sector 2</v>
      </c>
    </row>
    <row r="26" spans="1:20" x14ac:dyDescent="0.2">
      <c r="A26" s="13" t="s">
        <v>86</v>
      </c>
      <c r="B26" s="13" t="s">
        <v>18</v>
      </c>
      <c r="C26" s="13" t="s">
        <v>42</v>
      </c>
      <c r="D26" s="13" t="s">
        <v>60</v>
      </c>
      <c r="E26" s="13" t="s">
        <v>114</v>
      </c>
      <c r="F26" s="14">
        <v>46297.246967592597</v>
      </c>
      <c r="G26" s="13" t="s">
        <v>21</v>
      </c>
      <c r="H26" s="13" t="s">
        <v>1049</v>
      </c>
      <c r="I26" s="15">
        <v>340</v>
      </c>
      <c r="J26" s="13" t="s">
        <v>22</v>
      </c>
      <c r="K26" s="13" t="s">
        <v>23</v>
      </c>
      <c r="L26" s="15">
        <v>861</v>
      </c>
      <c r="M26" s="13" t="s">
        <v>984</v>
      </c>
      <c r="N26" s="14">
        <v>46297.291562500002</v>
      </c>
      <c r="O26" s="15">
        <v>340</v>
      </c>
      <c r="P26" s="13" t="s">
        <v>25</v>
      </c>
      <c r="Q26" s="15">
        <v>190</v>
      </c>
      <c r="R26" s="3" t="str">
        <f>IF(OR(G26="12R",G26="12L"),_xlfn.XLOOKUP(C26,Tabla42[ADEP],Tabla42[SID 12R],""),IF(OR(G26="30L",G26="30R"),_xlfn.XLOOKUP(C26,Tabla42[ADEP],Tabla42[SID 30L],""),""))</f>
        <v>UDGUV</v>
      </c>
      <c r="S26" s="3">
        <f t="shared" si="0"/>
        <v>5</v>
      </c>
      <c r="T26" s="3" t="str">
        <f>_xlfn.XLOOKUP(C26,Tabla42[ADEP],Tabla42[Sector],"")</f>
        <v>Sector 2</v>
      </c>
    </row>
    <row r="27" spans="1:20" x14ac:dyDescent="0.2">
      <c r="A27" s="13" t="s">
        <v>90</v>
      </c>
      <c r="B27" s="13" t="s">
        <v>18</v>
      </c>
      <c r="C27" s="13" t="s">
        <v>42</v>
      </c>
      <c r="D27" s="13" t="s">
        <v>33</v>
      </c>
      <c r="E27" s="13" t="s">
        <v>260</v>
      </c>
      <c r="F27" s="14">
        <v>46297.437754629631</v>
      </c>
      <c r="G27" s="13" t="s">
        <v>21</v>
      </c>
      <c r="H27" s="13" t="s">
        <v>1333</v>
      </c>
      <c r="I27" s="15">
        <v>380</v>
      </c>
      <c r="J27" s="13" t="s">
        <v>22</v>
      </c>
      <c r="K27" s="13" t="s">
        <v>23</v>
      </c>
      <c r="L27" s="15">
        <v>860</v>
      </c>
      <c r="M27" s="13" t="s">
        <v>24</v>
      </c>
      <c r="N27" s="14">
        <v>46297.482395833329</v>
      </c>
      <c r="O27" s="15">
        <v>380</v>
      </c>
      <c r="P27" s="13" t="s">
        <v>25</v>
      </c>
      <c r="Q27" s="15">
        <v>190</v>
      </c>
      <c r="R27" s="3" t="str">
        <f>IF(OR(G27="12R",G27="12L"),_xlfn.XLOOKUP(C27,Tabla42[ADEP],Tabla42[SID 12R],""),IF(OR(G27="30L",G27="30R"),_xlfn.XLOOKUP(C27,Tabla42[ADEP],Tabla42[SID 30L],""),""))</f>
        <v>UDGUV</v>
      </c>
      <c r="S27" s="3">
        <f t="shared" si="0"/>
        <v>10</v>
      </c>
      <c r="T27" s="3" t="str">
        <f>_xlfn.XLOOKUP(C27,Tabla42[ADEP],Tabla42[Sector],"")</f>
        <v>Sector 2</v>
      </c>
    </row>
    <row r="28" spans="1:20" x14ac:dyDescent="0.2">
      <c r="A28" s="13" t="s">
        <v>92</v>
      </c>
      <c r="B28" s="13" t="s">
        <v>18</v>
      </c>
      <c r="C28" s="13" t="s">
        <v>93</v>
      </c>
      <c r="D28" s="13" t="s">
        <v>20</v>
      </c>
      <c r="E28" s="13" t="s">
        <v>57</v>
      </c>
      <c r="F28" s="14">
        <v>46297.459722222222</v>
      </c>
      <c r="G28" s="13" t="s">
        <v>21</v>
      </c>
      <c r="H28" s="13" t="s">
        <v>375</v>
      </c>
      <c r="I28" s="15">
        <v>380</v>
      </c>
      <c r="J28" s="13" t="s">
        <v>22</v>
      </c>
      <c r="K28" s="13" t="s">
        <v>23</v>
      </c>
      <c r="L28" s="15">
        <v>876</v>
      </c>
      <c r="M28" s="13" t="s">
        <v>94</v>
      </c>
      <c r="N28" s="14">
        <v>46297.506226851852</v>
      </c>
      <c r="O28" s="15">
        <v>218</v>
      </c>
      <c r="P28" s="13" t="s">
        <v>25</v>
      </c>
      <c r="Q28" s="15">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3" t="s">
        <v>98</v>
      </c>
      <c r="B29" s="13" t="s">
        <v>18</v>
      </c>
      <c r="C29" s="13" t="s">
        <v>42</v>
      </c>
      <c r="D29" s="13" t="s">
        <v>43</v>
      </c>
      <c r="E29" s="13" t="s">
        <v>382</v>
      </c>
      <c r="F29" s="14">
        <v>46297.465821759259</v>
      </c>
      <c r="G29" s="13" t="s">
        <v>21</v>
      </c>
      <c r="H29" s="13" t="s">
        <v>1334</v>
      </c>
      <c r="I29" s="15">
        <v>360</v>
      </c>
      <c r="J29" s="13" t="s">
        <v>22</v>
      </c>
      <c r="K29" s="13" t="s">
        <v>23</v>
      </c>
      <c r="L29" s="15">
        <v>867</v>
      </c>
      <c r="M29" s="13" t="s">
        <v>24</v>
      </c>
      <c r="N29" s="14">
        <v>46297.508159722223</v>
      </c>
      <c r="O29" s="15">
        <v>360</v>
      </c>
      <c r="P29" s="13" t="s">
        <v>25</v>
      </c>
      <c r="Q29" s="15">
        <v>190</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13" t="s">
        <v>100</v>
      </c>
      <c r="B30" s="13" t="s">
        <v>18</v>
      </c>
      <c r="C30" s="13" t="s">
        <v>42</v>
      </c>
      <c r="D30" s="13" t="s">
        <v>20</v>
      </c>
      <c r="E30" s="13" t="s">
        <v>712</v>
      </c>
      <c r="F30" s="14">
        <v>46297.470925925925</v>
      </c>
      <c r="G30" s="13" t="s">
        <v>21</v>
      </c>
      <c r="H30" s="13" t="s">
        <v>1335</v>
      </c>
      <c r="I30" s="15">
        <v>360</v>
      </c>
      <c r="J30" s="13" t="s">
        <v>22</v>
      </c>
      <c r="K30" s="13" t="s">
        <v>23</v>
      </c>
      <c r="L30" s="15">
        <v>873</v>
      </c>
      <c r="M30" s="13" t="s">
        <v>45</v>
      </c>
      <c r="N30" s="14">
        <v>46297.514328703706</v>
      </c>
      <c r="O30" s="15">
        <v>360</v>
      </c>
      <c r="P30" s="13" t="s">
        <v>25</v>
      </c>
      <c r="Q30" s="15">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3" t="s">
        <v>95</v>
      </c>
      <c r="B31" s="13" t="s">
        <v>18</v>
      </c>
      <c r="C31" s="13" t="s">
        <v>96</v>
      </c>
      <c r="D31" s="13" t="s">
        <v>20</v>
      </c>
      <c r="E31" s="13" t="s">
        <v>169</v>
      </c>
      <c r="F31" s="14">
        <v>46297.47555555556</v>
      </c>
      <c r="G31" s="13" t="s">
        <v>21</v>
      </c>
      <c r="H31" s="13" t="s">
        <v>1336</v>
      </c>
      <c r="I31" s="15">
        <v>360</v>
      </c>
      <c r="J31" s="13" t="s">
        <v>22</v>
      </c>
      <c r="K31" s="13" t="s">
        <v>23</v>
      </c>
      <c r="L31" s="15">
        <v>879</v>
      </c>
      <c r="M31" s="13" t="s">
        <v>45</v>
      </c>
      <c r="N31" s="14">
        <v>46297.520046296297</v>
      </c>
      <c r="O31" s="15">
        <v>360</v>
      </c>
      <c r="P31" s="13" t="s">
        <v>25</v>
      </c>
      <c r="Q31" s="15">
        <v>190</v>
      </c>
      <c r="R31" s="3" t="str">
        <f>IF(OR(G31="12R",G31="12L"),_xlfn.XLOOKUP(C31,Tabla42[ADEP],Tabla42[SID 12R],""),IF(OR(G31="30L",G31="30R"),_xlfn.XLOOKUP(C31,Tabla42[ADEP],Tabla42[SID 30L],""),""))</f>
        <v>UDGUV</v>
      </c>
      <c r="S31" s="3">
        <f t="shared" si="0"/>
        <v>11</v>
      </c>
      <c r="T31" s="3" t="str">
        <f>_xlfn.XLOOKUP(C31,Tabla42[ADEP],Tabla42[Sector],"")</f>
        <v>Sector 2</v>
      </c>
    </row>
    <row r="32" spans="1:20" x14ac:dyDescent="0.2">
      <c r="A32" s="13" t="s">
        <v>370</v>
      </c>
      <c r="B32" s="13" t="s">
        <v>18</v>
      </c>
      <c r="C32" s="13" t="s">
        <v>510</v>
      </c>
      <c r="D32" s="13" t="s">
        <v>372</v>
      </c>
      <c r="E32" s="13"/>
      <c r="F32" s="14">
        <v>46297.494525462964</v>
      </c>
      <c r="G32" s="13" t="s">
        <v>21</v>
      </c>
      <c r="H32" s="13" t="s">
        <v>155</v>
      </c>
      <c r="I32" s="15">
        <v>65</v>
      </c>
      <c r="J32" s="13" t="s">
        <v>130</v>
      </c>
      <c r="K32" s="13" t="s">
        <v>50</v>
      </c>
      <c r="L32" s="15">
        <v>227</v>
      </c>
      <c r="M32" s="13" t="s">
        <v>510</v>
      </c>
      <c r="N32" s="14">
        <v>46297.529108796298</v>
      </c>
      <c r="O32" s="15">
        <v>0</v>
      </c>
      <c r="P32" s="13" t="s">
        <v>129</v>
      </c>
      <c r="Q32" s="15">
        <v>15</v>
      </c>
      <c r="R32" s="3" t="str">
        <f>IF(OR(G32="12R",G32="12L"),_xlfn.XLOOKUP(C32,Tabla42[ADEP],Tabla42[SID 12R],""),IF(OR(G32="30L",G32="30R"),_xlfn.XLOOKUP(C32,Tabla42[ADEP],Tabla42[SID 30L],""),""))</f>
        <v/>
      </c>
      <c r="S32" s="3">
        <f t="shared" si="0"/>
        <v>11</v>
      </c>
      <c r="T32" s="3" t="str">
        <f>_xlfn.XLOOKUP(C32,Tabla42[ADEP],Tabla42[Sector],"")</f>
        <v/>
      </c>
    </row>
    <row r="33" spans="1:20" x14ac:dyDescent="0.2">
      <c r="A33" s="13" t="s">
        <v>101</v>
      </c>
      <c r="B33" s="13" t="s">
        <v>18</v>
      </c>
      <c r="C33" s="13" t="s">
        <v>102</v>
      </c>
      <c r="D33" s="13" t="s">
        <v>53</v>
      </c>
      <c r="E33" s="13" t="s">
        <v>207</v>
      </c>
      <c r="F33" s="14">
        <v>46297.505752314813</v>
      </c>
      <c r="G33" s="13" t="s">
        <v>21</v>
      </c>
      <c r="H33" s="13" t="s">
        <v>1337</v>
      </c>
      <c r="I33" s="15">
        <v>290</v>
      </c>
      <c r="J33" s="13" t="s">
        <v>22</v>
      </c>
      <c r="K33" s="13" t="s">
        <v>23</v>
      </c>
      <c r="L33" s="15">
        <v>134</v>
      </c>
      <c r="M33" s="13" t="s">
        <v>39</v>
      </c>
      <c r="N33" s="14">
        <v>46297.515185185184</v>
      </c>
      <c r="O33" s="15">
        <v>267</v>
      </c>
      <c r="P33" s="13" t="s">
        <v>25</v>
      </c>
      <c r="Q33" s="15">
        <v>190</v>
      </c>
      <c r="R33" s="3" t="str">
        <f>IF(OR(G33="12R",G33="12L"),_xlfn.XLOOKUP(C33,Tabla42[ADEP],Tabla42[SID 12R],""),IF(OR(G33="30L",G33="30R"),_xlfn.XLOOKUP(C33,Tabla42[ADEP],Tabla42[SID 30L],""),""))</f>
        <v>NUDAL</v>
      </c>
      <c r="S33" s="3">
        <f t="shared" si="0"/>
        <v>12</v>
      </c>
      <c r="T33" s="3" t="str">
        <f>_xlfn.XLOOKUP(C33,Tabla42[ADEP],Tabla42[Sector],"")</f>
        <v>Sector 3</v>
      </c>
    </row>
    <row r="34" spans="1:20" x14ac:dyDescent="0.2">
      <c r="A34" s="13" t="s">
        <v>105</v>
      </c>
      <c r="B34" s="13" t="s">
        <v>18</v>
      </c>
      <c r="C34" s="13" t="s">
        <v>32</v>
      </c>
      <c r="D34" s="13" t="s">
        <v>53</v>
      </c>
      <c r="E34" s="13" t="s">
        <v>106</v>
      </c>
      <c r="F34" s="14">
        <v>46297.507430555561</v>
      </c>
      <c r="G34" s="13" t="s">
        <v>21</v>
      </c>
      <c r="H34" s="13" t="s">
        <v>1338</v>
      </c>
      <c r="I34" s="15">
        <v>380</v>
      </c>
      <c r="J34" s="13" t="s">
        <v>22</v>
      </c>
      <c r="K34" s="13" t="s">
        <v>23</v>
      </c>
      <c r="L34" s="15">
        <v>872</v>
      </c>
      <c r="M34" s="13" t="s">
        <v>35</v>
      </c>
      <c r="N34" s="14">
        <v>46297.550613425927</v>
      </c>
      <c r="O34" s="15">
        <v>380</v>
      </c>
      <c r="P34" s="13" t="s">
        <v>25</v>
      </c>
      <c r="Q34" s="15">
        <v>190</v>
      </c>
      <c r="R34" s="3" t="str">
        <f>IF(OR(G34="12R",G34="12L"),_xlfn.XLOOKUP(C34,Tabla42[ADEP],Tabla42[SID 12R],""),IF(OR(G34="30L",G34="30R"),_xlfn.XLOOKUP(C34,Tabla42[ADEP],Tabla42[SID 30L],""),""))</f>
        <v>UDGUV</v>
      </c>
      <c r="S34" s="3">
        <f t="shared" si="0"/>
        <v>12</v>
      </c>
      <c r="T34" s="3" t="str">
        <f>_xlfn.XLOOKUP(C34,Tabla42[ADEP],Tabla42[Sector],"")</f>
        <v>Sector 2</v>
      </c>
    </row>
    <row r="35" spans="1:20" x14ac:dyDescent="0.2">
      <c r="A35" s="13" t="s">
        <v>108</v>
      </c>
      <c r="B35" s="13" t="s">
        <v>18</v>
      </c>
      <c r="C35" s="13" t="s">
        <v>109</v>
      </c>
      <c r="D35" s="13" t="s">
        <v>122</v>
      </c>
      <c r="E35" s="13" t="s">
        <v>1339</v>
      </c>
      <c r="F35" s="14">
        <v>46297.508634259255</v>
      </c>
      <c r="G35" s="13" t="s">
        <v>21</v>
      </c>
      <c r="H35" s="13" t="s">
        <v>1340</v>
      </c>
      <c r="I35" s="15">
        <v>380</v>
      </c>
      <c r="J35" s="13" t="s">
        <v>22</v>
      </c>
      <c r="K35" s="13" t="s">
        <v>23</v>
      </c>
      <c r="L35" s="15">
        <v>219</v>
      </c>
      <c r="M35" s="13" t="s">
        <v>55</v>
      </c>
      <c r="N35" s="14">
        <v>46297.522812499999</v>
      </c>
      <c r="O35" s="15">
        <v>370</v>
      </c>
      <c r="P35" s="13" t="s">
        <v>25</v>
      </c>
      <c r="Q35" s="15">
        <v>190</v>
      </c>
      <c r="R35" s="3" t="str">
        <f>IF(OR(G35="12R",G35="12L"),_xlfn.XLOOKUP(C35,Tabla42[ADEP],Tabla42[SID 12R],""),IF(OR(G35="30L",G35="30R"),_xlfn.XLOOKUP(C35,Tabla42[ADEP],Tabla42[SID 30L],""),""))</f>
        <v>TAKUX</v>
      </c>
      <c r="S35" s="3">
        <f t="shared" si="0"/>
        <v>12</v>
      </c>
      <c r="T35" s="3" t="str">
        <f>_xlfn.XLOOKUP(C35,Tabla42[ADEP],Tabla42[Sector],"")</f>
        <v>Sector 7</v>
      </c>
    </row>
    <row r="36" spans="1:20" x14ac:dyDescent="0.2">
      <c r="A36" s="13" t="s">
        <v>107</v>
      </c>
      <c r="B36" s="13" t="s">
        <v>18</v>
      </c>
      <c r="C36" s="13" t="s">
        <v>42</v>
      </c>
      <c r="D36" s="13" t="s">
        <v>43</v>
      </c>
      <c r="E36" s="13" t="s">
        <v>120</v>
      </c>
      <c r="F36" s="14">
        <v>46297.510601851856</v>
      </c>
      <c r="G36" s="13" t="s">
        <v>21</v>
      </c>
      <c r="H36" s="13" t="s">
        <v>1341</v>
      </c>
      <c r="I36" s="15">
        <v>360</v>
      </c>
      <c r="J36" s="13" t="s">
        <v>22</v>
      </c>
      <c r="K36" s="13" t="s">
        <v>23</v>
      </c>
      <c r="L36" s="15">
        <v>861</v>
      </c>
      <c r="M36" s="13" t="s">
        <v>45</v>
      </c>
      <c r="N36" s="14">
        <v>46297.554652777777</v>
      </c>
      <c r="O36" s="15">
        <v>360</v>
      </c>
      <c r="P36" s="13" t="s">
        <v>25</v>
      </c>
      <c r="Q36" s="15">
        <v>190</v>
      </c>
      <c r="R36" s="3" t="str">
        <f>IF(OR(G36="12R",G36="12L"),_xlfn.XLOOKUP(C36,Tabla42[ADEP],Tabla42[SID 12R],""),IF(OR(G36="30L",G36="30R"),_xlfn.XLOOKUP(C36,Tabla42[ADEP],Tabla42[SID 30L],""),""))</f>
        <v>UDGUV</v>
      </c>
      <c r="S36" s="3">
        <f t="shared" si="0"/>
        <v>12</v>
      </c>
      <c r="T36" s="3" t="str">
        <f>_xlfn.XLOOKUP(C36,Tabla42[ADEP],Tabla42[Sector],"")</f>
        <v>Sector 2</v>
      </c>
    </row>
    <row r="37" spans="1:20" x14ac:dyDescent="0.2">
      <c r="A37" s="13" t="s">
        <v>511</v>
      </c>
      <c r="B37" s="13" t="s">
        <v>18</v>
      </c>
      <c r="C37" s="13" t="s">
        <v>195</v>
      </c>
      <c r="D37" s="13" t="s">
        <v>397</v>
      </c>
      <c r="E37" s="13" t="s">
        <v>512</v>
      </c>
      <c r="F37" s="14">
        <v>46297.537569444445</v>
      </c>
      <c r="G37" s="13" t="s">
        <v>21</v>
      </c>
      <c r="H37" s="13" t="s">
        <v>1342</v>
      </c>
      <c r="I37" s="15">
        <v>390</v>
      </c>
      <c r="J37" s="13" t="s">
        <v>22</v>
      </c>
      <c r="K37" s="13" t="s">
        <v>23</v>
      </c>
      <c r="L37" s="15">
        <v>135</v>
      </c>
      <c r="M37" s="13" t="s">
        <v>39</v>
      </c>
      <c r="N37" s="14">
        <v>46297.546377314815</v>
      </c>
      <c r="O37" s="15">
        <v>278</v>
      </c>
      <c r="P37" s="13" t="s">
        <v>40</v>
      </c>
      <c r="Q37" s="15">
        <v>190</v>
      </c>
      <c r="R37" s="3" t="str">
        <f>IF(OR(G37="12R",G37="12L"),_xlfn.XLOOKUP(C37,Tabla42[ADEP],Tabla42[SID 12R],""),IF(OR(G37="30L",G37="30R"),_xlfn.XLOOKUP(C37,Tabla42[ADEP],Tabla42[SID 30L],""),""))</f>
        <v>HECAT</v>
      </c>
      <c r="S37" s="3">
        <f t="shared" si="0"/>
        <v>12</v>
      </c>
      <c r="T37" s="3" t="str">
        <f>_xlfn.XLOOKUP(C37,Tabla42[ADEP],Tabla42[Sector],"")</f>
        <v>Sector 7</v>
      </c>
    </row>
    <row r="38" spans="1:20" x14ac:dyDescent="0.2">
      <c r="A38" s="13" t="s">
        <v>513</v>
      </c>
      <c r="B38" s="13" t="s">
        <v>18</v>
      </c>
      <c r="C38" s="13" t="s">
        <v>206</v>
      </c>
      <c r="D38" s="13" t="s">
        <v>53</v>
      </c>
      <c r="E38" s="13" t="s">
        <v>393</v>
      </c>
      <c r="F38" s="14">
        <v>46297.54278935185</v>
      </c>
      <c r="G38" s="13" t="s">
        <v>21</v>
      </c>
      <c r="H38" s="13" t="s">
        <v>1343</v>
      </c>
      <c r="I38" s="15">
        <v>360</v>
      </c>
      <c r="J38" s="13" t="s">
        <v>22</v>
      </c>
      <c r="K38" s="13" t="s">
        <v>23</v>
      </c>
      <c r="L38" s="15">
        <v>858</v>
      </c>
      <c r="M38" s="13" t="s">
        <v>45</v>
      </c>
      <c r="N38" s="14">
        <v>46297.585775462961</v>
      </c>
      <c r="O38" s="15">
        <v>360</v>
      </c>
      <c r="P38" s="13" t="s">
        <v>25</v>
      </c>
      <c r="Q38" s="15">
        <v>190</v>
      </c>
      <c r="R38" s="3" t="str">
        <f>IF(OR(G38="12R",G38="12L"),_xlfn.XLOOKUP(C38,Tabla42[ADEP],Tabla42[SID 12R],""),IF(OR(G38="30L",G38="30R"),_xlfn.XLOOKUP(C38,Tabla42[ADEP],Tabla42[SID 30L],""),""))</f>
        <v>UDGUV</v>
      </c>
      <c r="S38" s="3">
        <f t="shared" si="0"/>
        <v>13</v>
      </c>
      <c r="T38" s="3" t="str">
        <f>_xlfn.XLOOKUP(C38,Tabla42[ADEP],Tabla42[Sector],"")</f>
        <v>Sector 2</v>
      </c>
    </row>
    <row r="39" spans="1:20" x14ac:dyDescent="0.2">
      <c r="A39" s="13" t="s">
        <v>119</v>
      </c>
      <c r="B39" s="13" t="s">
        <v>18</v>
      </c>
      <c r="C39" s="13" t="s">
        <v>42</v>
      </c>
      <c r="D39" s="13" t="s">
        <v>43</v>
      </c>
      <c r="E39" s="13" t="s">
        <v>1006</v>
      </c>
      <c r="F39" s="14">
        <v>46297.549687499995</v>
      </c>
      <c r="G39" s="13" t="s">
        <v>21</v>
      </c>
      <c r="H39" s="13" t="s">
        <v>773</v>
      </c>
      <c r="I39" s="15">
        <v>360</v>
      </c>
      <c r="J39" s="13" t="s">
        <v>22</v>
      </c>
      <c r="K39" s="13" t="s">
        <v>23</v>
      </c>
      <c r="L39" s="15">
        <v>859</v>
      </c>
      <c r="M39" s="13" t="s">
        <v>45</v>
      </c>
      <c r="N39" s="14">
        <v>46297.593599537038</v>
      </c>
      <c r="O39" s="15">
        <v>360</v>
      </c>
      <c r="P39" s="13" t="s">
        <v>25</v>
      </c>
      <c r="Q39" s="15">
        <v>190</v>
      </c>
      <c r="R39" s="3" t="str">
        <f>IF(OR(G39="12R",G39="12L"),_xlfn.XLOOKUP(C39,Tabla42[ADEP],Tabla42[SID 12R],""),IF(OR(G39="30L",G39="30R"),_xlfn.XLOOKUP(C39,Tabla42[ADEP],Tabla42[SID 30L],""),""))</f>
        <v>UDGUV</v>
      </c>
      <c r="S39" s="3">
        <f t="shared" si="0"/>
        <v>13</v>
      </c>
      <c r="T39" s="3" t="str">
        <f>_xlfn.XLOOKUP(C39,Tabla42[ADEP],Tabla42[Sector],"")</f>
        <v>Sector 2</v>
      </c>
    </row>
    <row r="40" spans="1:20" x14ac:dyDescent="0.2">
      <c r="A40" s="13" t="s">
        <v>115</v>
      </c>
      <c r="B40" s="13" t="s">
        <v>18</v>
      </c>
      <c r="C40" s="13" t="s">
        <v>116</v>
      </c>
      <c r="D40" s="13" t="s">
        <v>117</v>
      </c>
      <c r="E40" s="13" t="s">
        <v>1344</v>
      </c>
      <c r="F40" s="14">
        <v>46297.550833333335</v>
      </c>
      <c r="G40" s="13" t="s">
        <v>21</v>
      </c>
      <c r="H40" s="13" t="s">
        <v>1345</v>
      </c>
      <c r="I40" s="15">
        <v>380</v>
      </c>
      <c r="J40" s="13" t="s">
        <v>22</v>
      </c>
      <c r="K40" s="13" t="s">
        <v>23</v>
      </c>
      <c r="L40" s="15">
        <v>756</v>
      </c>
      <c r="M40" s="13" t="s">
        <v>210</v>
      </c>
      <c r="N40" s="14">
        <v>46297.587523148148</v>
      </c>
      <c r="O40" s="15">
        <v>380</v>
      </c>
      <c r="P40" s="13" t="s">
        <v>25</v>
      </c>
      <c r="Q40" s="15">
        <v>40</v>
      </c>
      <c r="R40" s="3" t="str">
        <f>IF(OR(G40="12R",G40="12L"),_xlfn.XLOOKUP(C40,Tabla42[ADEP],Tabla42[SID 12R],""),IF(OR(G40="30L",G40="30R"),_xlfn.XLOOKUP(C40,Tabla42[ADEP],Tabla42[SID 30L],""),""))</f>
        <v>ENEBA</v>
      </c>
      <c r="S40" s="3">
        <f t="shared" si="0"/>
        <v>13</v>
      </c>
      <c r="T40" s="3" t="str">
        <f>_xlfn.XLOOKUP(C40,Tabla42[ADEP],Tabla42[Sector],"")</f>
        <v>Sector 3</v>
      </c>
    </row>
    <row r="41" spans="1:20" x14ac:dyDescent="0.2">
      <c r="A41" s="13" t="s">
        <v>125</v>
      </c>
      <c r="B41" s="13" t="s">
        <v>18</v>
      </c>
      <c r="C41" s="13" t="s">
        <v>126</v>
      </c>
      <c r="D41" s="13" t="s">
        <v>122</v>
      </c>
      <c r="E41" s="13" t="s">
        <v>627</v>
      </c>
      <c r="F41" s="14">
        <v>46297.552141203705</v>
      </c>
      <c r="G41" s="13" t="s">
        <v>21</v>
      </c>
      <c r="H41" s="13" t="s">
        <v>1346</v>
      </c>
      <c r="I41" s="15">
        <v>370</v>
      </c>
      <c r="J41" s="13" t="s">
        <v>22</v>
      </c>
      <c r="K41" s="13" t="s">
        <v>23</v>
      </c>
      <c r="L41" s="15">
        <v>136</v>
      </c>
      <c r="M41" s="13" t="s">
        <v>39</v>
      </c>
      <c r="N41" s="14">
        <v>46297.561249999999</v>
      </c>
      <c r="O41" s="15">
        <v>251</v>
      </c>
      <c r="P41" s="13" t="s">
        <v>25</v>
      </c>
      <c r="Q41" s="15">
        <v>190</v>
      </c>
      <c r="R41" s="3" t="str">
        <f>IF(OR(G41="12R",G41="12L"),_xlfn.XLOOKUP(C41,Tabla42[ADEP],Tabla42[SID 12R],""),IF(OR(G41="30L",G41="30R"),_xlfn.XLOOKUP(C41,Tabla42[ADEP],Tabla42[SID 30L],""),""))</f>
        <v>ENEBA</v>
      </c>
      <c r="S41" s="3">
        <f t="shared" si="0"/>
        <v>13</v>
      </c>
      <c r="T41" s="3" t="str">
        <f>_xlfn.XLOOKUP(C41,Tabla42[ADEP],Tabla42[Sector],"")</f>
        <v>Sector 3</v>
      </c>
    </row>
    <row r="42" spans="1:20" x14ac:dyDescent="0.2">
      <c r="A42" s="13" t="s">
        <v>127</v>
      </c>
      <c r="B42" s="13" t="s">
        <v>18</v>
      </c>
      <c r="C42" s="13" t="s">
        <v>128</v>
      </c>
      <c r="D42" s="13" t="s">
        <v>43</v>
      </c>
      <c r="E42" s="13" t="s">
        <v>832</v>
      </c>
      <c r="F42" s="14">
        <v>46297.581157407403</v>
      </c>
      <c r="G42" s="13" t="s">
        <v>21</v>
      </c>
      <c r="H42" s="13" t="s">
        <v>1347</v>
      </c>
      <c r="I42" s="15">
        <v>320</v>
      </c>
      <c r="J42" s="13" t="s">
        <v>22</v>
      </c>
      <c r="K42" s="13" t="s">
        <v>23</v>
      </c>
      <c r="L42" s="15">
        <v>423</v>
      </c>
      <c r="M42" s="13" t="s">
        <v>1348</v>
      </c>
      <c r="N42" s="14">
        <v>46297.603495370371</v>
      </c>
      <c r="O42" s="15">
        <v>320</v>
      </c>
      <c r="P42" s="13" t="s">
        <v>25</v>
      </c>
      <c r="Q42" s="15">
        <v>40</v>
      </c>
      <c r="R42" s="3" t="str">
        <f>IF(OR(G42="12R",G42="12L"),_xlfn.XLOOKUP(C42,Tabla42[ADEP],Tabla42[SID 12R],""),IF(OR(G42="30L",G42="30R"),_xlfn.XLOOKUP(C42,Tabla42[ADEP],Tabla42[SID 30L],""),""))</f>
        <v>OMSUK</v>
      </c>
      <c r="S42" s="3">
        <f t="shared" si="0"/>
        <v>13</v>
      </c>
      <c r="T42" s="3" t="str">
        <f>_xlfn.XLOOKUP(C42,Tabla42[ADEP],Tabla42[Sector],"")</f>
        <v>Sector 3</v>
      </c>
    </row>
    <row r="43" spans="1:20" x14ac:dyDescent="0.2">
      <c r="A43" s="13" t="s">
        <v>1051</v>
      </c>
      <c r="B43" s="13" t="s">
        <v>18</v>
      </c>
      <c r="C43" s="13" t="s">
        <v>190</v>
      </c>
      <c r="D43" s="13" t="s">
        <v>124</v>
      </c>
      <c r="E43" s="13"/>
      <c r="F43" s="14">
        <v>46297.596898148149</v>
      </c>
      <c r="G43" s="13" t="s">
        <v>21</v>
      </c>
      <c r="H43" s="13" t="s">
        <v>1349</v>
      </c>
      <c r="I43" s="15">
        <v>390</v>
      </c>
      <c r="J43" s="13" t="s">
        <v>22</v>
      </c>
      <c r="K43" s="13" t="s">
        <v>50</v>
      </c>
      <c r="L43" s="15">
        <v>220</v>
      </c>
      <c r="M43" s="13" t="s">
        <v>355</v>
      </c>
      <c r="N43" s="14">
        <v>46297.611238425925</v>
      </c>
      <c r="O43" s="15">
        <v>310</v>
      </c>
      <c r="P43" s="13" t="s">
        <v>25</v>
      </c>
      <c r="Q43" s="15">
        <v>40</v>
      </c>
      <c r="R43" s="3" t="str">
        <f>IF(OR(G43="12R",G43="12L"),_xlfn.XLOOKUP(C43,Tabla42[ADEP],Tabla42[SID 12R],""),IF(OR(G43="30L",G43="30R"),_xlfn.XLOOKUP(C43,Tabla42[ADEP],Tabla42[SID 30L],""),""))</f>
        <v>NUDAL</v>
      </c>
      <c r="S43" s="3">
        <f t="shared" si="0"/>
        <v>14</v>
      </c>
      <c r="T43" s="3" t="str">
        <f>_xlfn.XLOOKUP(C43,Tabla42[ADEP],Tabla42[Sector],"")</f>
        <v>Sector 3</v>
      </c>
    </row>
    <row r="44" spans="1:20" x14ac:dyDescent="0.2">
      <c r="A44" s="13" t="s">
        <v>131</v>
      </c>
      <c r="B44" s="13" t="s">
        <v>18</v>
      </c>
      <c r="C44" s="13" t="s">
        <v>42</v>
      </c>
      <c r="D44" s="13" t="s">
        <v>43</v>
      </c>
      <c r="E44" s="13" t="s">
        <v>823</v>
      </c>
      <c r="F44" s="14">
        <v>46297.602314814816</v>
      </c>
      <c r="G44" s="13" t="s">
        <v>21</v>
      </c>
      <c r="H44" s="13" t="s">
        <v>1350</v>
      </c>
      <c r="I44" s="15">
        <v>360</v>
      </c>
      <c r="J44" s="13" t="s">
        <v>22</v>
      </c>
      <c r="K44" s="13" t="s">
        <v>23</v>
      </c>
      <c r="L44" s="15">
        <v>859</v>
      </c>
      <c r="M44" s="13" t="s">
        <v>45</v>
      </c>
      <c r="N44" s="14">
        <v>46297.645983796298</v>
      </c>
      <c r="O44" s="15">
        <v>360</v>
      </c>
      <c r="P44" s="13" t="s">
        <v>25</v>
      </c>
      <c r="Q44" s="15">
        <v>190</v>
      </c>
      <c r="R44" s="3" t="str">
        <f>IF(OR(G44="12R",G44="12L"),_xlfn.XLOOKUP(C44,Tabla42[ADEP],Tabla42[SID 12R],""),IF(OR(G44="30L",G44="30R"),_xlfn.XLOOKUP(C44,Tabla42[ADEP],Tabla42[SID 30L],""),""))</f>
        <v>UDGUV</v>
      </c>
      <c r="S44" s="3">
        <f t="shared" si="0"/>
        <v>14</v>
      </c>
      <c r="T44" s="3" t="str">
        <f>_xlfn.XLOOKUP(C44,Tabla42[ADEP],Tabla42[Sector],"")</f>
        <v>Sector 2</v>
      </c>
    </row>
    <row r="45" spans="1:20" x14ac:dyDescent="0.2">
      <c r="A45" s="13" t="s">
        <v>1351</v>
      </c>
      <c r="B45" s="13" t="s">
        <v>18</v>
      </c>
      <c r="C45" s="13" t="s">
        <v>49</v>
      </c>
      <c r="D45" s="13" t="s">
        <v>451</v>
      </c>
      <c r="E45" s="13"/>
      <c r="F45" s="14">
        <v>46297.619270833333</v>
      </c>
      <c r="G45" s="13" t="s">
        <v>21</v>
      </c>
      <c r="H45" s="13" t="s">
        <v>1352</v>
      </c>
      <c r="I45" s="15">
        <v>380</v>
      </c>
      <c r="J45" s="13" t="s">
        <v>22</v>
      </c>
      <c r="K45" s="13" t="s">
        <v>50</v>
      </c>
      <c r="L45" s="15">
        <v>859</v>
      </c>
      <c r="M45" s="13" t="s">
        <v>45</v>
      </c>
      <c r="N45" s="14">
        <v>46297.66233796296</v>
      </c>
      <c r="O45" s="15">
        <v>380</v>
      </c>
      <c r="P45" s="13" t="s">
        <v>25</v>
      </c>
      <c r="Q45" s="15">
        <v>30</v>
      </c>
      <c r="R45" s="3" t="str">
        <f>IF(OR(G45="12R",G45="12L"),_xlfn.XLOOKUP(C45,Tabla42[ADEP],Tabla42[SID 12R],""),IF(OR(G45="30L",G45="30R"),_xlfn.XLOOKUP(C45,Tabla42[ADEP],Tabla42[SID 30L],""),""))</f>
        <v>UDGUV</v>
      </c>
      <c r="S45" s="3">
        <f t="shared" si="0"/>
        <v>14</v>
      </c>
      <c r="T45" s="3" t="str">
        <f>_xlfn.XLOOKUP(C45,Tabla42[ADEP],Tabla42[Sector],"")</f>
        <v>Sector 2</v>
      </c>
    </row>
    <row r="46" spans="1:20" x14ac:dyDescent="0.2">
      <c r="A46" s="13" t="s">
        <v>1353</v>
      </c>
      <c r="B46" s="13" t="s">
        <v>18</v>
      </c>
      <c r="C46" s="13" t="s">
        <v>65</v>
      </c>
      <c r="D46" s="13" t="s">
        <v>198</v>
      </c>
      <c r="E46" s="13"/>
      <c r="F46" s="14">
        <v>46297.621990740736</v>
      </c>
      <c r="G46" s="13" t="s">
        <v>21</v>
      </c>
      <c r="H46" s="13" t="s">
        <v>1354</v>
      </c>
      <c r="I46" s="15">
        <v>220</v>
      </c>
      <c r="J46" s="13" t="s">
        <v>22</v>
      </c>
      <c r="K46" s="13" t="s">
        <v>50</v>
      </c>
      <c r="L46" s="15">
        <v>356</v>
      </c>
      <c r="M46" s="13" t="s">
        <v>65</v>
      </c>
      <c r="N46" s="14">
        <v>46297.649050925931</v>
      </c>
      <c r="O46" s="15">
        <v>0</v>
      </c>
      <c r="P46" s="13" t="s">
        <v>25</v>
      </c>
      <c r="Q46" s="15">
        <v>30</v>
      </c>
      <c r="R46" s="3" t="str">
        <f>IF(OR(G46="12R",G46="12L"),_xlfn.XLOOKUP(C46,Tabla42[ADEP],Tabla42[SID 12R],""),IF(OR(G46="30L",G46="30R"),_xlfn.XLOOKUP(C46,Tabla42[ADEP],Tabla42[SID 30L],""),""))</f>
        <v>UDGUV</v>
      </c>
      <c r="S46" s="3">
        <f t="shared" si="0"/>
        <v>14</v>
      </c>
      <c r="T46" s="3" t="str">
        <f>_xlfn.XLOOKUP(C46,Tabla42[ADEP],Tabla42[Sector],"")</f>
        <v>Sector 2</v>
      </c>
    </row>
    <row r="47" spans="1:20" x14ac:dyDescent="0.2">
      <c r="A47" s="13" t="s">
        <v>775</v>
      </c>
      <c r="B47" s="13" t="s">
        <v>18</v>
      </c>
      <c r="C47" s="13" t="s">
        <v>121</v>
      </c>
      <c r="D47" s="13" t="s">
        <v>60</v>
      </c>
      <c r="E47" s="13" t="s">
        <v>579</v>
      </c>
      <c r="F47" s="14">
        <v>46297.625057870369</v>
      </c>
      <c r="G47" s="13" t="s">
        <v>21</v>
      </c>
      <c r="H47" s="13" t="s">
        <v>1355</v>
      </c>
      <c r="I47" s="15">
        <v>360</v>
      </c>
      <c r="J47" s="13" t="s">
        <v>22</v>
      </c>
      <c r="K47" s="13" t="s">
        <v>23</v>
      </c>
      <c r="L47" s="15">
        <v>442</v>
      </c>
      <c r="M47" s="13" t="s">
        <v>189</v>
      </c>
      <c r="N47" s="14">
        <v>46297.649513888886</v>
      </c>
      <c r="O47" s="15">
        <v>360</v>
      </c>
      <c r="P47" s="13" t="s">
        <v>25</v>
      </c>
      <c r="Q47" s="15">
        <v>40</v>
      </c>
      <c r="R47" s="3" t="str">
        <f>IF(OR(G47="12R",G47="12L"),_xlfn.XLOOKUP(C47,Tabla42[ADEP],Tabla42[SID 12R],""),IF(OR(G47="30L",G47="30R"),_xlfn.XLOOKUP(C47,Tabla42[ADEP],Tabla42[SID 30L],""),""))</f>
        <v>ENEBA</v>
      </c>
      <c r="S47" s="3">
        <f t="shared" si="0"/>
        <v>15</v>
      </c>
      <c r="T47" s="3" t="str">
        <f>_xlfn.XLOOKUP(C47,Tabla42[ADEP],Tabla42[Sector],"")</f>
        <v>Sector 3</v>
      </c>
    </row>
    <row r="48" spans="1:20" x14ac:dyDescent="0.2">
      <c r="A48" s="13" t="s">
        <v>135</v>
      </c>
      <c r="B48" s="13" t="s">
        <v>18</v>
      </c>
      <c r="C48" s="13" t="s">
        <v>32</v>
      </c>
      <c r="D48" s="13" t="s">
        <v>53</v>
      </c>
      <c r="E48" s="13" t="s">
        <v>357</v>
      </c>
      <c r="F48" s="14">
        <v>46297.629421296297</v>
      </c>
      <c r="G48" s="13" t="s">
        <v>21</v>
      </c>
      <c r="H48" s="13" t="s">
        <v>1356</v>
      </c>
      <c r="I48" s="15">
        <v>380</v>
      </c>
      <c r="J48" s="13" t="s">
        <v>22</v>
      </c>
      <c r="K48" s="13" t="s">
        <v>23</v>
      </c>
      <c r="L48" s="15">
        <v>863</v>
      </c>
      <c r="M48" s="13" t="s">
        <v>35</v>
      </c>
      <c r="N48" s="14">
        <v>46297.673530092594</v>
      </c>
      <c r="O48" s="15">
        <v>380</v>
      </c>
      <c r="P48" s="13" t="s">
        <v>25</v>
      </c>
      <c r="Q48" s="15">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3" t="s">
        <v>457</v>
      </c>
      <c r="B49" s="13" t="s">
        <v>18</v>
      </c>
      <c r="C49" s="13" t="s">
        <v>154</v>
      </c>
      <c r="D49" s="13" t="s">
        <v>458</v>
      </c>
      <c r="E49" s="13"/>
      <c r="F49" s="14">
        <v>46297.636354166665</v>
      </c>
      <c r="G49" s="13" t="s">
        <v>21</v>
      </c>
      <c r="H49" s="13" t="s">
        <v>1357</v>
      </c>
      <c r="I49" s="15">
        <v>40</v>
      </c>
      <c r="J49" s="13" t="s">
        <v>22</v>
      </c>
      <c r="K49" s="13" t="s">
        <v>50</v>
      </c>
      <c r="L49" s="15">
        <v>87</v>
      </c>
      <c r="M49" s="13" t="s">
        <v>154</v>
      </c>
      <c r="N49" s="14">
        <v>46297.652928240743</v>
      </c>
      <c r="O49" s="15">
        <v>0</v>
      </c>
      <c r="P49" s="13" t="s">
        <v>129</v>
      </c>
      <c r="Q49" s="15">
        <v>40</v>
      </c>
      <c r="R49" s="3" t="str">
        <f>IF(OR(G49="12R",G49="12L"),_xlfn.XLOOKUP(C49,Tabla42[ADEP],Tabla42[SID 12R],""),IF(OR(G49="30L",G49="30R"),_xlfn.XLOOKUP(C49,Tabla42[ADEP],Tabla42[SID 30L],""),""))</f>
        <v>CZM</v>
      </c>
      <c r="S49" s="3">
        <f t="shared" si="0"/>
        <v>15</v>
      </c>
      <c r="T49" s="3" t="str">
        <f>_xlfn.XLOOKUP(C49,Tabla42[ADEP],Tabla42[Sector],"")</f>
        <v>Sector 7</v>
      </c>
    </row>
    <row r="50" spans="1:20" x14ac:dyDescent="0.2">
      <c r="A50" s="13" t="s">
        <v>1358</v>
      </c>
      <c r="B50" s="13" t="s">
        <v>18</v>
      </c>
      <c r="C50" s="13" t="s">
        <v>49</v>
      </c>
      <c r="D50" s="13" t="s">
        <v>492</v>
      </c>
      <c r="E50" s="13" t="s">
        <v>493</v>
      </c>
      <c r="F50" s="14">
        <v>46297.639791666668</v>
      </c>
      <c r="G50" s="13" t="s">
        <v>21</v>
      </c>
      <c r="H50" s="13" t="s">
        <v>1359</v>
      </c>
      <c r="I50" s="15">
        <v>400</v>
      </c>
      <c r="J50" s="13" t="s">
        <v>22</v>
      </c>
      <c r="K50" s="13" t="s">
        <v>141</v>
      </c>
      <c r="L50" s="15">
        <v>871</v>
      </c>
      <c r="M50" s="13" t="s">
        <v>45</v>
      </c>
      <c r="N50" s="14">
        <v>46297.686203703706</v>
      </c>
      <c r="O50" s="15">
        <v>400</v>
      </c>
      <c r="P50" s="13" t="s">
        <v>25</v>
      </c>
      <c r="Q50" s="15">
        <v>30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3" t="s">
        <v>142</v>
      </c>
      <c r="B51" s="13" t="s">
        <v>18</v>
      </c>
      <c r="C51" s="13" t="s">
        <v>42</v>
      </c>
      <c r="D51" s="13" t="s">
        <v>60</v>
      </c>
      <c r="E51" s="13" t="s">
        <v>543</v>
      </c>
      <c r="F51" s="14">
        <v>46297.646099537036</v>
      </c>
      <c r="G51" s="13" t="s">
        <v>21</v>
      </c>
      <c r="H51" s="13" t="s">
        <v>1360</v>
      </c>
      <c r="I51" s="15">
        <v>340</v>
      </c>
      <c r="J51" s="13" t="s">
        <v>22</v>
      </c>
      <c r="K51" s="13" t="s">
        <v>23</v>
      </c>
      <c r="L51" s="15">
        <v>859</v>
      </c>
      <c r="M51" s="13" t="s">
        <v>45</v>
      </c>
      <c r="N51" s="14">
        <v>46297.689768518518</v>
      </c>
      <c r="O51" s="15">
        <v>340</v>
      </c>
      <c r="P51" s="13" t="s">
        <v>25</v>
      </c>
      <c r="Q51" s="15">
        <v>190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13" t="s">
        <v>425</v>
      </c>
      <c r="B52" s="13" t="s">
        <v>18</v>
      </c>
      <c r="C52" s="13" t="s">
        <v>49</v>
      </c>
      <c r="D52" s="13" t="s">
        <v>33</v>
      </c>
      <c r="E52" s="13" t="s">
        <v>732</v>
      </c>
      <c r="F52" s="14">
        <v>46297.654965277776</v>
      </c>
      <c r="G52" s="13" t="s">
        <v>21</v>
      </c>
      <c r="H52" s="13" t="s">
        <v>518</v>
      </c>
      <c r="I52" s="15">
        <v>380</v>
      </c>
      <c r="J52" s="13" t="s">
        <v>22</v>
      </c>
      <c r="K52" s="13" t="s">
        <v>23</v>
      </c>
      <c r="L52" s="15">
        <v>859</v>
      </c>
      <c r="M52" s="13" t="s">
        <v>45</v>
      </c>
      <c r="N52" s="14">
        <v>46297.699224537035</v>
      </c>
      <c r="O52" s="15">
        <v>380</v>
      </c>
      <c r="P52" s="13" t="s">
        <v>25</v>
      </c>
      <c r="Q52" s="15">
        <v>190</v>
      </c>
      <c r="R52" s="3" t="str">
        <f>IF(OR(G52="12R",G52="12L"),_xlfn.XLOOKUP(C52,Tabla42[ADEP],Tabla42[SID 12R],""),IF(OR(G52="30L",G52="30R"),_xlfn.XLOOKUP(C52,Tabla42[ADEP],Tabla42[SID 30L],""),""))</f>
        <v>UDGUV</v>
      </c>
      <c r="S52" s="3">
        <f t="shared" si="0"/>
        <v>15</v>
      </c>
      <c r="T52" s="3" t="str">
        <f>_xlfn.XLOOKUP(C52,Tabla42[ADEP],Tabla42[Sector],"")</f>
        <v>Sector 2</v>
      </c>
    </row>
    <row r="53" spans="1:20" x14ac:dyDescent="0.2">
      <c r="A53" s="13" t="s">
        <v>1361</v>
      </c>
      <c r="B53" s="13" t="s">
        <v>18</v>
      </c>
      <c r="C53" s="13" t="s">
        <v>197</v>
      </c>
      <c r="D53" s="13" t="s">
        <v>689</v>
      </c>
      <c r="E53" s="13" t="s">
        <v>1362</v>
      </c>
      <c r="F53" s="14">
        <v>46297.65626157407</v>
      </c>
      <c r="G53" s="13" t="s">
        <v>21</v>
      </c>
      <c r="H53" s="13" t="s">
        <v>1363</v>
      </c>
      <c r="I53" s="15">
        <v>400</v>
      </c>
      <c r="J53" s="13" t="s">
        <v>22</v>
      </c>
      <c r="K53" s="13" t="s">
        <v>50</v>
      </c>
      <c r="L53" s="15">
        <v>872</v>
      </c>
      <c r="M53" s="13" t="s">
        <v>35</v>
      </c>
      <c r="N53" s="14">
        <v>46297.701597222222</v>
      </c>
      <c r="O53" s="15">
        <v>400</v>
      </c>
      <c r="P53" s="13" t="s">
        <v>25</v>
      </c>
      <c r="Q53" s="15">
        <v>30</v>
      </c>
      <c r="R53" s="3" t="str">
        <f>IF(OR(G53="12R",G53="12L"),_xlfn.XLOOKUP(C53,Tabla42[ADEP],Tabla42[SID 12R],""),IF(OR(G53="30L",G53="30R"),_xlfn.XLOOKUP(C53,Tabla42[ADEP],Tabla42[SID 30L],""),""))</f>
        <v>UDGUV</v>
      </c>
      <c r="S53" s="3">
        <f t="shared" si="0"/>
        <v>15</v>
      </c>
      <c r="T53" s="3" t="str">
        <f>_xlfn.XLOOKUP(C53,Tabla42[ADEP],Tabla42[Sector],"")</f>
        <v>Sector 2</v>
      </c>
    </row>
    <row r="54" spans="1:20" x14ac:dyDescent="0.2">
      <c r="A54" s="13" t="s">
        <v>151</v>
      </c>
      <c r="B54" s="13" t="s">
        <v>18</v>
      </c>
      <c r="C54" s="13" t="s">
        <v>96</v>
      </c>
      <c r="D54" s="13" t="s">
        <v>122</v>
      </c>
      <c r="E54" s="13" t="s">
        <v>1008</v>
      </c>
      <c r="F54" s="14">
        <v>46297.658402777779</v>
      </c>
      <c r="G54" s="13" t="s">
        <v>21</v>
      </c>
      <c r="H54" s="13" t="s">
        <v>276</v>
      </c>
      <c r="I54" s="15">
        <v>380</v>
      </c>
      <c r="J54" s="13" t="s">
        <v>22</v>
      </c>
      <c r="K54" s="13" t="s">
        <v>23</v>
      </c>
      <c r="L54" s="15">
        <v>859</v>
      </c>
      <c r="M54" s="13" t="s">
        <v>45</v>
      </c>
      <c r="N54" s="14">
        <v>46297.701435185183</v>
      </c>
      <c r="O54" s="15">
        <v>380</v>
      </c>
      <c r="P54" s="13" t="s">
        <v>25</v>
      </c>
      <c r="Q54" s="15">
        <v>190</v>
      </c>
      <c r="R54" s="3" t="str">
        <f>IF(OR(G54="12R",G54="12L"),_xlfn.XLOOKUP(C54,Tabla42[ADEP],Tabla42[SID 12R],""),IF(OR(G54="30L",G54="30R"),_xlfn.XLOOKUP(C54,Tabla42[ADEP],Tabla42[SID 30L],""),""))</f>
        <v>UDGUV</v>
      </c>
      <c r="S54" s="3">
        <f t="shared" si="0"/>
        <v>15</v>
      </c>
      <c r="T54" s="3" t="str">
        <f>_xlfn.XLOOKUP(C54,Tabla42[ADEP],Tabla42[Sector],"")</f>
        <v>Sector 2</v>
      </c>
    </row>
    <row r="55" spans="1:20" x14ac:dyDescent="0.2">
      <c r="A55" s="13" t="s">
        <v>143</v>
      </c>
      <c r="B55" s="13" t="s">
        <v>18</v>
      </c>
      <c r="C55" s="13" t="s">
        <v>32</v>
      </c>
      <c r="D55" s="13" t="s">
        <v>60</v>
      </c>
      <c r="E55" s="13" t="s">
        <v>529</v>
      </c>
      <c r="F55" s="14">
        <v>46297.664386574077</v>
      </c>
      <c r="G55" s="13" t="s">
        <v>21</v>
      </c>
      <c r="H55" s="13" t="s">
        <v>1364</v>
      </c>
      <c r="I55" s="15">
        <v>340</v>
      </c>
      <c r="J55" s="13" t="s">
        <v>22</v>
      </c>
      <c r="K55" s="13" t="s">
        <v>23</v>
      </c>
      <c r="L55" s="15">
        <v>871</v>
      </c>
      <c r="M55" s="13" t="s">
        <v>35</v>
      </c>
      <c r="N55" s="14">
        <v>46297.70784722222</v>
      </c>
      <c r="O55" s="15">
        <v>340</v>
      </c>
      <c r="P55" s="13" t="s">
        <v>25</v>
      </c>
      <c r="Q55" s="15">
        <v>190</v>
      </c>
      <c r="R55" s="3" t="str">
        <f>IF(OR(G55="12R",G55="12L"),_xlfn.XLOOKUP(C55,Tabla42[ADEP],Tabla42[SID 12R],""),IF(OR(G55="30L",G55="30R"),_xlfn.XLOOKUP(C55,Tabla42[ADEP],Tabla42[SID 30L],""),""))</f>
        <v>UDGUV</v>
      </c>
      <c r="S55" s="3">
        <f t="shared" si="0"/>
        <v>15</v>
      </c>
      <c r="T55" s="3" t="str">
        <f>_xlfn.XLOOKUP(C55,Tabla42[ADEP],Tabla42[Sector],"")</f>
        <v>Sector 2</v>
      </c>
    </row>
    <row r="56" spans="1:20" x14ac:dyDescent="0.2">
      <c r="A56" s="13" t="s">
        <v>145</v>
      </c>
      <c r="B56" s="13" t="s">
        <v>18</v>
      </c>
      <c r="C56" s="13" t="s">
        <v>19</v>
      </c>
      <c r="D56" s="13" t="s">
        <v>53</v>
      </c>
      <c r="E56" s="13" t="s">
        <v>734</v>
      </c>
      <c r="F56" s="14">
        <v>46297.665949074071</v>
      </c>
      <c r="G56" s="13" t="s">
        <v>21</v>
      </c>
      <c r="H56" s="13" t="s">
        <v>981</v>
      </c>
      <c r="I56" s="15">
        <v>380</v>
      </c>
      <c r="J56" s="13" t="s">
        <v>22</v>
      </c>
      <c r="K56" s="13" t="s">
        <v>23</v>
      </c>
      <c r="L56" s="15">
        <v>860</v>
      </c>
      <c r="M56" s="13" t="s">
        <v>24</v>
      </c>
      <c r="N56" s="14">
        <v>46297.710810185185</v>
      </c>
      <c r="O56" s="15">
        <v>380</v>
      </c>
      <c r="P56" s="13" t="s">
        <v>25</v>
      </c>
      <c r="Q56" s="15">
        <v>190</v>
      </c>
      <c r="R56" s="3" t="str">
        <f>IF(OR(G56="12R",G56="12L"),_xlfn.XLOOKUP(C56,Tabla42[ADEP],Tabla42[SID 12R],""),IF(OR(G56="30L",G56="30R"),_xlfn.XLOOKUP(C56,Tabla42[ADEP],Tabla42[SID 30L],""),""))</f>
        <v>UDGUV</v>
      </c>
      <c r="S56" s="3">
        <f t="shared" si="0"/>
        <v>15</v>
      </c>
      <c r="T56" s="3" t="str">
        <f>_xlfn.XLOOKUP(C56,Tabla42[ADEP],Tabla42[Sector],"")</f>
        <v>Sector 2</v>
      </c>
    </row>
    <row r="57" spans="1:20" x14ac:dyDescent="0.2">
      <c r="A57" s="13" t="s">
        <v>208</v>
      </c>
      <c r="B57" s="13" t="s">
        <v>18</v>
      </c>
      <c r="C57" s="13" t="s">
        <v>209</v>
      </c>
      <c r="D57" s="13" t="s">
        <v>122</v>
      </c>
      <c r="E57" s="13" t="s">
        <v>1365</v>
      </c>
      <c r="F57" s="14">
        <v>46297.667303240742</v>
      </c>
      <c r="G57" s="13" t="s">
        <v>21</v>
      </c>
      <c r="H57" s="13" t="s">
        <v>1366</v>
      </c>
      <c r="I57" s="15">
        <v>360</v>
      </c>
      <c r="J57" s="13" t="s">
        <v>22</v>
      </c>
      <c r="K57" s="13" t="s">
        <v>23</v>
      </c>
      <c r="L57" s="15">
        <v>717</v>
      </c>
      <c r="M57" s="13" t="s">
        <v>210</v>
      </c>
      <c r="N57" s="14">
        <v>46297.702592592592</v>
      </c>
      <c r="O57" s="15">
        <v>360</v>
      </c>
      <c r="P57" s="13" t="s">
        <v>25</v>
      </c>
      <c r="Q57" s="15">
        <v>190</v>
      </c>
      <c r="R57" s="3" t="str">
        <f>IF(OR(G57="12R",G57="12L"),_xlfn.XLOOKUP(C57,Tabla42[ADEP],Tabla42[SID 12R],""),IF(OR(G57="30L",G57="30R"),_xlfn.XLOOKUP(C57,Tabla42[ADEP],Tabla42[SID 30L],""),""))</f>
        <v>ENEBA</v>
      </c>
      <c r="S57" s="3">
        <f t="shared" si="0"/>
        <v>16</v>
      </c>
      <c r="T57" s="3" t="str">
        <f>_xlfn.XLOOKUP(C57,Tabla42[ADEP],Tabla42[Sector],"")</f>
        <v>Sector 3</v>
      </c>
    </row>
    <row r="58" spans="1:20" x14ac:dyDescent="0.2">
      <c r="A58" s="13" t="s">
        <v>148</v>
      </c>
      <c r="B58" s="13" t="s">
        <v>18</v>
      </c>
      <c r="C58" s="13" t="s">
        <v>42</v>
      </c>
      <c r="D58" s="13" t="s">
        <v>33</v>
      </c>
      <c r="E58" s="13" t="s">
        <v>426</v>
      </c>
      <c r="F58" s="14">
        <v>46297.668634259258</v>
      </c>
      <c r="G58" s="13" t="s">
        <v>21</v>
      </c>
      <c r="H58" s="13" t="s">
        <v>1367</v>
      </c>
      <c r="I58" s="15">
        <v>360</v>
      </c>
      <c r="J58" s="13" t="s">
        <v>22</v>
      </c>
      <c r="K58" s="13" t="s">
        <v>23</v>
      </c>
      <c r="L58" s="15">
        <v>859</v>
      </c>
      <c r="M58" s="13" t="s">
        <v>45</v>
      </c>
      <c r="N58" s="14">
        <v>46297.711817129632</v>
      </c>
      <c r="O58" s="15">
        <v>360</v>
      </c>
      <c r="P58" s="13" t="s">
        <v>25</v>
      </c>
      <c r="Q58" s="15">
        <v>190</v>
      </c>
      <c r="R58" s="3" t="str">
        <f>IF(OR(G58="12R",G58="12L"),_xlfn.XLOOKUP(C58,Tabla42[ADEP],Tabla42[SID 12R],""),IF(OR(G58="30L",G58="30R"),_xlfn.XLOOKUP(C58,Tabla42[ADEP],Tabla42[SID 30L],""),""))</f>
        <v>UDGUV</v>
      </c>
      <c r="S58" s="3">
        <f t="shared" si="0"/>
        <v>16</v>
      </c>
      <c r="T58" s="3" t="str">
        <f>_xlfn.XLOOKUP(C58,Tabla42[ADEP],Tabla42[Sector],"")</f>
        <v>Sector 2</v>
      </c>
    </row>
    <row r="59" spans="1:20" x14ac:dyDescent="0.2">
      <c r="A59" s="13" t="s">
        <v>146</v>
      </c>
      <c r="B59" s="13" t="s">
        <v>18</v>
      </c>
      <c r="C59" s="13" t="s">
        <v>96</v>
      </c>
      <c r="D59" s="13" t="s">
        <v>20</v>
      </c>
      <c r="E59" s="13" t="s">
        <v>374</v>
      </c>
      <c r="F59" s="14">
        <v>46297.671817129631</v>
      </c>
      <c r="G59" s="13" t="s">
        <v>21</v>
      </c>
      <c r="H59" s="13" t="s">
        <v>170</v>
      </c>
      <c r="I59" s="15">
        <v>360</v>
      </c>
      <c r="J59" s="13" t="s">
        <v>22</v>
      </c>
      <c r="K59" s="13" t="s">
        <v>23</v>
      </c>
      <c r="L59" s="15">
        <v>859</v>
      </c>
      <c r="M59" s="13" t="s">
        <v>45</v>
      </c>
      <c r="N59" s="14">
        <v>46297.715104166666</v>
      </c>
      <c r="O59" s="15">
        <v>360</v>
      </c>
      <c r="P59" s="13" t="s">
        <v>25</v>
      </c>
      <c r="Q59" s="15">
        <v>190</v>
      </c>
      <c r="R59" s="3" t="str">
        <f>IF(OR(G59="12R",G59="12L"),_xlfn.XLOOKUP(C59,Tabla42[ADEP],Tabla42[SID 12R],""),IF(OR(G59="30L",G59="30R"),_xlfn.XLOOKUP(C59,Tabla42[ADEP],Tabla42[SID 30L],""),""))</f>
        <v>UDGUV</v>
      </c>
      <c r="S59" s="3">
        <f t="shared" si="0"/>
        <v>16</v>
      </c>
      <c r="T59" s="3" t="str">
        <f>_xlfn.XLOOKUP(C59,Tabla42[ADEP],Tabla42[Sector],"")</f>
        <v>Sector 2</v>
      </c>
    </row>
    <row r="60" spans="1:20" x14ac:dyDescent="0.2">
      <c r="A60" s="13" t="s">
        <v>364</v>
      </c>
      <c r="B60" s="13" t="s">
        <v>18</v>
      </c>
      <c r="C60" s="13" t="s">
        <v>27</v>
      </c>
      <c r="D60" s="13" t="s">
        <v>28</v>
      </c>
      <c r="E60" s="13" t="s">
        <v>1026</v>
      </c>
      <c r="F60" s="14">
        <v>46297.67288194444</v>
      </c>
      <c r="G60" s="13" t="s">
        <v>21</v>
      </c>
      <c r="H60" s="13" t="s">
        <v>1368</v>
      </c>
      <c r="I60" s="15">
        <v>370</v>
      </c>
      <c r="J60" s="13" t="s">
        <v>22</v>
      </c>
      <c r="K60" s="13" t="s">
        <v>23</v>
      </c>
      <c r="L60" s="15">
        <v>140</v>
      </c>
      <c r="M60" s="13" t="s">
        <v>68</v>
      </c>
      <c r="N60" s="14">
        <v>46297.68236111111</v>
      </c>
      <c r="O60" s="15">
        <v>215</v>
      </c>
      <c r="P60" s="13" t="s">
        <v>25</v>
      </c>
      <c r="Q60" s="15">
        <v>40</v>
      </c>
      <c r="R60" s="3" t="str">
        <f>IF(OR(G60="12R",G60="12L"),_xlfn.XLOOKUP(C60,Tabla42[ADEP],Tabla42[SID 12R],""),IF(OR(G60="30L",G60="30R"),_xlfn.XLOOKUP(C60,Tabla42[ADEP],Tabla42[SID 30L],""),""))</f>
        <v>OMSUK</v>
      </c>
      <c r="S60" s="3">
        <f t="shared" si="0"/>
        <v>16</v>
      </c>
      <c r="T60" s="3" t="str">
        <f>_xlfn.XLOOKUP(C60,Tabla42[ADEP],Tabla42[Sector],"")</f>
        <v>Sector 3</v>
      </c>
    </row>
    <row r="61" spans="1:20" x14ac:dyDescent="0.2">
      <c r="A61" s="13" t="s">
        <v>150</v>
      </c>
      <c r="B61" s="13" t="s">
        <v>18</v>
      </c>
      <c r="C61" s="13" t="s">
        <v>32</v>
      </c>
      <c r="D61" s="13" t="s">
        <v>53</v>
      </c>
      <c r="E61" s="13" t="s">
        <v>629</v>
      </c>
      <c r="F61" s="14">
        <v>46297.677488425921</v>
      </c>
      <c r="G61" s="13" t="s">
        <v>21</v>
      </c>
      <c r="H61" s="13" t="s">
        <v>1369</v>
      </c>
      <c r="I61" s="15">
        <v>360</v>
      </c>
      <c r="J61" s="13" t="s">
        <v>22</v>
      </c>
      <c r="K61" s="13" t="s">
        <v>23</v>
      </c>
      <c r="L61" s="15">
        <v>867</v>
      </c>
      <c r="M61" s="13" t="s">
        <v>35</v>
      </c>
      <c r="N61" s="14">
        <v>46297.721678240741</v>
      </c>
      <c r="O61" s="15">
        <v>360</v>
      </c>
      <c r="P61" s="13" t="s">
        <v>25</v>
      </c>
      <c r="Q61" s="15">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13" t="s">
        <v>429</v>
      </c>
      <c r="B62" s="13" t="s">
        <v>18</v>
      </c>
      <c r="C62" s="13" t="s">
        <v>121</v>
      </c>
      <c r="D62" s="13" t="s">
        <v>122</v>
      </c>
      <c r="E62" s="13" t="s">
        <v>1016</v>
      </c>
      <c r="F62" s="14">
        <v>46297.678495370375</v>
      </c>
      <c r="G62" s="13" t="s">
        <v>21</v>
      </c>
      <c r="H62" s="13" t="s">
        <v>1370</v>
      </c>
      <c r="I62" s="15">
        <v>360</v>
      </c>
      <c r="J62" s="13" t="s">
        <v>22</v>
      </c>
      <c r="K62" s="13" t="s">
        <v>23</v>
      </c>
      <c r="L62" s="15">
        <v>476</v>
      </c>
      <c r="M62" s="13" t="s">
        <v>589</v>
      </c>
      <c r="N62" s="14">
        <v>46297.704224537039</v>
      </c>
      <c r="O62" s="15">
        <v>360</v>
      </c>
      <c r="P62" s="13" t="s">
        <v>25</v>
      </c>
      <c r="Q62" s="15">
        <v>40</v>
      </c>
      <c r="R62" s="3" t="str">
        <f>IF(OR(G62="12R",G62="12L"),_xlfn.XLOOKUP(C62,Tabla42[ADEP],Tabla42[SID 12R],""),IF(OR(G62="30L",G62="30R"),_xlfn.XLOOKUP(C62,Tabla42[ADEP],Tabla42[SID 30L],""),""))</f>
        <v>ENEBA</v>
      </c>
      <c r="S62" s="3">
        <f t="shared" si="0"/>
        <v>16</v>
      </c>
      <c r="T62" s="3" t="str">
        <f>_xlfn.XLOOKUP(C62,Tabla42[ADEP],Tabla42[Sector],"")</f>
        <v>Sector 3</v>
      </c>
    </row>
    <row r="63" spans="1:20" x14ac:dyDescent="0.2">
      <c r="A63" s="13" t="s">
        <v>136</v>
      </c>
      <c r="B63" s="13" t="s">
        <v>18</v>
      </c>
      <c r="C63" s="13" t="s">
        <v>137</v>
      </c>
      <c r="D63" s="13" t="s">
        <v>63</v>
      </c>
      <c r="E63" s="13" t="s">
        <v>774</v>
      </c>
      <c r="F63" s="14">
        <v>46297.679826388892</v>
      </c>
      <c r="G63" s="13" t="s">
        <v>21</v>
      </c>
      <c r="H63" s="13" t="s">
        <v>138</v>
      </c>
      <c r="I63" s="15">
        <v>330</v>
      </c>
      <c r="J63" s="13" t="s">
        <v>22</v>
      </c>
      <c r="K63" s="13" t="s">
        <v>23</v>
      </c>
      <c r="L63" s="15">
        <v>136</v>
      </c>
      <c r="M63" s="13" t="s">
        <v>39</v>
      </c>
      <c r="N63" s="14">
        <v>46297.689189814817</v>
      </c>
      <c r="O63" s="15">
        <v>268</v>
      </c>
      <c r="P63" s="13" t="s">
        <v>25</v>
      </c>
      <c r="Q63" s="15">
        <v>190</v>
      </c>
      <c r="R63" s="3" t="str">
        <f>IF(OR(G63="12R",G63="12L"),_xlfn.XLOOKUP(C63,Tabla42[ADEP],Tabla42[SID 12R],""),IF(OR(G63="30L",G63="30R"),_xlfn.XLOOKUP(C63,Tabla42[ADEP],Tabla42[SID 30L],""),""))</f>
        <v>NUDAL</v>
      </c>
      <c r="S63" s="3">
        <f t="shared" si="0"/>
        <v>16</v>
      </c>
      <c r="T63" s="3" t="str">
        <f>_xlfn.XLOOKUP(C63,Tabla42[ADEP],Tabla42[Sector],"")</f>
        <v>Sector 3</v>
      </c>
    </row>
    <row r="64" spans="1:20" x14ac:dyDescent="0.2">
      <c r="A64" s="13" t="s">
        <v>156</v>
      </c>
      <c r="B64" s="13" t="s">
        <v>18</v>
      </c>
      <c r="C64" s="13" t="s">
        <v>109</v>
      </c>
      <c r="D64" s="13" t="s">
        <v>28</v>
      </c>
      <c r="E64" s="13" t="s">
        <v>157</v>
      </c>
      <c r="F64" s="14">
        <v>46297.68236111111</v>
      </c>
      <c r="G64" s="13" t="s">
        <v>21</v>
      </c>
      <c r="H64" s="13" t="s">
        <v>1371</v>
      </c>
      <c r="I64" s="15">
        <v>370</v>
      </c>
      <c r="J64" s="13" t="s">
        <v>22</v>
      </c>
      <c r="K64" s="13" t="s">
        <v>23</v>
      </c>
      <c r="L64" s="15">
        <v>195</v>
      </c>
      <c r="M64" s="13" t="s">
        <v>1372</v>
      </c>
      <c r="N64" s="14">
        <v>46297.695196759261</v>
      </c>
      <c r="O64" s="15">
        <v>315</v>
      </c>
      <c r="P64" s="13" t="s">
        <v>25</v>
      </c>
      <c r="Q64" s="15">
        <v>190</v>
      </c>
      <c r="R64" s="3" t="str">
        <f>IF(OR(G64="12R",G64="12L"),_xlfn.XLOOKUP(C64,Tabla42[ADEP],Tabla42[SID 12R],""),IF(OR(G64="30L",G64="30R"),_xlfn.XLOOKUP(C64,Tabla42[ADEP],Tabla42[SID 30L],""),""))</f>
        <v>TAKUX</v>
      </c>
      <c r="S64" s="3">
        <f t="shared" si="0"/>
        <v>16</v>
      </c>
      <c r="T64" s="3" t="str">
        <f>_xlfn.XLOOKUP(C64,Tabla42[ADEP],Tabla42[Sector],"")</f>
        <v>Sector 7</v>
      </c>
    </row>
    <row r="65" spans="1:20" x14ac:dyDescent="0.2">
      <c r="A65" s="13" t="s">
        <v>173</v>
      </c>
      <c r="B65" s="13" t="s">
        <v>18</v>
      </c>
      <c r="C65" s="13" t="s">
        <v>154</v>
      </c>
      <c r="D65" s="13" t="s">
        <v>174</v>
      </c>
      <c r="E65" s="13"/>
      <c r="F65" s="14">
        <v>46297.683958333335</v>
      </c>
      <c r="G65" s="13" t="s">
        <v>21</v>
      </c>
      <c r="H65" s="13" t="s">
        <v>155</v>
      </c>
      <c r="I65" s="15">
        <v>15</v>
      </c>
      <c r="J65" s="13" t="s">
        <v>130</v>
      </c>
      <c r="K65" s="13" t="s">
        <v>50</v>
      </c>
      <c r="L65" s="15">
        <v>58</v>
      </c>
      <c r="M65" s="13" t="s">
        <v>154</v>
      </c>
      <c r="N65" s="14">
        <v>46297.726990740739</v>
      </c>
      <c r="O65" s="15">
        <v>0</v>
      </c>
      <c r="P65" s="13" t="s">
        <v>129</v>
      </c>
      <c r="Q65" s="15">
        <v>15</v>
      </c>
      <c r="R65" s="3" t="str">
        <f>IF(OR(G65="12R",G65="12L"),_xlfn.XLOOKUP(C65,Tabla42[ADEP],Tabla42[SID 12R],""),IF(OR(G65="30L",G65="30R"),_xlfn.XLOOKUP(C65,Tabla42[ADEP],Tabla42[SID 30L],""),""))</f>
        <v>CZM</v>
      </c>
      <c r="S65" s="3">
        <f t="shared" si="0"/>
        <v>16</v>
      </c>
      <c r="T65" s="3" t="str">
        <f>_xlfn.XLOOKUP(C65,Tabla42[ADEP],Tabla42[Sector],"")</f>
        <v>Sector 7</v>
      </c>
    </row>
    <row r="66" spans="1:20" x14ac:dyDescent="0.2">
      <c r="A66" s="13" t="s">
        <v>152</v>
      </c>
      <c r="B66" s="13" t="s">
        <v>18</v>
      </c>
      <c r="C66" s="13" t="s">
        <v>153</v>
      </c>
      <c r="D66" s="13" t="s">
        <v>33</v>
      </c>
      <c r="E66" s="13" t="s">
        <v>360</v>
      </c>
      <c r="F66" s="14">
        <v>46297.68540509259</v>
      </c>
      <c r="G66" s="13" t="s">
        <v>21</v>
      </c>
      <c r="H66" s="13" t="s">
        <v>1373</v>
      </c>
      <c r="I66" s="15">
        <v>360</v>
      </c>
      <c r="J66" s="13" t="s">
        <v>22</v>
      </c>
      <c r="K66" s="13" t="s">
        <v>23</v>
      </c>
      <c r="L66" s="15">
        <v>864</v>
      </c>
      <c r="M66" s="13" t="s">
        <v>35</v>
      </c>
      <c r="N66" s="14">
        <v>46297.72855324074</v>
      </c>
      <c r="O66" s="15">
        <v>360</v>
      </c>
      <c r="P66" s="13" t="s">
        <v>25</v>
      </c>
      <c r="Q66" s="15">
        <v>190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13" t="s">
        <v>163</v>
      </c>
      <c r="B67" s="13" t="s">
        <v>18</v>
      </c>
      <c r="C67" s="13" t="s">
        <v>164</v>
      </c>
      <c r="D67" s="13" t="s">
        <v>43</v>
      </c>
      <c r="E67" s="13" t="s">
        <v>1374</v>
      </c>
      <c r="F67" s="14">
        <v>46297.686354166668</v>
      </c>
      <c r="G67" s="13" t="s">
        <v>21</v>
      </c>
      <c r="H67" s="13" t="s">
        <v>1375</v>
      </c>
      <c r="I67" s="15">
        <v>330</v>
      </c>
      <c r="J67" s="13" t="s">
        <v>22</v>
      </c>
      <c r="K67" s="13" t="s">
        <v>23</v>
      </c>
      <c r="L67" s="15">
        <v>243</v>
      </c>
      <c r="M67" s="13" t="s">
        <v>355</v>
      </c>
      <c r="N67" s="14">
        <v>46297.700474537036</v>
      </c>
      <c r="O67" s="15">
        <v>323</v>
      </c>
      <c r="P67" s="13" t="s">
        <v>25</v>
      </c>
      <c r="Q67" s="15">
        <v>40</v>
      </c>
      <c r="R67" s="3" t="str">
        <f>IF(OR(G67="12R",G67="12L"),_xlfn.XLOOKUP(C67,Tabla42[ADEP],Tabla42[SID 12R],""),IF(OR(G67="30L",G67="30R"),_xlfn.XLOOKUP(C67,Tabla42[ADEP],Tabla42[SID 30L],""),""))</f>
        <v>OMSUK</v>
      </c>
      <c r="S67" s="3">
        <f t="shared" ref="S67:S130" si="1">HOUR(F67)</f>
        <v>16</v>
      </c>
      <c r="T67" s="3" t="str">
        <f>_xlfn.XLOOKUP(C67,Tabla42[ADEP],Tabla42[Sector],"")</f>
        <v>Sector 3</v>
      </c>
    </row>
    <row r="68" spans="1:20" x14ac:dyDescent="0.2">
      <c r="A68" s="13" t="s">
        <v>430</v>
      </c>
      <c r="B68" s="13" t="s">
        <v>18</v>
      </c>
      <c r="C68" s="13" t="s">
        <v>265</v>
      </c>
      <c r="D68" s="13" t="s">
        <v>33</v>
      </c>
      <c r="E68" s="13" t="s">
        <v>310</v>
      </c>
      <c r="F68" s="14">
        <v>46297.687395833331</v>
      </c>
      <c r="G68" s="13" t="s">
        <v>21</v>
      </c>
      <c r="H68" s="13" t="s">
        <v>761</v>
      </c>
      <c r="I68" s="15">
        <v>380</v>
      </c>
      <c r="J68" s="13" t="s">
        <v>22</v>
      </c>
      <c r="K68" s="13" t="s">
        <v>23</v>
      </c>
      <c r="L68" s="15">
        <v>870</v>
      </c>
      <c r="M68" s="13" t="s">
        <v>167</v>
      </c>
      <c r="N68" s="14">
        <v>46297.731724537036</v>
      </c>
      <c r="O68" s="15">
        <v>380</v>
      </c>
      <c r="P68" s="13" t="s">
        <v>25</v>
      </c>
      <c r="Q68" s="15">
        <v>190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13" t="s">
        <v>161</v>
      </c>
      <c r="B69" s="13" t="s">
        <v>18</v>
      </c>
      <c r="C69" s="13" t="s">
        <v>27</v>
      </c>
      <c r="D69" s="13" t="s">
        <v>60</v>
      </c>
      <c r="E69" s="13" t="s">
        <v>638</v>
      </c>
      <c r="F69" s="14">
        <v>46297.688090277778</v>
      </c>
      <c r="G69" s="13" t="s">
        <v>21</v>
      </c>
      <c r="H69" s="13" t="s">
        <v>1376</v>
      </c>
      <c r="I69" s="15">
        <v>330</v>
      </c>
      <c r="J69" s="13" t="s">
        <v>22</v>
      </c>
      <c r="K69" s="13" t="s">
        <v>23</v>
      </c>
      <c r="L69" s="15">
        <v>136</v>
      </c>
      <c r="M69" s="13" t="s">
        <v>39</v>
      </c>
      <c r="N69" s="14">
        <v>46297.698611111111</v>
      </c>
      <c r="O69" s="15">
        <v>222</v>
      </c>
      <c r="P69" s="13" t="s">
        <v>25</v>
      </c>
      <c r="Q69" s="15">
        <v>190</v>
      </c>
      <c r="R69" s="3" t="str">
        <f>IF(OR(G69="12R",G69="12L"),_xlfn.XLOOKUP(C69,Tabla42[ADEP],Tabla42[SID 12R],""),IF(OR(G69="30L",G69="30R"),_xlfn.XLOOKUP(C69,Tabla42[ADEP],Tabla42[SID 30L],""),""))</f>
        <v>OMSUK</v>
      </c>
      <c r="S69" s="3">
        <f t="shared" si="1"/>
        <v>16</v>
      </c>
      <c r="T69" s="3" t="str">
        <f>_xlfn.XLOOKUP(C69,Tabla42[ADEP],Tabla42[Sector],"")</f>
        <v>Sector 3</v>
      </c>
    </row>
    <row r="70" spans="1:20" x14ac:dyDescent="0.2">
      <c r="A70" s="13" t="s">
        <v>159</v>
      </c>
      <c r="B70" s="13" t="s">
        <v>18</v>
      </c>
      <c r="C70" s="13" t="s">
        <v>160</v>
      </c>
      <c r="D70" s="13" t="s">
        <v>33</v>
      </c>
      <c r="E70" s="13" t="s">
        <v>91</v>
      </c>
      <c r="F70" s="14">
        <v>46297.689444444448</v>
      </c>
      <c r="G70" s="13" t="s">
        <v>21</v>
      </c>
      <c r="H70" s="13" t="s">
        <v>1377</v>
      </c>
      <c r="I70" s="15">
        <v>380</v>
      </c>
      <c r="J70" s="13" t="s">
        <v>22</v>
      </c>
      <c r="K70" s="13" t="s">
        <v>23</v>
      </c>
      <c r="L70" s="15">
        <v>330</v>
      </c>
      <c r="M70" s="13" t="s">
        <v>971</v>
      </c>
      <c r="N70" s="14">
        <v>46297.709803240738</v>
      </c>
      <c r="O70" s="15">
        <v>380</v>
      </c>
      <c r="P70" s="13" t="s">
        <v>25</v>
      </c>
      <c r="Q70" s="15">
        <v>190</v>
      </c>
      <c r="R70" s="3" t="str">
        <f>IF(OR(G70="12R",G70="12L"),_xlfn.XLOOKUP(C70,Tabla42[ADEP],Tabla42[SID 12R],""),IF(OR(G70="30L",G70="30R"),_xlfn.XLOOKUP(C70,Tabla42[ADEP],Tabla42[SID 30L],""),""))</f>
        <v>CZM</v>
      </c>
      <c r="S70" s="3">
        <f t="shared" si="1"/>
        <v>16</v>
      </c>
      <c r="T70" s="3" t="str">
        <f>_xlfn.XLOOKUP(C70,Tabla42[ADEP],Tabla42[Sector],"")</f>
        <v>Sector 7</v>
      </c>
    </row>
    <row r="71" spans="1:20" x14ac:dyDescent="0.2">
      <c r="A71" s="13" t="s">
        <v>365</v>
      </c>
      <c r="B71" s="13" t="s">
        <v>18</v>
      </c>
      <c r="C71" s="13" t="s">
        <v>96</v>
      </c>
      <c r="D71" s="13" t="s">
        <v>53</v>
      </c>
      <c r="E71" s="13" t="s">
        <v>70</v>
      </c>
      <c r="F71" s="14">
        <v>46297.690775462965</v>
      </c>
      <c r="G71" s="13" t="s">
        <v>21</v>
      </c>
      <c r="H71" s="13" t="s">
        <v>1378</v>
      </c>
      <c r="I71" s="15">
        <v>360</v>
      </c>
      <c r="J71" s="13" t="s">
        <v>22</v>
      </c>
      <c r="K71" s="13" t="s">
        <v>141</v>
      </c>
      <c r="L71" s="15">
        <v>861</v>
      </c>
      <c r="M71" s="13" t="s">
        <v>540</v>
      </c>
      <c r="N71" s="14">
        <v>46297.733668981484</v>
      </c>
      <c r="O71" s="15">
        <v>380</v>
      </c>
      <c r="P71" s="13" t="s">
        <v>25</v>
      </c>
      <c r="Q71" s="15">
        <v>190</v>
      </c>
      <c r="R71" s="3" t="str">
        <f>IF(OR(G71="12R",G71="12L"),_xlfn.XLOOKUP(C71,Tabla42[ADEP],Tabla42[SID 12R],""),IF(OR(G71="30L",G71="30R"),_xlfn.XLOOKUP(C71,Tabla42[ADEP],Tabla42[SID 30L],""),""))</f>
        <v>UDGUV</v>
      </c>
      <c r="S71" s="3">
        <f t="shared" si="1"/>
        <v>16</v>
      </c>
      <c r="T71" s="3" t="str">
        <f>_xlfn.XLOOKUP(C71,Tabla42[ADEP],Tabla42[Sector],"")</f>
        <v>Sector 2</v>
      </c>
    </row>
    <row r="72" spans="1:20" x14ac:dyDescent="0.2">
      <c r="A72" s="13" t="s">
        <v>1031</v>
      </c>
      <c r="B72" s="13" t="s">
        <v>18</v>
      </c>
      <c r="C72" s="13" t="s">
        <v>49</v>
      </c>
      <c r="D72" s="13" t="s">
        <v>700</v>
      </c>
      <c r="E72" s="13"/>
      <c r="F72" s="14">
        <v>46297.692106481481</v>
      </c>
      <c r="G72" s="13" t="s">
        <v>21</v>
      </c>
      <c r="H72" s="13" t="s">
        <v>985</v>
      </c>
      <c r="I72" s="15">
        <v>380</v>
      </c>
      <c r="J72" s="13" t="s">
        <v>22</v>
      </c>
      <c r="K72" s="13" t="s">
        <v>50</v>
      </c>
      <c r="L72" s="15">
        <v>862</v>
      </c>
      <c r="M72" s="13" t="s">
        <v>45</v>
      </c>
      <c r="N72" s="14">
        <v>46297.740439814814</v>
      </c>
      <c r="O72" s="15">
        <v>400</v>
      </c>
      <c r="P72" s="13" t="s">
        <v>25</v>
      </c>
      <c r="Q72" s="15">
        <v>30</v>
      </c>
      <c r="R72" s="3" t="str">
        <f>IF(OR(G72="12R",G72="12L"),_xlfn.XLOOKUP(C72,Tabla42[ADEP],Tabla42[SID 12R],""),IF(OR(G72="30L",G72="30R"),_xlfn.XLOOKUP(C72,Tabla42[ADEP],Tabla42[SID 30L],""),""))</f>
        <v>UDGUV</v>
      </c>
      <c r="S72" s="3">
        <f t="shared" si="1"/>
        <v>16</v>
      </c>
      <c r="T72" s="3" t="str">
        <f>_xlfn.XLOOKUP(C72,Tabla42[ADEP],Tabla42[Sector],"")</f>
        <v>Sector 2</v>
      </c>
    </row>
    <row r="73" spans="1:20" x14ac:dyDescent="0.2">
      <c r="A73" s="13" t="s">
        <v>373</v>
      </c>
      <c r="B73" s="13" t="s">
        <v>18</v>
      </c>
      <c r="C73" s="13" t="s">
        <v>32</v>
      </c>
      <c r="D73" s="13" t="s">
        <v>20</v>
      </c>
      <c r="E73" s="13" t="s">
        <v>57</v>
      </c>
      <c r="F73" s="14">
        <v>46297.69331018519</v>
      </c>
      <c r="G73" s="13" t="s">
        <v>21</v>
      </c>
      <c r="H73" s="13" t="s">
        <v>1379</v>
      </c>
      <c r="I73" s="15">
        <v>360</v>
      </c>
      <c r="J73" s="13" t="s">
        <v>22</v>
      </c>
      <c r="K73" s="13" t="s">
        <v>141</v>
      </c>
      <c r="L73" s="15">
        <v>883</v>
      </c>
      <c r="M73" s="13" t="s">
        <v>35</v>
      </c>
      <c r="N73" s="14">
        <v>46297.738263888888</v>
      </c>
      <c r="O73" s="15">
        <v>360</v>
      </c>
      <c r="P73" s="13" t="s">
        <v>25</v>
      </c>
      <c r="Q73" s="15">
        <v>190</v>
      </c>
      <c r="R73" s="3" t="str">
        <f>IF(OR(G73="12R",G73="12L"),_xlfn.XLOOKUP(C73,Tabla42[ADEP],Tabla42[SID 12R],""),IF(OR(G73="30L",G73="30R"),_xlfn.XLOOKUP(C73,Tabla42[ADEP],Tabla42[SID 30L],""),""))</f>
        <v>UDGUV</v>
      </c>
      <c r="S73" s="3">
        <f t="shared" si="1"/>
        <v>16</v>
      </c>
      <c r="T73" s="3" t="str">
        <f>_xlfn.XLOOKUP(C73,Tabla42[ADEP],Tabla42[Sector],"")</f>
        <v>Sector 2</v>
      </c>
    </row>
    <row r="74" spans="1:20" x14ac:dyDescent="0.2">
      <c r="A74" s="13" t="s">
        <v>232</v>
      </c>
      <c r="B74" s="13" t="s">
        <v>18</v>
      </c>
      <c r="C74" s="13" t="s">
        <v>233</v>
      </c>
      <c r="D74" s="13" t="s">
        <v>110</v>
      </c>
      <c r="E74" s="13" t="s">
        <v>652</v>
      </c>
      <c r="F74" s="14">
        <v>46297.69604166667</v>
      </c>
      <c r="G74" s="13" t="s">
        <v>21</v>
      </c>
      <c r="H74" s="13" t="s">
        <v>1380</v>
      </c>
      <c r="I74" s="15">
        <v>400</v>
      </c>
      <c r="J74" s="13" t="s">
        <v>22</v>
      </c>
      <c r="K74" s="13" t="s">
        <v>23</v>
      </c>
      <c r="L74" s="15">
        <v>756</v>
      </c>
      <c r="M74" s="13" t="s">
        <v>210</v>
      </c>
      <c r="N74" s="14">
        <v>46297.734398148154</v>
      </c>
      <c r="O74" s="15">
        <v>400</v>
      </c>
      <c r="P74" s="13" t="s">
        <v>25</v>
      </c>
      <c r="Q74" s="15">
        <v>190</v>
      </c>
      <c r="R74" s="3" t="str">
        <f>IF(OR(G74="12R",G74="12L"),_xlfn.XLOOKUP(C74,Tabla42[ADEP],Tabla42[SID 12R],""),IF(OR(G74="30L",G74="30R"),_xlfn.XLOOKUP(C74,Tabla42[ADEP],Tabla42[SID 30L],""),""))</f>
        <v>UDGUV</v>
      </c>
      <c r="S74" s="3">
        <f t="shared" si="1"/>
        <v>16</v>
      </c>
      <c r="T74" s="3" t="str">
        <f>_xlfn.XLOOKUP(C74,Tabla42[ADEP],Tabla42[Sector],"")</f>
        <v>Sector 2</v>
      </c>
    </row>
    <row r="75" spans="1:20" x14ac:dyDescent="0.2">
      <c r="A75" s="13" t="s">
        <v>523</v>
      </c>
      <c r="B75" s="13" t="s">
        <v>18</v>
      </c>
      <c r="C75" s="13" t="s">
        <v>109</v>
      </c>
      <c r="D75" s="13" t="s">
        <v>28</v>
      </c>
      <c r="E75" s="13" t="s">
        <v>785</v>
      </c>
      <c r="F75" s="14">
        <v>46297.701562499999</v>
      </c>
      <c r="G75" s="13" t="s">
        <v>21</v>
      </c>
      <c r="H75" s="13" t="s">
        <v>1381</v>
      </c>
      <c r="I75" s="15">
        <v>370</v>
      </c>
      <c r="J75" s="13" t="s">
        <v>22</v>
      </c>
      <c r="K75" s="13" t="s">
        <v>23</v>
      </c>
      <c r="L75" s="15">
        <v>177</v>
      </c>
      <c r="M75" s="13" t="s">
        <v>1382</v>
      </c>
      <c r="N75" s="14">
        <v>46297.713518518518</v>
      </c>
      <c r="O75" s="15">
        <v>296</v>
      </c>
      <c r="P75" s="13" t="s">
        <v>25</v>
      </c>
      <c r="Q75" s="15">
        <v>190</v>
      </c>
      <c r="R75" s="3" t="str">
        <f>IF(OR(G75="12R",G75="12L"),_xlfn.XLOOKUP(C75,Tabla42[ADEP],Tabla42[SID 12R],""),IF(OR(G75="30L",G75="30R"),_xlfn.XLOOKUP(C75,Tabla42[ADEP],Tabla42[SID 30L],""),""))</f>
        <v>TAKUX</v>
      </c>
      <c r="S75" s="3">
        <f t="shared" si="1"/>
        <v>16</v>
      </c>
      <c r="T75" s="3" t="str">
        <f>_xlfn.XLOOKUP(C75,Tabla42[ADEP],Tabla42[Sector],"")</f>
        <v>Sector 7</v>
      </c>
    </row>
    <row r="76" spans="1:20" x14ac:dyDescent="0.2">
      <c r="A76" s="13" t="s">
        <v>525</v>
      </c>
      <c r="B76" s="13" t="s">
        <v>18</v>
      </c>
      <c r="C76" s="13" t="s">
        <v>322</v>
      </c>
      <c r="D76" s="13" t="s">
        <v>60</v>
      </c>
      <c r="E76" s="13" t="s">
        <v>679</v>
      </c>
      <c r="F76" s="14">
        <v>46297.702824074076</v>
      </c>
      <c r="G76" s="13" t="s">
        <v>21</v>
      </c>
      <c r="H76" s="13" t="s">
        <v>1383</v>
      </c>
      <c r="I76" s="15">
        <v>380</v>
      </c>
      <c r="J76" s="13" t="s">
        <v>22</v>
      </c>
      <c r="K76" s="13" t="s">
        <v>23</v>
      </c>
      <c r="L76" s="15">
        <v>859</v>
      </c>
      <c r="M76" s="13" t="s">
        <v>45</v>
      </c>
      <c r="N76" s="14">
        <v>46297.746608796297</v>
      </c>
      <c r="O76" s="15">
        <v>380</v>
      </c>
      <c r="P76" s="13" t="s">
        <v>25</v>
      </c>
      <c r="Q76" s="15">
        <v>190</v>
      </c>
      <c r="R76" s="3" t="str">
        <f>IF(OR(G76="12R",G76="12L"),_xlfn.XLOOKUP(C76,Tabla42[ADEP],Tabla42[SID 12R],""),IF(OR(G76="30L",G76="30R"),_xlfn.XLOOKUP(C76,Tabla42[ADEP],Tabla42[SID 30L],""),""))</f>
        <v>UDGUV</v>
      </c>
      <c r="S76" s="3">
        <f t="shared" si="1"/>
        <v>16</v>
      </c>
      <c r="T76" s="3" t="str">
        <f>_xlfn.XLOOKUP(C76,Tabla42[ADEP],Tabla42[Sector],"")</f>
        <v>Sector 2</v>
      </c>
    </row>
    <row r="77" spans="1:20" x14ac:dyDescent="0.2">
      <c r="A77" s="13" t="s">
        <v>180</v>
      </c>
      <c r="B77" s="13" t="s">
        <v>18</v>
      </c>
      <c r="C77" s="13" t="s">
        <v>133</v>
      </c>
      <c r="D77" s="13" t="s">
        <v>60</v>
      </c>
      <c r="E77" s="13" t="s">
        <v>162</v>
      </c>
      <c r="F77" s="14">
        <v>46297.704097222224</v>
      </c>
      <c r="G77" s="13" t="s">
        <v>21</v>
      </c>
      <c r="H77" s="13" t="s">
        <v>1384</v>
      </c>
      <c r="I77" s="15">
        <v>350</v>
      </c>
      <c r="J77" s="13" t="s">
        <v>22</v>
      </c>
      <c r="K77" s="13" t="s">
        <v>23</v>
      </c>
      <c r="L77" s="15">
        <v>294</v>
      </c>
      <c r="M77" s="13" t="s">
        <v>961</v>
      </c>
      <c r="N77" s="14">
        <v>46297.722812499997</v>
      </c>
      <c r="O77" s="15">
        <v>319</v>
      </c>
      <c r="P77" s="13" t="s">
        <v>25</v>
      </c>
      <c r="Q77" s="15">
        <v>40</v>
      </c>
      <c r="R77" s="3" t="str">
        <f>IF(OR(G77="12R",G77="12L"),_xlfn.XLOOKUP(C77,Tabla42[ADEP],Tabla42[SID 12R],""),IF(OR(G77="30L",G77="30R"),_xlfn.XLOOKUP(C77,Tabla42[ADEP],Tabla42[SID 30L],""),""))</f>
        <v>OMSUK</v>
      </c>
      <c r="S77" s="3">
        <f t="shared" si="1"/>
        <v>16</v>
      </c>
      <c r="T77" s="3" t="str">
        <f>_xlfn.XLOOKUP(C77,Tabla42[ADEP],Tabla42[Sector],"")</f>
        <v>Sector 3</v>
      </c>
    </row>
    <row r="78" spans="1:20" x14ac:dyDescent="0.2">
      <c r="A78" s="13" t="s">
        <v>171</v>
      </c>
      <c r="B78" s="13" t="s">
        <v>18</v>
      </c>
      <c r="C78" s="13" t="s">
        <v>510</v>
      </c>
      <c r="D78" s="13" t="s">
        <v>172</v>
      </c>
      <c r="E78" s="13"/>
      <c r="F78" s="14">
        <v>46297.706180555557</v>
      </c>
      <c r="G78" s="13" t="s">
        <v>21</v>
      </c>
      <c r="H78" s="13" t="s">
        <v>1385</v>
      </c>
      <c r="I78" s="15">
        <v>60</v>
      </c>
      <c r="J78" s="13" t="s">
        <v>697</v>
      </c>
      <c r="K78" s="13" t="s">
        <v>50</v>
      </c>
      <c r="L78" s="15">
        <v>243</v>
      </c>
      <c r="M78" s="13" t="s">
        <v>510</v>
      </c>
      <c r="N78" s="14">
        <v>46297.757407407407</v>
      </c>
      <c r="O78" s="15">
        <v>0</v>
      </c>
      <c r="P78" s="13" t="s">
        <v>129</v>
      </c>
      <c r="Q78" s="15">
        <v>40</v>
      </c>
      <c r="R78" s="3" t="str">
        <f>IF(OR(G78="12R",G78="12L"),_xlfn.XLOOKUP(C78,Tabla42[ADEP],Tabla42[SID 12R],""),IF(OR(G78="30L",G78="30R"),_xlfn.XLOOKUP(C78,Tabla42[ADEP],Tabla42[SID 30L],""),""))</f>
        <v/>
      </c>
      <c r="S78" s="3">
        <f t="shared" si="1"/>
        <v>16</v>
      </c>
      <c r="T78" s="3" t="str">
        <f>_xlfn.XLOOKUP(C78,Tabla42[ADEP],Tabla42[Sector],"")</f>
        <v/>
      </c>
    </row>
    <row r="79" spans="1:20" x14ac:dyDescent="0.2">
      <c r="A79" s="13" t="s">
        <v>370</v>
      </c>
      <c r="B79" s="13" t="s">
        <v>18</v>
      </c>
      <c r="C79" s="13" t="s">
        <v>510</v>
      </c>
      <c r="D79" s="13" t="s">
        <v>372</v>
      </c>
      <c r="E79" s="13"/>
      <c r="F79" s="14">
        <v>46297.70815972222</v>
      </c>
      <c r="G79" s="13" t="s">
        <v>21</v>
      </c>
      <c r="H79" s="13" t="s">
        <v>1386</v>
      </c>
      <c r="I79" s="15">
        <v>65</v>
      </c>
      <c r="J79" s="13" t="s">
        <v>130</v>
      </c>
      <c r="K79" s="13" t="s">
        <v>50</v>
      </c>
      <c r="L79" s="15">
        <v>236</v>
      </c>
      <c r="M79" s="13" t="s">
        <v>510</v>
      </c>
      <c r="N79" s="14">
        <v>46297.745081018518</v>
      </c>
      <c r="O79" s="15">
        <v>0</v>
      </c>
      <c r="P79" s="13" t="s">
        <v>129</v>
      </c>
      <c r="Q79" s="15">
        <v>15</v>
      </c>
      <c r="R79" s="3" t="str">
        <f>IF(OR(G79="12R",G79="12L"),_xlfn.XLOOKUP(C79,Tabla42[ADEP],Tabla42[SID 12R],""),IF(OR(G79="30L",G79="30R"),_xlfn.XLOOKUP(C79,Tabla42[ADEP],Tabla42[SID 30L],""),""))</f>
        <v/>
      </c>
      <c r="S79" s="3">
        <f t="shared" si="1"/>
        <v>16</v>
      </c>
      <c r="T79" s="3" t="str">
        <f>_xlfn.XLOOKUP(C79,Tabla42[ADEP],Tabla42[Sector],"")</f>
        <v/>
      </c>
    </row>
    <row r="80" spans="1:20" x14ac:dyDescent="0.2">
      <c r="A80" s="13" t="s">
        <v>177</v>
      </c>
      <c r="B80" s="13" t="s">
        <v>18</v>
      </c>
      <c r="C80" s="13" t="s">
        <v>109</v>
      </c>
      <c r="D80" s="13" t="s">
        <v>122</v>
      </c>
      <c r="E80" s="13" t="s">
        <v>834</v>
      </c>
      <c r="F80" s="14">
        <v>46297.709560185191</v>
      </c>
      <c r="G80" s="13" t="s">
        <v>21</v>
      </c>
      <c r="H80" s="13" t="s">
        <v>1387</v>
      </c>
      <c r="I80" s="15">
        <v>370</v>
      </c>
      <c r="J80" s="13" t="s">
        <v>22</v>
      </c>
      <c r="K80" s="13" t="s">
        <v>23</v>
      </c>
      <c r="L80" s="15">
        <v>146</v>
      </c>
      <c r="M80" s="13" t="s">
        <v>486</v>
      </c>
      <c r="N80" s="14">
        <v>46297.719641203701</v>
      </c>
      <c r="O80" s="15">
        <v>286</v>
      </c>
      <c r="P80" s="13" t="s">
        <v>25</v>
      </c>
      <c r="Q80" s="15">
        <v>190</v>
      </c>
      <c r="R80" s="3" t="str">
        <f>IF(OR(G80="12R",G80="12L"),_xlfn.XLOOKUP(C80,Tabla42[ADEP],Tabla42[SID 12R],""),IF(OR(G80="30L",G80="30R"),_xlfn.XLOOKUP(C80,Tabla42[ADEP],Tabla42[SID 30L],""),""))</f>
        <v>TAKUX</v>
      </c>
      <c r="S80" s="3">
        <f t="shared" si="1"/>
        <v>17</v>
      </c>
      <c r="T80" s="3" t="str">
        <f>_xlfn.XLOOKUP(C80,Tabla42[ADEP],Tabla42[Sector],"")</f>
        <v>Sector 7</v>
      </c>
    </row>
    <row r="81" spans="1:20" x14ac:dyDescent="0.2">
      <c r="A81" s="13" t="s">
        <v>181</v>
      </c>
      <c r="B81" s="13" t="s">
        <v>18</v>
      </c>
      <c r="C81" s="13" t="s">
        <v>42</v>
      </c>
      <c r="D81" s="13" t="s">
        <v>43</v>
      </c>
      <c r="E81" s="13" t="s">
        <v>496</v>
      </c>
      <c r="F81" s="14">
        <v>46297.713518518518</v>
      </c>
      <c r="G81" s="13" t="s">
        <v>21</v>
      </c>
      <c r="H81" s="13" t="s">
        <v>1388</v>
      </c>
      <c r="I81" s="15">
        <v>360</v>
      </c>
      <c r="J81" s="13" t="s">
        <v>22</v>
      </c>
      <c r="K81" s="13" t="s">
        <v>23</v>
      </c>
      <c r="L81" s="15">
        <v>858</v>
      </c>
      <c r="M81" s="13" t="s">
        <v>45</v>
      </c>
      <c r="N81" s="14">
        <v>46297.756898148145</v>
      </c>
      <c r="O81" s="15">
        <v>360</v>
      </c>
      <c r="P81" s="13" t="s">
        <v>25</v>
      </c>
      <c r="Q81" s="15">
        <v>190</v>
      </c>
      <c r="R81" s="3" t="str">
        <f>IF(OR(G81="12R",G81="12L"),_xlfn.XLOOKUP(C81,Tabla42[ADEP],Tabla42[SID 12R],""),IF(OR(G81="30L",G81="30R"),_xlfn.XLOOKUP(C81,Tabla42[ADEP],Tabla42[SID 30L],""),""))</f>
        <v>UDGUV</v>
      </c>
      <c r="S81" s="3">
        <f t="shared" si="1"/>
        <v>17</v>
      </c>
      <c r="T81" s="3" t="str">
        <f>_xlfn.XLOOKUP(C81,Tabla42[ADEP],Tabla42[Sector],"")</f>
        <v>Sector 2</v>
      </c>
    </row>
    <row r="82" spans="1:20" x14ac:dyDescent="0.2">
      <c r="A82" s="13" t="s">
        <v>187</v>
      </c>
      <c r="B82" s="13" t="s">
        <v>18</v>
      </c>
      <c r="C82" s="13" t="s">
        <v>188</v>
      </c>
      <c r="D82" s="13" t="s">
        <v>117</v>
      </c>
      <c r="E82" s="13" t="s">
        <v>1065</v>
      </c>
      <c r="F82" s="14">
        <v>46297.7184375</v>
      </c>
      <c r="G82" s="13" t="s">
        <v>21</v>
      </c>
      <c r="H82" s="13" t="s">
        <v>1389</v>
      </c>
      <c r="I82" s="15">
        <v>300</v>
      </c>
      <c r="J82" s="13" t="s">
        <v>22</v>
      </c>
      <c r="K82" s="13" t="s">
        <v>23</v>
      </c>
      <c r="L82" s="15">
        <v>452</v>
      </c>
      <c r="M82" s="13" t="s">
        <v>189</v>
      </c>
      <c r="N82" s="14">
        <v>46297.743009259255</v>
      </c>
      <c r="O82" s="15">
        <v>300</v>
      </c>
      <c r="P82" s="13" t="s">
        <v>25</v>
      </c>
      <c r="Q82" s="15">
        <v>40</v>
      </c>
      <c r="R82" s="3" t="str">
        <f>IF(OR(G82="12R",G82="12L"),_xlfn.XLOOKUP(C82,Tabla42[ADEP],Tabla42[SID 12R],""),IF(OR(G82="30L",G82="30R"),_xlfn.XLOOKUP(C82,Tabla42[ADEP],Tabla42[SID 30L],""),""))</f>
        <v>ENEBA</v>
      </c>
      <c r="S82" s="3">
        <f t="shared" si="1"/>
        <v>17</v>
      </c>
      <c r="T82" s="3" t="str">
        <f>_xlfn.XLOOKUP(C82,Tabla42[ADEP],Tabla42[Sector],"")</f>
        <v>Sector 3</v>
      </c>
    </row>
    <row r="83" spans="1:20" x14ac:dyDescent="0.2">
      <c r="A83" s="13" t="s">
        <v>378</v>
      </c>
      <c r="B83" s="13" t="s">
        <v>18</v>
      </c>
      <c r="C83" s="13" t="s">
        <v>62</v>
      </c>
      <c r="D83" s="13" t="s">
        <v>53</v>
      </c>
      <c r="E83" s="13" t="s">
        <v>325</v>
      </c>
      <c r="F83" s="14">
        <v>46297.721770833334</v>
      </c>
      <c r="G83" s="13" t="s">
        <v>21</v>
      </c>
      <c r="H83" s="13" t="s">
        <v>1390</v>
      </c>
      <c r="I83" s="15">
        <v>380</v>
      </c>
      <c r="J83" s="13" t="s">
        <v>22</v>
      </c>
      <c r="K83" s="13" t="s">
        <v>23</v>
      </c>
      <c r="L83" s="15">
        <v>867</v>
      </c>
      <c r="M83" s="13" t="s">
        <v>167</v>
      </c>
      <c r="N83" s="14">
        <v>46297.765844907408</v>
      </c>
      <c r="O83" s="15">
        <v>380</v>
      </c>
      <c r="P83" s="13" t="s">
        <v>25</v>
      </c>
      <c r="Q83" s="15">
        <v>190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13" t="s">
        <v>186</v>
      </c>
      <c r="B84" s="13" t="s">
        <v>18</v>
      </c>
      <c r="C84" s="13" t="s">
        <v>121</v>
      </c>
      <c r="D84" s="13" t="s">
        <v>60</v>
      </c>
      <c r="E84" s="13" t="s">
        <v>1391</v>
      </c>
      <c r="F84" s="14">
        <v>46297.724803240737</v>
      </c>
      <c r="G84" s="13" t="s">
        <v>21</v>
      </c>
      <c r="H84" s="13" t="s">
        <v>1392</v>
      </c>
      <c r="I84" s="15">
        <v>360</v>
      </c>
      <c r="J84" s="13" t="s">
        <v>22</v>
      </c>
      <c r="K84" s="13" t="s">
        <v>23</v>
      </c>
      <c r="L84" s="15">
        <v>403</v>
      </c>
      <c r="M84" s="13" t="s">
        <v>1393</v>
      </c>
      <c r="N84" s="14">
        <v>46297.746539351851</v>
      </c>
      <c r="O84" s="15">
        <v>342</v>
      </c>
      <c r="P84" s="13" t="s">
        <v>25</v>
      </c>
      <c r="Q84" s="15">
        <v>40</v>
      </c>
      <c r="R84" s="3" t="str">
        <f>IF(OR(G84="12R",G84="12L"),_xlfn.XLOOKUP(C84,Tabla42[ADEP],Tabla42[SID 12R],""),IF(OR(G84="30L",G84="30R"),_xlfn.XLOOKUP(C84,Tabla42[ADEP],Tabla42[SID 30L],""),""))</f>
        <v>ENEBA</v>
      </c>
      <c r="S84" s="3">
        <f t="shared" si="1"/>
        <v>17</v>
      </c>
      <c r="T84" s="3" t="str">
        <f>_xlfn.XLOOKUP(C84,Tabla42[ADEP],Tabla42[Sector],"")</f>
        <v>Sector 3</v>
      </c>
    </row>
    <row r="85" spans="1:20" x14ac:dyDescent="0.2">
      <c r="A85" s="13" t="s">
        <v>183</v>
      </c>
      <c r="B85" s="13" t="s">
        <v>18</v>
      </c>
      <c r="C85" s="13" t="s">
        <v>184</v>
      </c>
      <c r="D85" s="13" t="s">
        <v>60</v>
      </c>
      <c r="E85" s="13" t="s">
        <v>1394</v>
      </c>
      <c r="F85" s="14">
        <v>46297.726006944446</v>
      </c>
      <c r="G85" s="13" t="s">
        <v>21</v>
      </c>
      <c r="H85" s="13" t="s">
        <v>1395</v>
      </c>
      <c r="I85" s="15">
        <v>350</v>
      </c>
      <c r="J85" s="13" t="s">
        <v>22</v>
      </c>
      <c r="K85" s="13" t="s">
        <v>23</v>
      </c>
      <c r="L85" s="15">
        <v>136</v>
      </c>
      <c r="M85" s="13" t="s">
        <v>1396</v>
      </c>
      <c r="N85" s="14">
        <v>46297.735509259262</v>
      </c>
      <c r="O85" s="15">
        <v>245</v>
      </c>
      <c r="P85" s="13" t="s">
        <v>25</v>
      </c>
      <c r="Q85" s="15">
        <v>190</v>
      </c>
      <c r="R85" s="3" t="str">
        <f>IF(OR(G85="12R",G85="12L"),_xlfn.XLOOKUP(C85,Tabla42[ADEP],Tabla42[SID 12R],""),IF(OR(G85="30L",G85="30R"),_xlfn.XLOOKUP(C85,Tabla42[ADEP],Tabla42[SID 30L],""),""))</f>
        <v>OMSUK</v>
      </c>
      <c r="S85" s="3">
        <f t="shared" si="1"/>
        <v>17</v>
      </c>
      <c r="T85" s="3" t="str">
        <f>_xlfn.XLOOKUP(C85,Tabla42[ADEP],Tabla42[Sector],"")</f>
        <v>Sector 3</v>
      </c>
    </row>
    <row r="86" spans="1:20" x14ac:dyDescent="0.2">
      <c r="A86" s="13" t="s">
        <v>432</v>
      </c>
      <c r="B86" s="13" t="s">
        <v>18</v>
      </c>
      <c r="C86" s="13" t="s">
        <v>233</v>
      </c>
      <c r="D86" s="13" t="s">
        <v>122</v>
      </c>
      <c r="E86" s="13" t="s">
        <v>1397</v>
      </c>
      <c r="F86" s="14">
        <v>46297.727187500001</v>
      </c>
      <c r="G86" s="13" t="s">
        <v>21</v>
      </c>
      <c r="H86" s="13" t="s">
        <v>1398</v>
      </c>
      <c r="I86" s="15">
        <v>400</v>
      </c>
      <c r="J86" s="13" t="s">
        <v>22</v>
      </c>
      <c r="K86" s="13" t="s">
        <v>23</v>
      </c>
      <c r="L86" s="15">
        <v>869</v>
      </c>
      <c r="M86" s="13" t="s">
        <v>1399</v>
      </c>
      <c r="N86" s="14">
        <v>46297.770636574074</v>
      </c>
      <c r="O86" s="15">
        <v>400</v>
      </c>
      <c r="P86" s="13" t="s">
        <v>25</v>
      </c>
      <c r="Q86" s="15">
        <v>190</v>
      </c>
      <c r="R86" s="3" t="str">
        <f>IF(OR(G86="12R",G86="12L"),_xlfn.XLOOKUP(C86,Tabla42[ADEP],Tabla42[SID 12R],""),IF(OR(G86="30L",G86="30R"),_xlfn.XLOOKUP(C86,Tabla42[ADEP],Tabla42[SID 30L],""),""))</f>
        <v>UDGUV</v>
      </c>
      <c r="S86" s="3">
        <f t="shared" si="1"/>
        <v>17</v>
      </c>
      <c r="T86" s="3" t="str">
        <f>_xlfn.XLOOKUP(C86,Tabla42[ADEP],Tabla42[Sector],"")</f>
        <v>Sector 2</v>
      </c>
    </row>
    <row r="87" spans="1:20" x14ac:dyDescent="0.2">
      <c r="A87" s="13" t="s">
        <v>192</v>
      </c>
      <c r="B87" s="13" t="s">
        <v>18</v>
      </c>
      <c r="C87" s="13" t="s">
        <v>193</v>
      </c>
      <c r="D87" s="13" t="s">
        <v>60</v>
      </c>
      <c r="E87" s="13" t="s">
        <v>758</v>
      </c>
      <c r="F87" s="14">
        <v>46297.730972222227</v>
      </c>
      <c r="G87" s="13" t="s">
        <v>21</v>
      </c>
      <c r="H87" s="13" t="s">
        <v>1400</v>
      </c>
      <c r="I87" s="15">
        <v>330</v>
      </c>
      <c r="J87" s="13" t="s">
        <v>22</v>
      </c>
      <c r="K87" s="13" t="s">
        <v>23</v>
      </c>
      <c r="L87" s="15">
        <v>136</v>
      </c>
      <c r="M87" s="13" t="s">
        <v>39</v>
      </c>
      <c r="N87" s="14">
        <v>46297.741064814814</v>
      </c>
      <c r="O87" s="15">
        <v>193</v>
      </c>
      <c r="P87" s="13" t="s">
        <v>25</v>
      </c>
      <c r="Q87" s="15">
        <v>190</v>
      </c>
      <c r="R87" s="3" t="str">
        <f>IF(OR(G87="12R",G87="12L"),_xlfn.XLOOKUP(C87,Tabla42[ADEP],Tabla42[SID 12R],""),IF(OR(G87="30L",G87="30R"),_xlfn.XLOOKUP(C87,Tabla42[ADEP],Tabla42[SID 30L],""),""))</f>
        <v>ENEBA</v>
      </c>
      <c r="S87" s="3">
        <f t="shared" si="1"/>
        <v>17</v>
      </c>
      <c r="T87" s="3" t="str">
        <f>_xlfn.XLOOKUP(C87,Tabla42[ADEP],Tabla42[Sector],"")</f>
        <v>Sector 3</v>
      </c>
    </row>
    <row r="88" spans="1:20" x14ac:dyDescent="0.2">
      <c r="A88" s="13" t="s">
        <v>203</v>
      </c>
      <c r="B88" s="13" t="s">
        <v>18</v>
      </c>
      <c r="C88" s="13" t="s">
        <v>204</v>
      </c>
      <c r="D88" s="13" t="s">
        <v>53</v>
      </c>
      <c r="E88" s="13" t="s">
        <v>1069</v>
      </c>
      <c r="F88" s="14">
        <v>46297.736400462964</v>
      </c>
      <c r="G88" s="13" t="s">
        <v>21</v>
      </c>
      <c r="H88" s="13" t="s">
        <v>1401</v>
      </c>
      <c r="I88" s="15">
        <v>350</v>
      </c>
      <c r="J88" s="13" t="s">
        <v>22</v>
      </c>
      <c r="K88" s="13" t="s">
        <v>23</v>
      </c>
      <c r="L88" s="15">
        <v>161</v>
      </c>
      <c r="M88" s="13" t="s">
        <v>1402</v>
      </c>
      <c r="N88" s="14">
        <v>46297.747858796298</v>
      </c>
      <c r="O88" s="15">
        <v>311</v>
      </c>
      <c r="P88" s="13" t="s">
        <v>25</v>
      </c>
      <c r="Q88" s="15">
        <v>190</v>
      </c>
      <c r="R88" s="3" t="str">
        <f>IF(OR(G88="12R",G88="12L"),_xlfn.XLOOKUP(C88,Tabla42[ADEP],Tabla42[SID 12R],""),IF(OR(G88="30L",G88="30R"),_xlfn.XLOOKUP(C88,Tabla42[ADEP],Tabla42[SID 30L],""),""))</f>
        <v>TAKUX</v>
      </c>
      <c r="S88" s="3">
        <f t="shared" si="1"/>
        <v>17</v>
      </c>
      <c r="T88" s="3" t="str">
        <f>_xlfn.XLOOKUP(C88,Tabla42[ADEP],Tabla42[Sector],"")</f>
        <v>Sector 7</v>
      </c>
    </row>
    <row r="89" spans="1:20" x14ac:dyDescent="0.2">
      <c r="A89" s="13" t="s">
        <v>284</v>
      </c>
      <c r="B89" s="13" t="s">
        <v>18</v>
      </c>
      <c r="C89" s="13" t="s">
        <v>137</v>
      </c>
      <c r="D89" s="13" t="s">
        <v>60</v>
      </c>
      <c r="E89" s="13" t="s">
        <v>613</v>
      </c>
      <c r="F89" s="14">
        <v>46297.737638888888</v>
      </c>
      <c r="G89" s="13" t="s">
        <v>21</v>
      </c>
      <c r="H89" s="13" t="s">
        <v>386</v>
      </c>
      <c r="I89" s="15">
        <v>370</v>
      </c>
      <c r="J89" s="13" t="s">
        <v>22</v>
      </c>
      <c r="K89" s="13" t="s">
        <v>23</v>
      </c>
      <c r="L89" s="15">
        <v>136</v>
      </c>
      <c r="M89" s="13" t="s">
        <v>39</v>
      </c>
      <c r="N89" s="14">
        <v>46297.74728009259</v>
      </c>
      <c r="O89" s="15">
        <v>252</v>
      </c>
      <c r="P89" s="13" t="s">
        <v>25</v>
      </c>
      <c r="Q89" s="15">
        <v>190</v>
      </c>
      <c r="R89" s="3" t="str">
        <f>IF(OR(G89="12R",G89="12L"),_xlfn.XLOOKUP(C89,Tabla42[ADEP],Tabla42[SID 12R],""),IF(OR(G89="30L",G89="30R"),_xlfn.XLOOKUP(C89,Tabla42[ADEP],Tabla42[SID 30L],""),""))</f>
        <v>NUDAL</v>
      </c>
      <c r="S89" s="3">
        <f t="shared" si="1"/>
        <v>17</v>
      </c>
      <c r="T89" s="3" t="str">
        <f>_xlfn.XLOOKUP(C89,Tabla42[ADEP],Tabla42[Sector],"")</f>
        <v>Sector 3</v>
      </c>
    </row>
    <row r="90" spans="1:20" x14ac:dyDescent="0.2">
      <c r="A90" s="13" t="s">
        <v>244</v>
      </c>
      <c r="B90" s="13" t="s">
        <v>18</v>
      </c>
      <c r="C90" s="13" t="s">
        <v>126</v>
      </c>
      <c r="D90" s="13" t="s">
        <v>60</v>
      </c>
      <c r="E90" s="13" t="s">
        <v>966</v>
      </c>
      <c r="F90" s="14">
        <v>46297.740983796291</v>
      </c>
      <c r="G90" s="13" t="s">
        <v>21</v>
      </c>
      <c r="H90" s="13" t="s">
        <v>1403</v>
      </c>
      <c r="I90" s="15">
        <v>350</v>
      </c>
      <c r="J90" s="13" t="s">
        <v>22</v>
      </c>
      <c r="K90" s="13" t="s">
        <v>23</v>
      </c>
      <c r="L90" s="15">
        <v>136</v>
      </c>
      <c r="M90" s="13" t="s">
        <v>39</v>
      </c>
      <c r="N90" s="14">
        <v>46297.750613425931</v>
      </c>
      <c r="O90" s="15">
        <v>227</v>
      </c>
      <c r="P90" s="13" t="s">
        <v>25</v>
      </c>
      <c r="Q90" s="15">
        <v>190</v>
      </c>
      <c r="R90" s="3" t="str">
        <f>IF(OR(G90="12R",G90="12L"),_xlfn.XLOOKUP(C90,Tabla42[ADEP],Tabla42[SID 12R],""),IF(OR(G90="30L",G90="30R"),_xlfn.XLOOKUP(C90,Tabla42[ADEP],Tabla42[SID 30L],""),""))</f>
        <v>ENEBA</v>
      </c>
      <c r="S90" s="3">
        <f t="shared" si="1"/>
        <v>17</v>
      </c>
      <c r="T90" s="3" t="str">
        <f>_xlfn.XLOOKUP(C90,Tabla42[ADEP],Tabla42[Sector],"")</f>
        <v>Sector 3</v>
      </c>
    </row>
    <row r="91" spans="1:20" x14ac:dyDescent="0.2">
      <c r="A91" s="13" t="s">
        <v>214</v>
      </c>
      <c r="B91" s="13" t="s">
        <v>18</v>
      </c>
      <c r="C91" s="13" t="s">
        <v>215</v>
      </c>
      <c r="D91" s="13" t="s">
        <v>60</v>
      </c>
      <c r="E91" s="13" t="s">
        <v>659</v>
      </c>
      <c r="F91" s="14">
        <v>46297.744988425926</v>
      </c>
      <c r="G91" s="13" t="s">
        <v>21</v>
      </c>
      <c r="H91" s="13" t="s">
        <v>1404</v>
      </c>
      <c r="I91" s="15">
        <v>350</v>
      </c>
      <c r="J91" s="13" t="s">
        <v>22</v>
      </c>
      <c r="K91" s="13" t="s">
        <v>23</v>
      </c>
      <c r="L91" s="15">
        <v>364</v>
      </c>
      <c r="M91" s="13" t="s">
        <v>1405</v>
      </c>
      <c r="N91" s="14">
        <v>46297.766388888893</v>
      </c>
      <c r="O91" s="15">
        <v>323</v>
      </c>
      <c r="P91" s="13" t="s">
        <v>25</v>
      </c>
      <c r="Q91" s="15">
        <v>40</v>
      </c>
      <c r="R91" s="3" t="str">
        <f>IF(OR(G91="12R",G91="12L"),_xlfn.XLOOKUP(C91,Tabla42[ADEP],Tabla42[SID 12R],""),IF(OR(G91="30L",G91="30R"),_xlfn.XLOOKUP(C91,Tabla42[ADEP],Tabla42[SID 30L],""),""))</f>
        <v>OMSUK</v>
      </c>
      <c r="S91" s="3">
        <f t="shared" si="1"/>
        <v>17</v>
      </c>
      <c r="T91" s="3" t="str">
        <f>_xlfn.XLOOKUP(C91,Tabla42[ADEP],Tabla42[Sector],"")</f>
        <v>Sector 3</v>
      </c>
    </row>
    <row r="92" spans="1:20" x14ac:dyDescent="0.2">
      <c r="A92" s="13" t="s">
        <v>205</v>
      </c>
      <c r="B92" s="13" t="s">
        <v>18</v>
      </c>
      <c r="C92" s="13" t="s">
        <v>206</v>
      </c>
      <c r="D92" s="13" t="s">
        <v>20</v>
      </c>
      <c r="E92" s="13" t="s">
        <v>169</v>
      </c>
      <c r="F92" s="14">
        <v>46297.74800925926</v>
      </c>
      <c r="G92" s="13" t="s">
        <v>21</v>
      </c>
      <c r="H92" s="13" t="s">
        <v>721</v>
      </c>
      <c r="I92" s="15">
        <v>360</v>
      </c>
      <c r="J92" s="13" t="s">
        <v>22</v>
      </c>
      <c r="K92" s="13" t="s">
        <v>23</v>
      </c>
      <c r="L92" s="15">
        <v>859</v>
      </c>
      <c r="M92" s="13" t="s">
        <v>45</v>
      </c>
      <c r="N92" s="14">
        <v>46297.791655092587</v>
      </c>
      <c r="O92" s="15">
        <v>360</v>
      </c>
      <c r="P92" s="13" t="s">
        <v>25</v>
      </c>
      <c r="Q92" s="15">
        <v>190</v>
      </c>
      <c r="R92" s="3" t="str">
        <f>IF(OR(G92="12R",G92="12L"),_xlfn.XLOOKUP(C92,Tabla42[ADEP],Tabla42[SID 12R],""),IF(OR(G92="30L",G92="30R"),_xlfn.XLOOKUP(C92,Tabla42[ADEP],Tabla42[SID 30L],""),""))</f>
        <v>UDGUV</v>
      </c>
      <c r="S92" s="3">
        <f t="shared" si="1"/>
        <v>17</v>
      </c>
      <c r="T92" s="3" t="str">
        <f>_xlfn.XLOOKUP(C92,Tabla42[ADEP],Tabla42[Sector],"")</f>
        <v>Sector 2</v>
      </c>
    </row>
    <row r="93" spans="1:20" x14ac:dyDescent="0.2">
      <c r="A93" s="13" t="s">
        <v>221</v>
      </c>
      <c r="B93" s="13" t="s">
        <v>18</v>
      </c>
      <c r="C93" s="13" t="s">
        <v>42</v>
      </c>
      <c r="D93" s="13" t="s">
        <v>43</v>
      </c>
      <c r="E93" s="13" t="s">
        <v>182</v>
      </c>
      <c r="F93" s="14">
        <v>46297.750069444446</v>
      </c>
      <c r="G93" s="13" t="s">
        <v>21</v>
      </c>
      <c r="H93" s="13" t="s">
        <v>1406</v>
      </c>
      <c r="I93" s="15">
        <v>380</v>
      </c>
      <c r="J93" s="13" t="s">
        <v>22</v>
      </c>
      <c r="K93" s="13" t="s">
        <v>23</v>
      </c>
      <c r="L93" s="15">
        <v>859</v>
      </c>
      <c r="M93" s="13" t="s">
        <v>45</v>
      </c>
      <c r="N93" s="14">
        <v>46297.794004629628</v>
      </c>
      <c r="O93" s="15">
        <v>380</v>
      </c>
      <c r="P93" s="13" t="s">
        <v>25</v>
      </c>
      <c r="Q93" s="15">
        <v>190</v>
      </c>
      <c r="R93" s="3" t="str">
        <f>IF(OR(G93="12R",G93="12L"),_xlfn.XLOOKUP(C93,Tabla42[ADEP],Tabla42[SID 12R],""),IF(OR(G93="30L",G93="30R"),_xlfn.XLOOKUP(C93,Tabla42[ADEP],Tabla42[SID 30L],""),""))</f>
        <v>UDGUV</v>
      </c>
      <c r="S93" s="3">
        <f t="shared" si="1"/>
        <v>18</v>
      </c>
      <c r="T93" s="3" t="str">
        <f>_xlfn.XLOOKUP(C93,Tabla42[ADEP],Tabla42[Sector],"")</f>
        <v>Sector 2</v>
      </c>
    </row>
    <row r="94" spans="1:20" x14ac:dyDescent="0.2">
      <c r="A94" s="13" t="s">
        <v>437</v>
      </c>
      <c r="B94" s="13" t="s">
        <v>18</v>
      </c>
      <c r="C94" s="13" t="s">
        <v>438</v>
      </c>
      <c r="D94" s="13" t="s">
        <v>33</v>
      </c>
      <c r="E94" s="13" t="s">
        <v>260</v>
      </c>
      <c r="F94" s="14">
        <v>46297.751655092594</v>
      </c>
      <c r="G94" s="13" t="s">
        <v>21</v>
      </c>
      <c r="H94" s="13" t="s">
        <v>1407</v>
      </c>
      <c r="I94" s="15">
        <v>380</v>
      </c>
      <c r="J94" s="13" t="s">
        <v>22</v>
      </c>
      <c r="K94" s="13" t="s">
        <v>23</v>
      </c>
      <c r="L94" s="15">
        <v>997</v>
      </c>
      <c r="M94" s="13" t="s">
        <v>439</v>
      </c>
      <c r="N94" s="14">
        <v>46297.805069444439</v>
      </c>
      <c r="O94" s="15">
        <v>230</v>
      </c>
      <c r="P94" s="13" t="s">
        <v>25</v>
      </c>
      <c r="Q94" s="15">
        <v>190</v>
      </c>
      <c r="R94" s="3" t="str">
        <f>IF(OR(G94="12R",G94="12L"),_xlfn.XLOOKUP(C94,Tabla42[ADEP],Tabla42[SID 12R],""),IF(OR(G94="30L",G94="30R"),_xlfn.XLOOKUP(C94,Tabla42[ADEP],Tabla42[SID 30L],""),""))</f>
        <v>UDGUV</v>
      </c>
      <c r="S94" s="3">
        <f t="shared" si="1"/>
        <v>18</v>
      </c>
      <c r="T94" s="3" t="str">
        <f>_xlfn.XLOOKUP(C94,Tabla42[ADEP],Tabla42[Sector],"")</f>
        <v>Sector 2</v>
      </c>
    </row>
    <row r="95" spans="1:20" x14ac:dyDescent="0.2">
      <c r="A95" s="13" t="s">
        <v>524</v>
      </c>
      <c r="B95" s="13" t="s">
        <v>18</v>
      </c>
      <c r="C95" s="13" t="s">
        <v>19</v>
      </c>
      <c r="D95" s="13" t="s">
        <v>33</v>
      </c>
      <c r="E95" s="13" t="s">
        <v>494</v>
      </c>
      <c r="F95" s="14">
        <v>46297.75273148148</v>
      </c>
      <c r="G95" s="13" t="s">
        <v>21</v>
      </c>
      <c r="H95" s="13" t="s">
        <v>1408</v>
      </c>
      <c r="I95" s="15">
        <v>360</v>
      </c>
      <c r="J95" s="13" t="s">
        <v>22</v>
      </c>
      <c r="K95" s="13" t="s">
        <v>141</v>
      </c>
      <c r="L95" s="15">
        <v>867</v>
      </c>
      <c r="M95" s="13" t="s">
        <v>77</v>
      </c>
      <c r="N95" s="14">
        <v>46297.796620370369</v>
      </c>
      <c r="O95" s="15">
        <v>360</v>
      </c>
      <c r="P95" s="13" t="s">
        <v>25</v>
      </c>
      <c r="Q95" s="15">
        <v>190</v>
      </c>
      <c r="R95" s="3" t="str">
        <f>IF(OR(G95="12R",G95="12L"),_xlfn.XLOOKUP(C95,Tabla42[ADEP],Tabla42[SID 12R],""),IF(OR(G95="30L",G95="30R"),_xlfn.XLOOKUP(C95,Tabla42[ADEP],Tabla42[SID 30L],""),""))</f>
        <v>UDGUV</v>
      </c>
      <c r="S95" s="3">
        <f t="shared" si="1"/>
        <v>18</v>
      </c>
      <c r="T95" s="3" t="str">
        <f>_xlfn.XLOOKUP(C95,Tabla42[ADEP],Tabla42[Sector],"")</f>
        <v>Sector 2</v>
      </c>
    </row>
    <row r="96" spans="1:20" x14ac:dyDescent="0.2">
      <c r="A96" s="13" t="s">
        <v>218</v>
      </c>
      <c r="B96" s="13" t="s">
        <v>18</v>
      </c>
      <c r="C96" s="13" t="s">
        <v>219</v>
      </c>
      <c r="D96" s="13" t="s">
        <v>43</v>
      </c>
      <c r="E96" s="13" t="s">
        <v>767</v>
      </c>
      <c r="F96" s="14">
        <v>46297.757152777776</v>
      </c>
      <c r="G96" s="13" t="s">
        <v>21</v>
      </c>
      <c r="H96" s="13" t="s">
        <v>1409</v>
      </c>
      <c r="I96" s="15">
        <v>300</v>
      </c>
      <c r="J96" s="13" t="s">
        <v>22</v>
      </c>
      <c r="K96" s="13" t="s">
        <v>23</v>
      </c>
      <c r="L96" s="15">
        <v>534</v>
      </c>
      <c r="M96" s="13" t="s">
        <v>123</v>
      </c>
      <c r="N96" s="14">
        <v>46297.785648148143</v>
      </c>
      <c r="O96" s="15">
        <v>300</v>
      </c>
      <c r="P96" s="13" t="s">
        <v>25</v>
      </c>
      <c r="Q96" s="15">
        <v>40</v>
      </c>
      <c r="R96" s="3" t="str">
        <f>IF(OR(G96="12R",G96="12L"),_xlfn.XLOOKUP(C96,Tabla42[ADEP],Tabla42[SID 12R],""),IF(OR(G96="30L",G96="30R"),_xlfn.XLOOKUP(C96,Tabla42[ADEP],Tabla42[SID 30L],""),""))</f>
        <v>UDGUV</v>
      </c>
      <c r="S96" s="3">
        <f t="shared" si="1"/>
        <v>18</v>
      </c>
      <c r="T96" s="3" t="str">
        <f>_xlfn.XLOOKUP(C96,Tabla42[ADEP],Tabla42[Sector],"")</f>
        <v>Sector 2</v>
      </c>
    </row>
    <row r="97" spans="1:20" x14ac:dyDescent="0.2">
      <c r="A97" s="13" t="s">
        <v>217</v>
      </c>
      <c r="B97" s="13" t="s">
        <v>18</v>
      </c>
      <c r="C97" s="13" t="s">
        <v>158</v>
      </c>
      <c r="D97" s="13" t="s">
        <v>20</v>
      </c>
      <c r="E97" s="13" t="s">
        <v>976</v>
      </c>
      <c r="F97" s="14">
        <v>46297.762476851851</v>
      </c>
      <c r="G97" s="13" t="s">
        <v>21</v>
      </c>
      <c r="H97" s="13" t="s">
        <v>1410</v>
      </c>
      <c r="I97" s="15">
        <v>350</v>
      </c>
      <c r="J97" s="13" t="s">
        <v>22</v>
      </c>
      <c r="K97" s="13" t="s">
        <v>23</v>
      </c>
      <c r="L97" s="15">
        <v>136</v>
      </c>
      <c r="M97" s="13" t="s">
        <v>39</v>
      </c>
      <c r="N97" s="14">
        <v>46297.771770833337</v>
      </c>
      <c r="O97" s="15">
        <v>205</v>
      </c>
      <c r="P97" s="13" t="s">
        <v>25</v>
      </c>
      <c r="Q97" s="15">
        <v>190</v>
      </c>
      <c r="R97" s="3" t="str">
        <f>IF(OR(G97="12R",G97="12L"),_xlfn.XLOOKUP(C97,Tabla42[ADEP],Tabla42[SID 12R],""),IF(OR(G97="30L",G97="30R"),_xlfn.XLOOKUP(C97,Tabla42[ADEP],Tabla42[SID 30L],""),""))</f>
        <v>OMSUK</v>
      </c>
      <c r="S97" s="3">
        <f t="shared" si="1"/>
        <v>18</v>
      </c>
      <c r="T97" s="3" t="str">
        <f>_xlfn.XLOOKUP(C97,Tabla42[ADEP],Tabla42[Sector],"")</f>
        <v>Sector 3</v>
      </c>
    </row>
    <row r="98" spans="1:20" x14ac:dyDescent="0.2">
      <c r="A98" s="13" t="s">
        <v>178</v>
      </c>
      <c r="B98" s="13" t="s">
        <v>18</v>
      </c>
      <c r="C98" s="13" t="s">
        <v>179</v>
      </c>
      <c r="D98" s="13" t="s">
        <v>53</v>
      </c>
      <c r="E98" s="13" t="s">
        <v>207</v>
      </c>
      <c r="F98" s="14">
        <v>46297.763518518521</v>
      </c>
      <c r="G98" s="13" t="s">
        <v>21</v>
      </c>
      <c r="H98" s="13" t="s">
        <v>1411</v>
      </c>
      <c r="I98" s="15">
        <v>380</v>
      </c>
      <c r="J98" s="13" t="s">
        <v>22</v>
      </c>
      <c r="K98" s="13" t="s">
        <v>23</v>
      </c>
      <c r="L98" s="15">
        <v>838</v>
      </c>
      <c r="M98" s="13" t="s">
        <v>179</v>
      </c>
      <c r="N98" s="14">
        <v>46297.811157407406</v>
      </c>
      <c r="O98" s="15">
        <v>15</v>
      </c>
      <c r="P98" s="13" t="s">
        <v>25</v>
      </c>
      <c r="Q98" s="15">
        <v>190</v>
      </c>
      <c r="R98" s="3" t="str">
        <f>IF(OR(G98="12R",G98="12L"),_xlfn.XLOOKUP(C98,Tabla42[ADEP],Tabla42[SID 12R],""),IF(OR(G98="30L",G98="30R"),_xlfn.XLOOKUP(C98,Tabla42[ADEP],Tabla42[SID 30L],""),""))</f>
        <v>UDGUV</v>
      </c>
      <c r="S98" s="3">
        <f t="shared" si="1"/>
        <v>18</v>
      </c>
      <c r="T98" s="3" t="str">
        <f>_xlfn.XLOOKUP(C98,Tabla42[ADEP],Tabla42[Sector],"")</f>
        <v>Sector 2</v>
      </c>
    </row>
    <row r="99" spans="1:20" x14ac:dyDescent="0.2">
      <c r="A99" s="13" t="s">
        <v>216</v>
      </c>
      <c r="B99" s="13" t="s">
        <v>18</v>
      </c>
      <c r="C99" s="13" t="s">
        <v>32</v>
      </c>
      <c r="D99" s="13" t="s">
        <v>20</v>
      </c>
      <c r="E99" s="13" t="s">
        <v>712</v>
      </c>
      <c r="F99" s="14">
        <v>46297.76498842593</v>
      </c>
      <c r="G99" s="13" t="s">
        <v>21</v>
      </c>
      <c r="H99" s="13" t="s">
        <v>1412</v>
      </c>
      <c r="I99" s="15">
        <v>340</v>
      </c>
      <c r="J99" s="13" t="s">
        <v>22</v>
      </c>
      <c r="K99" s="13" t="s">
        <v>23</v>
      </c>
      <c r="L99" s="15">
        <v>901</v>
      </c>
      <c r="M99" s="13" t="s">
        <v>969</v>
      </c>
      <c r="N99" s="14">
        <v>46297.810324074075</v>
      </c>
      <c r="O99" s="15">
        <v>340</v>
      </c>
      <c r="P99" s="13" t="s">
        <v>25</v>
      </c>
      <c r="Q99" s="15">
        <v>190</v>
      </c>
      <c r="R99" s="3" t="str">
        <f>IF(OR(G99="12R",G99="12L"),_xlfn.XLOOKUP(C99,Tabla42[ADEP],Tabla42[SID 12R],""),IF(OR(G99="30L",G99="30R"),_xlfn.XLOOKUP(C99,Tabla42[ADEP],Tabla42[SID 30L],""),""))</f>
        <v>UDGUV</v>
      </c>
      <c r="S99" s="3">
        <f t="shared" si="1"/>
        <v>18</v>
      </c>
      <c r="T99" s="3" t="str">
        <f>_xlfn.XLOOKUP(C99,Tabla42[ADEP],Tabla42[Sector],"")</f>
        <v>Sector 2</v>
      </c>
    </row>
    <row r="100" spans="1:20" x14ac:dyDescent="0.2">
      <c r="A100" s="13" t="s">
        <v>213</v>
      </c>
      <c r="B100" s="13" t="s">
        <v>18</v>
      </c>
      <c r="C100" s="13" t="s">
        <v>19</v>
      </c>
      <c r="D100" s="13" t="s">
        <v>20</v>
      </c>
      <c r="E100" s="13" t="s">
        <v>255</v>
      </c>
      <c r="F100" s="14">
        <v>46297.766643518524</v>
      </c>
      <c r="G100" s="13" t="s">
        <v>21</v>
      </c>
      <c r="H100" s="13" t="s">
        <v>1413</v>
      </c>
      <c r="I100" s="15">
        <v>340</v>
      </c>
      <c r="J100" s="13" t="s">
        <v>22</v>
      </c>
      <c r="K100" s="13" t="s">
        <v>23</v>
      </c>
      <c r="L100" s="15">
        <v>864</v>
      </c>
      <c r="M100" s="13" t="s">
        <v>24</v>
      </c>
      <c r="N100" s="14">
        <v>46297.811886574069</v>
      </c>
      <c r="O100" s="15">
        <v>340</v>
      </c>
      <c r="P100" s="13" t="s">
        <v>25</v>
      </c>
      <c r="Q100" s="15">
        <v>190</v>
      </c>
      <c r="R100" s="3" t="str">
        <f>IF(OR(G100="12R",G100="12L"),_xlfn.XLOOKUP(C100,Tabla42[ADEP],Tabla42[SID 12R],""),IF(OR(G100="30L",G100="30R"),_xlfn.XLOOKUP(C100,Tabla42[ADEP],Tabla42[SID 30L],""),""))</f>
        <v>UDGUV</v>
      </c>
      <c r="S100" s="3">
        <f t="shared" si="1"/>
        <v>18</v>
      </c>
      <c r="T100" s="3" t="str">
        <f>_xlfn.XLOOKUP(C100,Tabla42[ADEP],Tabla42[Sector],"")</f>
        <v>Sector 2</v>
      </c>
    </row>
    <row r="101" spans="1:20" x14ac:dyDescent="0.2">
      <c r="A101" s="13" t="s">
        <v>237</v>
      </c>
      <c r="B101" s="13" t="s">
        <v>18</v>
      </c>
      <c r="C101" s="13" t="s">
        <v>116</v>
      </c>
      <c r="D101" s="13" t="s">
        <v>117</v>
      </c>
      <c r="E101" s="13" t="s">
        <v>682</v>
      </c>
      <c r="F101" s="14">
        <v>46297.767997685187</v>
      </c>
      <c r="G101" s="13" t="s">
        <v>21</v>
      </c>
      <c r="H101" s="13" t="s">
        <v>1414</v>
      </c>
      <c r="I101" s="15">
        <v>340</v>
      </c>
      <c r="J101" s="13" t="s">
        <v>22</v>
      </c>
      <c r="K101" s="13" t="s">
        <v>23</v>
      </c>
      <c r="L101" s="15">
        <v>566</v>
      </c>
      <c r="M101" s="13" t="s">
        <v>1415</v>
      </c>
      <c r="N101" s="14">
        <v>46297.795833333337</v>
      </c>
      <c r="O101" s="15">
        <v>340</v>
      </c>
      <c r="P101" s="13" t="s">
        <v>25</v>
      </c>
      <c r="Q101" s="15">
        <v>190</v>
      </c>
      <c r="R101" s="3" t="str">
        <f>IF(OR(G101="12R",G101="12L"),_xlfn.XLOOKUP(C101,Tabla42[ADEP],Tabla42[SID 12R],""),IF(OR(G101="30L",G101="30R"),_xlfn.XLOOKUP(C101,Tabla42[ADEP],Tabla42[SID 30L],""),""))</f>
        <v>ENEBA</v>
      </c>
      <c r="S101" s="3">
        <f t="shared" si="1"/>
        <v>18</v>
      </c>
      <c r="T101" s="3" t="str">
        <f>_xlfn.XLOOKUP(C101,Tabla42[ADEP],Tabla42[Sector],"")</f>
        <v>Sector 3</v>
      </c>
    </row>
    <row r="102" spans="1:20" x14ac:dyDescent="0.2">
      <c r="A102" s="13" t="s">
        <v>225</v>
      </c>
      <c r="B102" s="13" t="s">
        <v>18</v>
      </c>
      <c r="C102" s="13" t="s">
        <v>27</v>
      </c>
      <c r="D102" s="13" t="s">
        <v>226</v>
      </c>
      <c r="E102" s="13" t="s">
        <v>829</v>
      </c>
      <c r="F102" s="14">
        <v>46297.768842592588</v>
      </c>
      <c r="G102" s="13" t="s">
        <v>21</v>
      </c>
      <c r="H102" s="13" t="s">
        <v>1416</v>
      </c>
      <c r="I102" s="15">
        <v>340</v>
      </c>
      <c r="J102" s="13" t="s">
        <v>22</v>
      </c>
      <c r="K102" s="13" t="s">
        <v>23</v>
      </c>
      <c r="L102" s="15">
        <v>574</v>
      </c>
      <c r="M102" s="13" t="s">
        <v>1417</v>
      </c>
      <c r="N102" s="14">
        <v>46297.800289351857</v>
      </c>
      <c r="O102" s="15">
        <v>360</v>
      </c>
      <c r="P102" s="13" t="s">
        <v>25</v>
      </c>
      <c r="Q102" s="15">
        <v>40</v>
      </c>
      <c r="R102" s="3" t="str">
        <f>IF(OR(G102="12R",G102="12L"),_xlfn.XLOOKUP(C102,Tabla42[ADEP],Tabla42[SID 12R],""),IF(OR(G102="30L",G102="30R"),_xlfn.XLOOKUP(C102,Tabla42[ADEP],Tabla42[SID 30L],""),""))</f>
        <v>OMSUK</v>
      </c>
      <c r="S102" s="3">
        <f t="shared" si="1"/>
        <v>18</v>
      </c>
      <c r="T102" s="3" t="str">
        <f>_xlfn.XLOOKUP(C102,Tabla42[ADEP],Tabla42[Sector],"")</f>
        <v>Sector 3</v>
      </c>
    </row>
    <row r="103" spans="1:20" x14ac:dyDescent="0.2">
      <c r="A103" s="13" t="s">
        <v>199</v>
      </c>
      <c r="B103" s="13" t="s">
        <v>18</v>
      </c>
      <c r="C103" s="13" t="s">
        <v>200</v>
      </c>
      <c r="D103" s="13" t="s">
        <v>110</v>
      </c>
      <c r="E103" s="13" t="s">
        <v>718</v>
      </c>
      <c r="F103" s="14">
        <v>46297.770370370374</v>
      </c>
      <c r="G103" s="13" t="s">
        <v>21</v>
      </c>
      <c r="H103" s="13" t="s">
        <v>1418</v>
      </c>
      <c r="I103" s="15">
        <v>380</v>
      </c>
      <c r="J103" s="13" t="s">
        <v>22</v>
      </c>
      <c r="K103" s="13" t="s">
        <v>23</v>
      </c>
      <c r="L103" s="15">
        <v>448</v>
      </c>
      <c r="M103" s="13" t="s">
        <v>189</v>
      </c>
      <c r="N103" s="14">
        <v>46297.794351851851</v>
      </c>
      <c r="O103" s="15">
        <v>380</v>
      </c>
      <c r="P103" s="13" t="s">
        <v>25</v>
      </c>
      <c r="Q103" s="15">
        <v>40</v>
      </c>
      <c r="R103" s="3" t="str">
        <f>IF(OR(G103="12R",G103="12L"),_xlfn.XLOOKUP(C103,Tabla42[ADEP],Tabla42[SID 12R],""),IF(OR(G103="30L",G103="30R"),_xlfn.XLOOKUP(C103,Tabla42[ADEP],Tabla42[SID 30L],""),""))</f>
        <v>OMSUK</v>
      </c>
      <c r="S103" s="3">
        <f t="shared" si="1"/>
        <v>18</v>
      </c>
      <c r="T103" s="3" t="str">
        <f>_xlfn.XLOOKUP(C103,Tabla42[ADEP],Tabla42[Sector],"")</f>
        <v>Sector 3</v>
      </c>
    </row>
    <row r="104" spans="1:20" x14ac:dyDescent="0.2">
      <c r="A104" s="13" t="s">
        <v>358</v>
      </c>
      <c r="B104" s="13" t="s">
        <v>18</v>
      </c>
      <c r="C104" s="13" t="s">
        <v>359</v>
      </c>
      <c r="D104" s="13" t="s">
        <v>33</v>
      </c>
      <c r="E104" s="13" t="s">
        <v>1419</v>
      </c>
      <c r="F104" s="14">
        <v>46297.771770833337</v>
      </c>
      <c r="G104" s="13" t="s">
        <v>21</v>
      </c>
      <c r="H104" s="13" t="s">
        <v>1420</v>
      </c>
      <c r="I104" s="15">
        <v>360</v>
      </c>
      <c r="J104" s="13" t="s">
        <v>22</v>
      </c>
      <c r="K104" s="13" t="s">
        <v>23</v>
      </c>
      <c r="L104" s="15">
        <v>383</v>
      </c>
      <c r="M104" s="13" t="s">
        <v>250</v>
      </c>
      <c r="N104" s="14">
        <v>46297.792997685188</v>
      </c>
      <c r="O104" s="15">
        <v>350</v>
      </c>
      <c r="P104" s="13" t="s">
        <v>25</v>
      </c>
      <c r="Q104" s="15">
        <v>40</v>
      </c>
      <c r="R104" s="3" t="str">
        <f>IF(OR(G104="12R",G104="12L"),_xlfn.XLOOKUP(C104,Tabla42[ADEP],Tabla42[SID 12R],""),IF(OR(G104="30L",G104="30R"),_xlfn.XLOOKUP(C104,Tabla42[ADEP],Tabla42[SID 30L],""),""))</f>
        <v>OMSUK</v>
      </c>
      <c r="S104" s="3">
        <f t="shared" si="1"/>
        <v>18</v>
      </c>
      <c r="T104" s="3" t="str">
        <f>_xlfn.XLOOKUP(C104,Tabla42[ADEP],Tabla42[Sector],"")</f>
        <v>Sector 3</v>
      </c>
    </row>
    <row r="105" spans="1:20" x14ac:dyDescent="0.2">
      <c r="A105" s="13" t="s">
        <v>211</v>
      </c>
      <c r="B105" s="13" t="s">
        <v>18</v>
      </c>
      <c r="C105" s="13" t="s">
        <v>212</v>
      </c>
      <c r="D105" s="13" t="s">
        <v>53</v>
      </c>
      <c r="E105" s="13" t="s">
        <v>415</v>
      </c>
      <c r="F105" s="14">
        <v>46297.772824074069</v>
      </c>
      <c r="G105" s="13" t="s">
        <v>21</v>
      </c>
      <c r="H105" s="13" t="s">
        <v>1421</v>
      </c>
      <c r="I105" s="15">
        <v>390</v>
      </c>
      <c r="J105" s="13" t="s">
        <v>22</v>
      </c>
      <c r="K105" s="13" t="s">
        <v>23</v>
      </c>
      <c r="L105" s="15">
        <v>155</v>
      </c>
      <c r="M105" s="13" t="s">
        <v>111</v>
      </c>
      <c r="N105" s="14">
        <v>46297.783564814818</v>
      </c>
      <c r="O105" s="15">
        <v>290</v>
      </c>
      <c r="P105" s="13" t="s">
        <v>25</v>
      </c>
      <c r="Q105" s="15">
        <v>190</v>
      </c>
      <c r="R105" s="3" t="str">
        <f>IF(OR(G105="12R",G105="12L"),_xlfn.XLOOKUP(C105,Tabla42[ADEP],Tabla42[SID 12R],""),IF(OR(G105="30L",G105="30R"),_xlfn.XLOOKUP(C105,Tabla42[ADEP],Tabla42[SID 30L],""),""))</f>
        <v>TAKUX</v>
      </c>
      <c r="S105" s="3">
        <f t="shared" si="1"/>
        <v>18</v>
      </c>
      <c r="T105" s="3" t="str">
        <f>_xlfn.XLOOKUP(C105,Tabla42[ADEP],Tabla42[Sector],"")</f>
        <v>Sector 7</v>
      </c>
    </row>
    <row r="106" spans="1:20" x14ac:dyDescent="0.2">
      <c r="A106" s="13" t="s">
        <v>597</v>
      </c>
      <c r="B106" s="13" t="s">
        <v>18</v>
      </c>
      <c r="C106" s="13" t="s">
        <v>598</v>
      </c>
      <c r="D106" s="13" t="s">
        <v>122</v>
      </c>
      <c r="E106" s="13" t="s">
        <v>590</v>
      </c>
      <c r="F106" s="14">
        <v>46297.774502314816</v>
      </c>
      <c r="G106" s="13" t="s">
        <v>21</v>
      </c>
      <c r="H106" s="13" t="s">
        <v>1422</v>
      </c>
      <c r="I106" s="15">
        <v>400</v>
      </c>
      <c r="J106" s="13" t="s">
        <v>22</v>
      </c>
      <c r="K106" s="13" t="s">
        <v>23</v>
      </c>
      <c r="L106" s="15">
        <v>438</v>
      </c>
      <c r="M106" s="13" t="s">
        <v>189</v>
      </c>
      <c r="N106" s="14">
        <v>46297.797719907408</v>
      </c>
      <c r="O106" s="15">
        <v>400</v>
      </c>
      <c r="P106" s="13" t="s">
        <v>25</v>
      </c>
      <c r="Q106" s="15">
        <v>40</v>
      </c>
      <c r="R106" s="3" t="str">
        <f>IF(OR(G106="12R",G106="12L"),_xlfn.XLOOKUP(C106,Tabla42[ADEP],Tabla42[SID 12R],""),IF(OR(G106="30L",G106="30R"),_xlfn.XLOOKUP(C106,Tabla42[ADEP],Tabla42[SID 30L],""),""))</f>
        <v>OMSUK</v>
      </c>
      <c r="S106" s="3">
        <f t="shared" si="1"/>
        <v>18</v>
      </c>
      <c r="T106" s="3" t="str">
        <f>_xlfn.XLOOKUP(C106,Tabla42[ADEP],Tabla42[Sector],"")</f>
        <v>Sector 3</v>
      </c>
    </row>
    <row r="107" spans="1:20" x14ac:dyDescent="0.2">
      <c r="A107" s="13" t="s">
        <v>222</v>
      </c>
      <c r="B107" s="13" t="s">
        <v>18</v>
      </c>
      <c r="C107" s="13" t="s">
        <v>223</v>
      </c>
      <c r="D107" s="13" t="s">
        <v>110</v>
      </c>
      <c r="E107" s="13" t="s">
        <v>1423</v>
      </c>
      <c r="F107" s="14">
        <v>46297.775451388894</v>
      </c>
      <c r="G107" s="13" t="s">
        <v>21</v>
      </c>
      <c r="H107" s="13" t="s">
        <v>1424</v>
      </c>
      <c r="I107" s="15">
        <v>410</v>
      </c>
      <c r="J107" s="13" t="s">
        <v>22</v>
      </c>
      <c r="K107" s="13" t="s">
        <v>23</v>
      </c>
      <c r="L107" s="15">
        <v>135</v>
      </c>
      <c r="M107" s="13" t="s">
        <v>39</v>
      </c>
      <c r="N107" s="14">
        <v>46297.784803240742</v>
      </c>
      <c r="O107" s="15">
        <v>269</v>
      </c>
      <c r="P107" s="13" t="s">
        <v>25</v>
      </c>
      <c r="Q107" s="15">
        <v>190</v>
      </c>
      <c r="R107" s="3" t="str">
        <f>IF(OR(G107="12R",G107="12L"),_xlfn.XLOOKUP(C107,Tabla42[ADEP],Tabla42[SID 12R],""),IF(OR(G107="30L",G107="30R"),_xlfn.XLOOKUP(C107,Tabla42[ADEP],Tabla42[SID 30L],""),""))</f>
        <v>OMSUK</v>
      </c>
      <c r="S107" s="3">
        <f t="shared" si="1"/>
        <v>18</v>
      </c>
      <c r="T107" s="3" t="str">
        <f>_xlfn.XLOOKUP(C107,Tabla42[ADEP],Tabla42[Sector],"")</f>
        <v>Sector 3</v>
      </c>
    </row>
    <row r="108" spans="1:20" x14ac:dyDescent="0.2">
      <c r="A108" s="13" t="s">
        <v>229</v>
      </c>
      <c r="B108" s="13" t="s">
        <v>18</v>
      </c>
      <c r="C108" s="13" t="s">
        <v>230</v>
      </c>
      <c r="D108" s="13" t="s">
        <v>231</v>
      </c>
      <c r="E108" s="13" t="s">
        <v>591</v>
      </c>
      <c r="F108" s="14">
        <v>46297.77743055555</v>
      </c>
      <c r="G108" s="13" t="s">
        <v>21</v>
      </c>
      <c r="H108" s="13" t="s">
        <v>1425</v>
      </c>
      <c r="I108" s="15">
        <v>100</v>
      </c>
      <c r="J108" s="13" t="s">
        <v>22</v>
      </c>
      <c r="K108" s="13" t="s">
        <v>23</v>
      </c>
      <c r="L108" s="15">
        <v>363</v>
      </c>
      <c r="M108" s="13" t="s">
        <v>230</v>
      </c>
      <c r="N108" s="14">
        <v>46297.848750000005</v>
      </c>
      <c r="O108" s="15">
        <v>0</v>
      </c>
      <c r="P108" s="13" t="s">
        <v>129</v>
      </c>
      <c r="Q108" s="15">
        <v>40</v>
      </c>
      <c r="R108" s="3" t="str">
        <f>IF(OR(G108="12R",G108="12L"),_xlfn.XLOOKUP(C108,Tabla42[ADEP],Tabla42[SID 12R],""),IF(OR(G108="30L",G108="30R"),_xlfn.XLOOKUP(C108,Tabla42[ADEP],Tabla42[SID 30L],""),""))</f>
        <v>CZM</v>
      </c>
      <c r="S108" s="3">
        <f t="shared" si="1"/>
        <v>18</v>
      </c>
      <c r="T108" s="3" t="str">
        <f>_xlfn.XLOOKUP(C108,Tabla42[ADEP],Tabla42[Sector],"")</f>
        <v>Sector 7</v>
      </c>
    </row>
    <row r="109" spans="1:20" x14ac:dyDescent="0.2">
      <c r="A109" s="13" t="s">
        <v>240</v>
      </c>
      <c r="B109" s="13" t="s">
        <v>18</v>
      </c>
      <c r="C109" s="13" t="s">
        <v>116</v>
      </c>
      <c r="D109" s="13" t="s">
        <v>117</v>
      </c>
      <c r="E109" s="13" t="s">
        <v>1426</v>
      </c>
      <c r="F109" s="14">
        <v>46297.780358796299</v>
      </c>
      <c r="G109" s="13" t="s">
        <v>21</v>
      </c>
      <c r="H109" s="13" t="s">
        <v>1427</v>
      </c>
      <c r="I109" s="15">
        <v>360</v>
      </c>
      <c r="J109" s="13" t="s">
        <v>22</v>
      </c>
      <c r="K109" s="13" t="s">
        <v>23</v>
      </c>
      <c r="L109" s="15">
        <v>824</v>
      </c>
      <c r="M109" s="13" t="s">
        <v>210</v>
      </c>
      <c r="N109" s="14">
        <v>46297.820960648147</v>
      </c>
      <c r="O109" s="15">
        <v>360</v>
      </c>
      <c r="P109" s="13" t="s">
        <v>25</v>
      </c>
      <c r="Q109" s="15">
        <v>190</v>
      </c>
      <c r="R109" s="3" t="str">
        <f>IF(OR(G109="12R",G109="12L"),_xlfn.XLOOKUP(C109,Tabla42[ADEP],Tabla42[SID 12R],""),IF(OR(G109="30L",G109="30R"),_xlfn.XLOOKUP(C109,Tabla42[ADEP],Tabla42[SID 30L],""),""))</f>
        <v>ENEBA</v>
      </c>
      <c r="S109" s="3">
        <f t="shared" si="1"/>
        <v>18</v>
      </c>
      <c r="T109" s="3" t="str">
        <f>_xlfn.XLOOKUP(C109,Tabla42[ADEP],Tabla42[Sector],"")</f>
        <v>Sector 3</v>
      </c>
    </row>
    <row r="110" spans="1:20" x14ac:dyDescent="0.2">
      <c r="A110" s="13" t="s">
        <v>228</v>
      </c>
      <c r="B110" s="13" t="s">
        <v>18</v>
      </c>
      <c r="C110" s="13" t="s">
        <v>27</v>
      </c>
      <c r="D110" s="13" t="s">
        <v>28</v>
      </c>
      <c r="E110" s="13" t="s">
        <v>482</v>
      </c>
      <c r="F110" s="14">
        <v>46297.781944444447</v>
      </c>
      <c r="G110" s="13" t="s">
        <v>21</v>
      </c>
      <c r="H110" s="13" t="s">
        <v>1428</v>
      </c>
      <c r="I110" s="15">
        <v>360</v>
      </c>
      <c r="J110" s="13" t="s">
        <v>22</v>
      </c>
      <c r="K110" s="13" t="s">
        <v>23</v>
      </c>
      <c r="L110" s="15">
        <v>439</v>
      </c>
      <c r="M110" s="13" t="s">
        <v>189</v>
      </c>
      <c r="N110" s="14">
        <v>46297.806168981479</v>
      </c>
      <c r="O110" s="15">
        <v>360</v>
      </c>
      <c r="P110" s="13" t="s">
        <v>25</v>
      </c>
      <c r="Q110" s="15">
        <v>40</v>
      </c>
      <c r="R110" s="3" t="str">
        <f>IF(OR(G110="12R",G110="12L"),_xlfn.XLOOKUP(C110,Tabla42[ADEP],Tabla42[SID 12R],""),IF(OR(G110="30L",G110="30R"),_xlfn.XLOOKUP(C110,Tabla42[ADEP],Tabla42[SID 30L],""),""))</f>
        <v>OMSUK</v>
      </c>
      <c r="S110" s="3">
        <f t="shared" si="1"/>
        <v>18</v>
      </c>
      <c r="T110" s="3" t="str">
        <f>_xlfn.XLOOKUP(C110,Tabla42[ADEP],Tabla42[Sector],"")</f>
        <v>Sector 3</v>
      </c>
    </row>
    <row r="111" spans="1:20" x14ac:dyDescent="0.2">
      <c r="A111" s="13" t="s">
        <v>384</v>
      </c>
      <c r="B111" s="13" t="s">
        <v>18</v>
      </c>
      <c r="C111" s="13" t="s">
        <v>96</v>
      </c>
      <c r="D111" s="13" t="s">
        <v>53</v>
      </c>
      <c r="E111" s="13" t="s">
        <v>106</v>
      </c>
      <c r="F111" s="14">
        <v>46297.782905092594</v>
      </c>
      <c r="G111" s="13" t="s">
        <v>21</v>
      </c>
      <c r="H111" s="13" t="s">
        <v>1429</v>
      </c>
      <c r="I111" s="15">
        <v>380</v>
      </c>
      <c r="J111" s="13" t="s">
        <v>22</v>
      </c>
      <c r="K111" s="13" t="s">
        <v>141</v>
      </c>
      <c r="L111" s="15">
        <v>873</v>
      </c>
      <c r="M111" s="13" t="s">
        <v>45</v>
      </c>
      <c r="N111" s="14">
        <v>46297.828506944439</v>
      </c>
      <c r="O111" s="15">
        <v>380</v>
      </c>
      <c r="P111" s="13" t="s">
        <v>25</v>
      </c>
      <c r="Q111" s="15">
        <v>190</v>
      </c>
      <c r="R111" s="3" t="str">
        <f>IF(OR(G111="12R",G111="12L"),_xlfn.XLOOKUP(C111,Tabla42[ADEP],Tabla42[SID 12R],""),IF(OR(G111="30L",G111="30R"),_xlfn.XLOOKUP(C111,Tabla42[ADEP],Tabla42[SID 30L],""),""))</f>
        <v>UDGUV</v>
      </c>
      <c r="S111" s="3">
        <f t="shared" si="1"/>
        <v>18</v>
      </c>
      <c r="T111" s="3" t="str">
        <f>_xlfn.XLOOKUP(C111,Tabla42[ADEP],Tabla42[Sector],"")</f>
        <v>Sector 2</v>
      </c>
    </row>
    <row r="112" spans="1:20" x14ac:dyDescent="0.2">
      <c r="A112" s="13" t="s">
        <v>445</v>
      </c>
      <c r="B112" s="13" t="s">
        <v>18</v>
      </c>
      <c r="C112" s="13" t="s">
        <v>263</v>
      </c>
      <c r="D112" s="13" t="s">
        <v>28</v>
      </c>
      <c r="E112" s="13" t="s">
        <v>602</v>
      </c>
      <c r="F112" s="14">
        <v>46297.786562499998</v>
      </c>
      <c r="G112" s="13" t="s">
        <v>21</v>
      </c>
      <c r="H112" s="13" t="s">
        <v>1430</v>
      </c>
      <c r="I112" s="15">
        <v>370</v>
      </c>
      <c r="J112" s="13" t="s">
        <v>22</v>
      </c>
      <c r="K112" s="13" t="s">
        <v>23</v>
      </c>
      <c r="L112" s="15">
        <v>381</v>
      </c>
      <c r="M112" s="13" t="s">
        <v>250</v>
      </c>
      <c r="N112" s="14">
        <v>46297.807083333333</v>
      </c>
      <c r="O112" s="15">
        <v>370</v>
      </c>
      <c r="P112" s="13" t="s">
        <v>25</v>
      </c>
      <c r="Q112" s="15">
        <v>40</v>
      </c>
      <c r="R112" s="3" t="str">
        <f>IF(OR(G112="12R",G112="12L"),_xlfn.XLOOKUP(C112,Tabla42[ADEP],Tabla42[SID 12R],""),IF(OR(G112="30L",G112="30R"),_xlfn.XLOOKUP(C112,Tabla42[ADEP],Tabla42[SID 30L],""),""))</f>
        <v>OMSUK</v>
      </c>
      <c r="S112" s="3">
        <f t="shared" si="1"/>
        <v>18</v>
      </c>
      <c r="T112" s="3" t="str">
        <f>_xlfn.XLOOKUP(C112,Tabla42[ADEP],Tabla42[Sector],"")</f>
        <v>Sector 3</v>
      </c>
    </row>
    <row r="113" spans="1:20" x14ac:dyDescent="0.2">
      <c r="A113" s="13" t="s">
        <v>285</v>
      </c>
      <c r="B113" s="13" t="s">
        <v>18</v>
      </c>
      <c r="C113" s="13" t="s">
        <v>160</v>
      </c>
      <c r="D113" s="13" t="s">
        <v>33</v>
      </c>
      <c r="E113" s="13" t="s">
        <v>465</v>
      </c>
      <c r="F113" s="14">
        <v>46297.78769675926</v>
      </c>
      <c r="G113" s="13" t="s">
        <v>21</v>
      </c>
      <c r="H113" s="13" t="s">
        <v>1431</v>
      </c>
      <c r="I113" s="15">
        <v>340</v>
      </c>
      <c r="J113" s="13" t="s">
        <v>22</v>
      </c>
      <c r="K113" s="13" t="s">
        <v>23</v>
      </c>
      <c r="L113" s="15">
        <v>327</v>
      </c>
      <c r="M113" s="13" t="s">
        <v>952</v>
      </c>
      <c r="N113" s="14">
        <v>46297.807106481487</v>
      </c>
      <c r="O113" s="15">
        <v>340</v>
      </c>
      <c r="P113" s="13" t="s">
        <v>25</v>
      </c>
      <c r="Q113" s="15">
        <v>190</v>
      </c>
      <c r="R113" s="3" t="str">
        <f>IF(OR(G113="12R",G113="12L"),_xlfn.XLOOKUP(C113,Tabla42[ADEP],Tabla42[SID 12R],""),IF(OR(G113="30L",G113="30R"),_xlfn.XLOOKUP(C113,Tabla42[ADEP],Tabla42[SID 30L],""),""))</f>
        <v>CZM</v>
      </c>
      <c r="S113" s="3">
        <f t="shared" si="1"/>
        <v>18</v>
      </c>
      <c r="T113" s="3" t="str">
        <f>_xlfn.XLOOKUP(C113,Tabla42[ADEP],Tabla42[Sector],"")</f>
        <v>Sector 7</v>
      </c>
    </row>
    <row r="114" spans="1:20" x14ac:dyDescent="0.2">
      <c r="A114" s="13" t="s">
        <v>460</v>
      </c>
      <c r="B114" s="13" t="s">
        <v>18</v>
      </c>
      <c r="C114" s="13" t="s">
        <v>126</v>
      </c>
      <c r="D114" s="13" t="s">
        <v>20</v>
      </c>
      <c r="E114" s="13" t="s">
        <v>1432</v>
      </c>
      <c r="F114" s="14">
        <v>46297.792129629626</v>
      </c>
      <c r="G114" s="13" t="s">
        <v>21</v>
      </c>
      <c r="H114" s="13" t="s">
        <v>1433</v>
      </c>
      <c r="I114" s="15">
        <v>380</v>
      </c>
      <c r="J114" s="13" t="s">
        <v>22</v>
      </c>
      <c r="K114" s="13" t="s">
        <v>23</v>
      </c>
      <c r="L114" s="15">
        <v>426</v>
      </c>
      <c r="M114" s="13" t="s">
        <v>988</v>
      </c>
      <c r="N114" s="14">
        <v>46297.814664351856</v>
      </c>
      <c r="O114" s="15">
        <v>380</v>
      </c>
      <c r="P114" s="13" t="s">
        <v>25</v>
      </c>
      <c r="Q114" s="15">
        <v>40</v>
      </c>
      <c r="R114" s="3" t="str">
        <f>IF(OR(G114="12R",G114="12L"),_xlfn.XLOOKUP(C114,Tabla42[ADEP],Tabla42[SID 12R],""),IF(OR(G114="30L",G114="30R"),_xlfn.XLOOKUP(C114,Tabla42[ADEP],Tabla42[SID 30L],""),""))</f>
        <v>ENEBA</v>
      </c>
      <c r="S114" s="3">
        <f t="shared" si="1"/>
        <v>19</v>
      </c>
      <c r="T114" s="3" t="str">
        <f>_xlfn.XLOOKUP(C114,Tabla42[ADEP],Tabla42[Sector],"")</f>
        <v>Sector 3</v>
      </c>
    </row>
    <row r="115" spans="1:20" x14ac:dyDescent="0.2">
      <c r="A115" s="13" t="s">
        <v>245</v>
      </c>
      <c r="B115" s="13" t="s">
        <v>18</v>
      </c>
      <c r="C115" s="13" t="s">
        <v>109</v>
      </c>
      <c r="D115" s="13" t="s">
        <v>43</v>
      </c>
      <c r="E115" s="13" t="s">
        <v>1434</v>
      </c>
      <c r="F115" s="14">
        <v>46297.797453703708</v>
      </c>
      <c r="G115" s="13" t="s">
        <v>21</v>
      </c>
      <c r="H115" s="13" t="s">
        <v>1435</v>
      </c>
      <c r="I115" s="15">
        <v>350</v>
      </c>
      <c r="J115" s="13" t="s">
        <v>22</v>
      </c>
      <c r="K115" s="13" t="s">
        <v>23</v>
      </c>
      <c r="L115" s="15">
        <v>153</v>
      </c>
      <c r="M115" s="13" t="s">
        <v>111</v>
      </c>
      <c r="N115" s="14">
        <v>46297.808344907404</v>
      </c>
      <c r="O115" s="15">
        <v>279</v>
      </c>
      <c r="P115" s="13" t="s">
        <v>25</v>
      </c>
      <c r="Q115" s="15">
        <v>190</v>
      </c>
      <c r="R115" s="3" t="str">
        <f>IF(OR(G115="12R",G115="12L"),_xlfn.XLOOKUP(C115,Tabla42[ADEP],Tabla42[SID 12R],""),IF(OR(G115="30L",G115="30R"),_xlfn.XLOOKUP(C115,Tabla42[ADEP],Tabla42[SID 30L],""),""))</f>
        <v>TAKUX</v>
      </c>
      <c r="S115" s="3">
        <f t="shared" si="1"/>
        <v>19</v>
      </c>
      <c r="T115" s="3" t="str">
        <f>_xlfn.XLOOKUP(C115,Tabla42[ADEP],Tabla42[Sector],"")</f>
        <v>Sector 7</v>
      </c>
    </row>
    <row r="116" spans="1:20" x14ac:dyDescent="0.2">
      <c r="A116" s="13" t="s">
        <v>270</v>
      </c>
      <c r="B116" s="13" t="s">
        <v>18</v>
      </c>
      <c r="C116" s="13" t="s">
        <v>93</v>
      </c>
      <c r="D116" s="13" t="s">
        <v>53</v>
      </c>
      <c r="E116" s="13" t="s">
        <v>393</v>
      </c>
      <c r="F116" s="14">
        <v>46297.800636574073</v>
      </c>
      <c r="G116" s="13" t="s">
        <v>21</v>
      </c>
      <c r="H116" s="13" t="s">
        <v>1436</v>
      </c>
      <c r="I116" s="15">
        <v>360</v>
      </c>
      <c r="J116" s="13" t="s">
        <v>22</v>
      </c>
      <c r="K116" s="13" t="s">
        <v>23</v>
      </c>
      <c r="L116" s="15">
        <v>947</v>
      </c>
      <c r="M116" s="13" t="s">
        <v>668</v>
      </c>
      <c r="N116" s="14">
        <v>46297.84951388889</v>
      </c>
      <c r="O116" s="15">
        <v>224</v>
      </c>
      <c r="P116" s="13" t="s">
        <v>25</v>
      </c>
      <c r="Q116" s="15">
        <v>190</v>
      </c>
      <c r="R116" s="3" t="str">
        <f>IF(OR(G116="12R",G116="12L"),_xlfn.XLOOKUP(C116,Tabla42[ADEP],Tabla42[SID 12R],""),IF(OR(G116="30L",G116="30R"),_xlfn.XLOOKUP(C116,Tabla42[ADEP],Tabla42[SID 30L],""),""))</f>
        <v>UDGUV</v>
      </c>
      <c r="S116" s="3">
        <f t="shared" si="1"/>
        <v>19</v>
      </c>
      <c r="T116" s="3" t="str">
        <f>_xlfn.XLOOKUP(C116,Tabla42[ADEP],Tabla42[Sector],"")</f>
        <v>Sector 2</v>
      </c>
    </row>
    <row r="117" spans="1:20" x14ac:dyDescent="0.2">
      <c r="A117" s="13" t="s">
        <v>246</v>
      </c>
      <c r="B117" s="13" t="s">
        <v>18</v>
      </c>
      <c r="C117" s="13" t="s">
        <v>209</v>
      </c>
      <c r="D117" s="13" t="s">
        <v>28</v>
      </c>
      <c r="E117" s="13" t="s">
        <v>1437</v>
      </c>
      <c r="F117" s="14">
        <v>46297.801990740743</v>
      </c>
      <c r="G117" s="13" t="s">
        <v>21</v>
      </c>
      <c r="H117" s="13" t="s">
        <v>1438</v>
      </c>
      <c r="I117" s="15">
        <v>380</v>
      </c>
      <c r="J117" s="13" t="s">
        <v>22</v>
      </c>
      <c r="K117" s="13" t="s">
        <v>23</v>
      </c>
      <c r="L117" s="15">
        <v>731</v>
      </c>
      <c r="M117" s="13" t="s">
        <v>1439</v>
      </c>
      <c r="N117" s="14">
        <v>46297.837835648148</v>
      </c>
      <c r="O117" s="15">
        <v>380</v>
      </c>
      <c r="P117" s="13" t="s">
        <v>25</v>
      </c>
      <c r="Q117" s="15">
        <v>190</v>
      </c>
      <c r="R117" s="3" t="str">
        <f>IF(OR(G117="12R",G117="12L"),_xlfn.XLOOKUP(C117,Tabla42[ADEP],Tabla42[SID 12R],""),IF(OR(G117="30L",G117="30R"),_xlfn.XLOOKUP(C117,Tabla42[ADEP],Tabla42[SID 30L],""),""))</f>
        <v>ENEBA</v>
      </c>
      <c r="S117" s="3">
        <f t="shared" si="1"/>
        <v>19</v>
      </c>
      <c r="T117" s="3" t="str">
        <f>_xlfn.XLOOKUP(C117,Tabla42[ADEP],Tabla42[Sector],"")</f>
        <v>Sector 3</v>
      </c>
    </row>
    <row r="118" spans="1:20" x14ac:dyDescent="0.2">
      <c r="A118" s="13" t="s">
        <v>247</v>
      </c>
      <c r="B118" s="13" t="s">
        <v>18</v>
      </c>
      <c r="C118" s="13" t="s">
        <v>137</v>
      </c>
      <c r="D118" s="13" t="s">
        <v>60</v>
      </c>
      <c r="E118" s="13" t="s">
        <v>705</v>
      </c>
      <c r="F118" s="14">
        <v>46297.802916666667</v>
      </c>
      <c r="G118" s="13" t="s">
        <v>21</v>
      </c>
      <c r="H118" s="13" t="s">
        <v>1440</v>
      </c>
      <c r="I118" s="15">
        <v>370</v>
      </c>
      <c r="J118" s="13" t="s">
        <v>22</v>
      </c>
      <c r="K118" s="13" t="s">
        <v>23</v>
      </c>
      <c r="L118" s="15">
        <v>137</v>
      </c>
      <c r="M118" s="13" t="s">
        <v>408</v>
      </c>
      <c r="N118" s="14">
        <v>46297.812384259261</v>
      </c>
      <c r="O118" s="15">
        <v>254</v>
      </c>
      <c r="P118" s="13" t="s">
        <v>25</v>
      </c>
      <c r="Q118" s="15">
        <v>190</v>
      </c>
      <c r="R118" s="3" t="str">
        <f>IF(OR(G118="12R",G118="12L"),_xlfn.XLOOKUP(C118,Tabla42[ADEP],Tabla42[SID 12R],""),IF(OR(G118="30L",G118="30R"),_xlfn.XLOOKUP(C118,Tabla42[ADEP],Tabla42[SID 30L],""),""))</f>
        <v>NUDAL</v>
      </c>
      <c r="S118" s="3">
        <f t="shared" si="1"/>
        <v>19</v>
      </c>
      <c r="T118" s="3" t="str">
        <f>_xlfn.XLOOKUP(C118,Tabla42[ADEP],Tabla42[Sector],"")</f>
        <v>Sector 3</v>
      </c>
    </row>
    <row r="119" spans="1:20" x14ac:dyDescent="0.2">
      <c r="A119" s="13" t="s">
        <v>235</v>
      </c>
      <c r="B119" s="13" t="s">
        <v>18</v>
      </c>
      <c r="C119" s="13" t="s">
        <v>62</v>
      </c>
      <c r="D119" s="13" t="s">
        <v>33</v>
      </c>
      <c r="E119" s="13" t="s">
        <v>82</v>
      </c>
      <c r="F119" s="14">
        <v>46297.804166666669</v>
      </c>
      <c r="G119" s="13" t="s">
        <v>21</v>
      </c>
      <c r="H119" s="13" t="s">
        <v>1441</v>
      </c>
      <c r="I119" s="15">
        <v>360</v>
      </c>
      <c r="J119" s="13" t="s">
        <v>22</v>
      </c>
      <c r="K119" s="13" t="s">
        <v>23</v>
      </c>
      <c r="L119" s="15">
        <v>878</v>
      </c>
      <c r="M119" s="13" t="s">
        <v>167</v>
      </c>
      <c r="N119" s="14">
        <v>46297.847442129627</v>
      </c>
      <c r="O119" s="15">
        <v>360</v>
      </c>
      <c r="P119" s="13" t="s">
        <v>25</v>
      </c>
      <c r="Q119" s="15">
        <v>190</v>
      </c>
      <c r="R119" s="3" t="str">
        <f>IF(OR(G119="12R",G119="12L"),_xlfn.XLOOKUP(C119,Tabla42[ADEP],Tabla42[SID 12R],""),IF(OR(G119="30L",G119="30R"),_xlfn.XLOOKUP(C119,Tabla42[ADEP],Tabla42[SID 30L],""),""))</f>
        <v>UDGUV</v>
      </c>
      <c r="S119" s="3">
        <f t="shared" si="1"/>
        <v>19</v>
      </c>
      <c r="T119" s="3" t="str">
        <f>_xlfn.XLOOKUP(C119,Tabla42[ADEP],Tabla42[Sector],"")</f>
        <v>Sector 2</v>
      </c>
    </row>
    <row r="120" spans="1:20" x14ac:dyDescent="0.2">
      <c r="A120" s="13" t="s">
        <v>1201</v>
      </c>
      <c r="B120" s="13" t="s">
        <v>18</v>
      </c>
      <c r="C120" s="13" t="s">
        <v>592</v>
      </c>
      <c r="D120" s="13" t="s">
        <v>28</v>
      </c>
      <c r="E120" s="13" t="s">
        <v>1442</v>
      </c>
      <c r="F120" s="14">
        <v>46297.807858796295</v>
      </c>
      <c r="G120" s="13" t="s">
        <v>21</v>
      </c>
      <c r="H120" s="13" t="s">
        <v>1443</v>
      </c>
      <c r="I120" s="15">
        <v>380</v>
      </c>
      <c r="J120" s="13" t="s">
        <v>22</v>
      </c>
      <c r="K120" s="13" t="s">
        <v>23</v>
      </c>
      <c r="L120" s="15">
        <v>410</v>
      </c>
      <c r="M120" s="13" t="s">
        <v>1066</v>
      </c>
      <c r="N120" s="14">
        <v>46297.829907407402</v>
      </c>
      <c r="O120" s="15">
        <v>380</v>
      </c>
      <c r="P120" s="13" t="s">
        <v>25</v>
      </c>
      <c r="Q120" s="15">
        <v>40</v>
      </c>
      <c r="R120" s="3" t="str">
        <f>IF(OR(G120="12R",G120="12L"),_xlfn.XLOOKUP(C120,Tabla42[ADEP],Tabla42[SID 12R],""),IF(OR(G120="30L",G120="30R"),_xlfn.XLOOKUP(C120,Tabla42[ADEP],Tabla42[SID 30L],""),""))</f>
        <v>ENEBA</v>
      </c>
      <c r="S120" s="3">
        <f t="shared" si="1"/>
        <v>19</v>
      </c>
      <c r="T120" s="3" t="str">
        <f>_xlfn.XLOOKUP(C120,Tabla42[ADEP],Tabla42[Sector],"")</f>
        <v>Sector 3</v>
      </c>
    </row>
    <row r="121" spans="1:20" x14ac:dyDescent="0.2">
      <c r="A121" s="13" t="s">
        <v>251</v>
      </c>
      <c r="B121" s="13" t="s">
        <v>18</v>
      </c>
      <c r="C121" s="13" t="s">
        <v>126</v>
      </c>
      <c r="D121" s="13" t="s">
        <v>60</v>
      </c>
      <c r="E121" s="13" t="s">
        <v>1444</v>
      </c>
      <c r="F121" s="14">
        <v>46297.814571759256</v>
      </c>
      <c r="G121" s="13" t="s">
        <v>21</v>
      </c>
      <c r="H121" s="13" t="s">
        <v>1445</v>
      </c>
      <c r="I121" s="15">
        <v>350</v>
      </c>
      <c r="J121" s="13" t="s">
        <v>22</v>
      </c>
      <c r="K121" s="13" t="s">
        <v>23</v>
      </c>
      <c r="L121" s="15">
        <v>136</v>
      </c>
      <c r="M121" s="13" t="s">
        <v>39</v>
      </c>
      <c r="N121" s="14">
        <v>46297.82408564815</v>
      </c>
      <c r="O121" s="15">
        <v>201</v>
      </c>
      <c r="P121" s="13" t="s">
        <v>25</v>
      </c>
      <c r="Q121" s="15">
        <v>190</v>
      </c>
      <c r="R121" s="3" t="str">
        <f>IF(OR(G121="12R",G121="12L"),_xlfn.XLOOKUP(C121,Tabla42[ADEP],Tabla42[SID 12R],""),IF(OR(G121="30L",G121="30R"),_xlfn.XLOOKUP(C121,Tabla42[ADEP],Tabla42[SID 30L],""),""))</f>
        <v>ENEBA</v>
      </c>
      <c r="S121" s="3">
        <f t="shared" si="1"/>
        <v>19</v>
      </c>
      <c r="T121" s="3" t="str">
        <f>_xlfn.XLOOKUP(C121,Tabla42[ADEP],Tabla42[Sector],"")</f>
        <v>Sector 3</v>
      </c>
    </row>
    <row r="122" spans="1:20" x14ac:dyDescent="0.2">
      <c r="A122" s="13" t="s">
        <v>253</v>
      </c>
      <c r="B122" s="13" t="s">
        <v>18</v>
      </c>
      <c r="C122" s="13" t="s">
        <v>254</v>
      </c>
      <c r="D122" s="13" t="s">
        <v>20</v>
      </c>
      <c r="E122" s="13" t="s">
        <v>149</v>
      </c>
      <c r="F122" s="14">
        <v>46297.818981481483</v>
      </c>
      <c r="G122" s="13" t="s">
        <v>21</v>
      </c>
      <c r="H122" s="13" t="s">
        <v>1446</v>
      </c>
      <c r="I122" s="15">
        <v>340</v>
      </c>
      <c r="J122" s="13" t="s">
        <v>22</v>
      </c>
      <c r="K122" s="13" t="s">
        <v>23</v>
      </c>
      <c r="L122" s="15">
        <v>940</v>
      </c>
      <c r="M122" s="13" t="s">
        <v>1447</v>
      </c>
      <c r="N122" s="14">
        <v>46297.865671296298</v>
      </c>
      <c r="O122" s="15">
        <v>340</v>
      </c>
      <c r="P122" s="13" t="s">
        <v>25</v>
      </c>
      <c r="Q122" s="15">
        <v>190</v>
      </c>
      <c r="R122" s="3" t="str">
        <f>IF(OR(G122="12R",G122="12L"),_xlfn.XLOOKUP(C122,Tabla42[ADEP],Tabla42[SID 12R],""),IF(OR(G122="30L",G122="30R"),_xlfn.XLOOKUP(C122,Tabla42[ADEP],Tabla42[SID 30L],""),""))</f>
        <v>UDGUV</v>
      </c>
      <c r="S122" s="3">
        <f t="shared" si="1"/>
        <v>19</v>
      </c>
      <c r="T122" s="3" t="str">
        <f>_xlfn.XLOOKUP(C122,Tabla42[ADEP],Tabla42[Sector],"")</f>
        <v>Sector 2</v>
      </c>
    </row>
    <row r="123" spans="1:20" x14ac:dyDescent="0.2">
      <c r="A123" s="13" t="s">
        <v>259</v>
      </c>
      <c r="B123" s="13" t="s">
        <v>18</v>
      </c>
      <c r="C123" s="13" t="s">
        <v>32</v>
      </c>
      <c r="D123" s="13" t="s">
        <v>33</v>
      </c>
      <c r="E123" s="13" t="s">
        <v>677</v>
      </c>
      <c r="F123" s="14">
        <v>46297.8206712963</v>
      </c>
      <c r="G123" s="13" t="s">
        <v>21</v>
      </c>
      <c r="H123" s="13" t="s">
        <v>1448</v>
      </c>
      <c r="I123" s="15">
        <v>380</v>
      </c>
      <c r="J123" s="13" t="s">
        <v>22</v>
      </c>
      <c r="K123" s="13" t="s">
        <v>23</v>
      </c>
      <c r="L123" s="15">
        <v>857</v>
      </c>
      <c r="M123" s="13" t="s">
        <v>764</v>
      </c>
      <c r="N123" s="14">
        <v>46297.864247685182</v>
      </c>
      <c r="O123" s="15">
        <v>380</v>
      </c>
      <c r="P123" s="13" t="s">
        <v>25</v>
      </c>
      <c r="Q123" s="15">
        <v>190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13" t="s">
        <v>261</v>
      </c>
      <c r="B124" s="13" t="s">
        <v>18</v>
      </c>
      <c r="C124" s="13" t="s">
        <v>158</v>
      </c>
      <c r="D124" s="13" t="s">
        <v>33</v>
      </c>
      <c r="E124" s="13" t="s">
        <v>1449</v>
      </c>
      <c r="F124" s="14">
        <v>46297.821828703702</v>
      </c>
      <c r="G124" s="13" t="s">
        <v>21</v>
      </c>
      <c r="H124" s="13" t="s">
        <v>1450</v>
      </c>
      <c r="I124" s="15">
        <v>350</v>
      </c>
      <c r="J124" s="13" t="s">
        <v>22</v>
      </c>
      <c r="K124" s="13" t="s">
        <v>23</v>
      </c>
      <c r="L124" s="15">
        <v>136</v>
      </c>
      <c r="M124" s="13" t="s">
        <v>708</v>
      </c>
      <c r="N124" s="14">
        <v>46297.831006944441</v>
      </c>
      <c r="O124" s="15">
        <v>220</v>
      </c>
      <c r="P124" s="13" t="s">
        <v>25</v>
      </c>
      <c r="Q124" s="15">
        <v>190</v>
      </c>
      <c r="R124" s="3" t="str">
        <f>IF(OR(G124="12R",G124="12L"),_xlfn.XLOOKUP(C124,Tabla42[ADEP],Tabla42[SID 12R],""),IF(OR(G124="30L",G124="30R"),_xlfn.XLOOKUP(C124,Tabla42[ADEP],Tabla42[SID 30L],""),""))</f>
        <v>OMSUK</v>
      </c>
      <c r="S124" s="3">
        <f t="shared" si="1"/>
        <v>19</v>
      </c>
      <c r="T124" s="3" t="str">
        <f>_xlfn.XLOOKUP(C124,Tabla42[ADEP],Tabla42[Sector],"")</f>
        <v>Sector 3</v>
      </c>
    </row>
    <row r="125" spans="1:20" x14ac:dyDescent="0.2">
      <c r="A125" s="13" t="s">
        <v>600</v>
      </c>
      <c r="B125" s="13" t="s">
        <v>18</v>
      </c>
      <c r="C125" s="13" t="s">
        <v>293</v>
      </c>
      <c r="D125" s="13" t="s">
        <v>20</v>
      </c>
      <c r="E125" s="13" t="s">
        <v>1451</v>
      </c>
      <c r="F125" s="14">
        <v>46297.823981481481</v>
      </c>
      <c r="G125" s="13" t="s">
        <v>21</v>
      </c>
      <c r="H125" s="13" t="s">
        <v>1452</v>
      </c>
      <c r="I125" s="15">
        <v>320</v>
      </c>
      <c r="J125" s="13" t="s">
        <v>22</v>
      </c>
      <c r="K125" s="13" t="s">
        <v>23</v>
      </c>
      <c r="L125" s="15">
        <v>864</v>
      </c>
      <c r="M125" s="13" t="s">
        <v>35</v>
      </c>
      <c r="N125" s="14">
        <v>46297.866412037038</v>
      </c>
      <c r="O125" s="15">
        <v>320</v>
      </c>
      <c r="P125" s="13" t="s">
        <v>25</v>
      </c>
      <c r="Q125" s="15">
        <v>190</v>
      </c>
      <c r="R125" s="3" t="str">
        <f>IF(OR(G125="12R",G125="12L"),_xlfn.XLOOKUP(C125,Tabla42[ADEP],Tabla42[SID 12R],""),IF(OR(G125="30L",G125="30R"),_xlfn.XLOOKUP(C125,Tabla42[ADEP],Tabla42[SID 30L],""),""))</f>
        <v>UDGUV</v>
      </c>
      <c r="S125" s="3">
        <f t="shared" si="1"/>
        <v>19</v>
      </c>
      <c r="T125" s="3" t="str">
        <f>_xlfn.XLOOKUP(C125,Tabla42[ADEP],Tabla42[Sector],"")</f>
        <v>Sector 2</v>
      </c>
    </row>
    <row r="126" spans="1:20" x14ac:dyDescent="0.2">
      <c r="A126" s="13" t="s">
        <v>266</v>
      </c>
      <c r="B126" s="13" t="s">
        <v>18</v>
      </c>
      <c r="C126" s="13" t="s">
        <v>184</v>
      </c>
      <c r="D126" s="13" t="s">
        <v>60</v>
      </c>
      <c r="E126" s="13" t="s">
        <v>779</v>
      </c>
      <c r="F126" s="14">
        <v>46297.825115740736</v>
      </c>
      <c r="G126" s="13" t="s">
        <v>21</v>
      </c>
      <c r="H126" s="13" t="s">
        <v>1453</v>
      </c>
      <c r="I126" s="15">
        <v>350</v>
      </c>
      <c r="J126" s="13" t="s">
        <v>22</v>
      </c>
      <c r="K126" s="13" t="s">
        <v>23</v>
      </c>
      <c r="L126" s="15">
        <v>137</v>
      </c>
      <c r="M126" s="13" t="s">
        <v>408</v>
      </c>
      <c r="N126" s="14">
        <v>46297.834363425922</v>
      </c>
      <c r="O126" s="15">
        <v>221</v>
      </c>
      <c r="P126" s="13" t="s">
        <v>25</v>
      </c>
      <c r="Q126" s="15">
        <v>190</v>
      </c>
      <c r="R126" s="3" t="str">
        <f>IF(OR(G126="12R",G126="12L"),_xlfn.XLOOKUP(C126,Tabla42[ADEP],Tabla42[SID 12R],""),IF(OR(G126="30L",G126="30R"),_xlfn.XLOOKUP(C126,Tabla42[ADEP],Tabla42[SID 30L],""),""))</f>
        <v>OMSUK</v>
      </c>
      <c r="S126" s="3">
        <f t="shared" si="1"/>
        <v>19</v>
      </c>
      <c r="T126" s="3" t="str">
        <f>_xlfn.XLOOKUP(C126,Tabla42[ADEP],Tabla42[Sector],"")</f>
        <v>Sector 3</v>
      </c>
    </row>
    <row r="127" spans="1:20" x14ac:dyDescent="0.2">
      <c r="A127" s="13" t="s">
        <v>271</v>
      </c>
      <c r="B127" s="13" t="s">
        <v>18</v>
      </c>
      <c r="C127" s="13" t="s">
        <v>116</v>
      </c>
      <c r="D127" s="13" t="s">
        <v>43</v>
      </c>
      <c r="E127" s="13" t="s">
        <v>1030</v>
      </c>
      <c r="F127" s="14">
        <v>46297.832048611112</v>
      </c>
      <c r="G127" s="13" t="s">
        <v>21</v>
      </c>
      <c r="H127" s="13" t="s">
        <v>1454</v>
      </c>
      <c r="I127" s="15">
        <v>340</v>
      </c>
      <c r="J127" s="13" t="s">
        <v>22</v>
      </c>
      <c r="K127" s="13" t="s">
        <v>23</v>
      </c>
      <c r="L127" s="15">
        <v>732</v>
      </c>
      <c r="M127" s="13" t="s">
        <v>1455</v>
      </c>
      <c r="N127" s="14">
        <v>46297.868217592593</v>
      </c>
      <c r="O127" s="15">
        <v>340</v>
      </c>
      <c r="P127" s="13" t="s">
        <v>25</v>
      </c>
      <c r="Q127" s="15">
        <v>40</v>
      </c>
      <c r="R127" s="3" t="str">
        <f>IF(OR(G127="12R",G127="12L"),_xlfn.XLOOKUP(C127,Tabla42[ADEP],Tabla42[SID 12R],""),IF(OR(G127="30L",G127="30R"),_xlfn.XLOOKUP(C127,Tabla42[ADEP],Tabla42[SID 30L],""),""))</f>
        <v>ENEBA</v>
      </c>
      <c r="S127" s="3">
        <f t="shared" si="1"/>
        <v>19</v>
      </c>
      <c r="T127" s="3" t="str">
        <f>_xlfn.XLOOKUP(C127,Tabla42[ADEP],Tabla42[Sector],"")</f>
        <v>Sector 3</v>
      </c>
    </row>
    <row r="128" spans="1:20" x14ac:dyDescent="0.2">
      <c r="A128" s="13" t="s">
        <v>238</v>
      </c>
      <c r="B128" s="13" t="s">
        <v>18</v>
      </c>
      <c r="C128" s="13" t="s">
        <v>239</v>
      </c>
      <c r="D128" s="13" t="s">
        <v>60</v>
      </c>
      <c r="E128" s="13" t="s">
        <v>383</v>
      </c>
      <c r="F128" s="14">
        <v>46297.835902777777</v>
      </c>
      <c r="G128" s="13" t="s">
        <v>21</v>
      </c>
      <c r="H128" s="13" t="s">
        <v>1456</v>
      </c>
      <c r="I128" s="15">
        <v>340</v>
      </c>
      <c r="J128" s="13" t="s">
        <v>22</v>
      </c>
      <c r="K128" s="13" t="s">
        <v>23</v>
      </c>
      <c r="L128" s="15">
        <v>874</v>
      </c>
      <c r="M128" s="13" t="s">
        <v>614</v>
      </c>
      <c r="N128" s="14">
        <v>46297.879050925927</v>
      </c>
      <c r="O128" s="15">
        <v>340</v>
      </c>
      <c r="P128" s="13" t="s">
        <v>25</v>
      </c>
      <c r="Q128" s="15">
        <v>190</v>
      </c>
      <c r="R128" s="3" t="str">
        <f>IF(OR(G128="12R",G128="12L"),_xlfn.XLOOKUP(C128,Tabla42[ADEP],Tabla42[SID 12R],""),IF(OR(G128="30L",G128="30R"),_xlfn.XLOOKUP(C128,Tabla42[ADEP],Tabla42[SID 30L],""),""))</f>
        <v>UDGUV</v>
      </c>
      <c r="S128" s="3">
        <f t="shared" si="1"/>
        <v>20</v>
      </c>
      <c r="T128" s="3" t="str">
        <f>_xlfn.XLOOKUP(C128,Tabla42[ADEP],Tabla42[Sector],"")</f>
        <v>Sector 2</v>
      </c>
    </row>
    <row r="129" spans="1:20" x14ac:dyDescent="0.2">
      <c r="A129" s="13" t="s">
        <v>272</v>
      </c>
      <c r="B129" s="13" t="s">
        <v>18</v>
      </c>
      <c r="C129" s="13" t="s">
        <v>42</v>
      </c>
      <c r="D129" s="13" t="s">
        <v>53</v>
      </c>
      <c r="E129" s="13" t="s">
        <v>97</v>
      </c>
      <c r="F129" s="14">
        <v>46297.837222222224</v>
      </c>
      <c r="G129" s="13" t="s">
        <v>21</v>
      </c>
      <c r="H129" s="13" t="s">
        <v>1457</v>
      </c>
      <c r="I129" s="15">
        <v>360</v>
      </c>
      <c r="J129" s="13" t="s">
        <v>22</v>
      </c>
      <c r="K129" s="13" t="s">
        <v>23</v>
      </c>
      <c r="L129" s="15">
        <v>863</v>
      </c>
      <c r="M129" s="13" t="s">
        <v>45</v>
      </c>
      <c r="N129" s="14">
        <v>46297.881631944445</v>
      </c>
      <c r="O129" s="15">
        <v>341</v>
      </c>
      <c r="P129" s="13" t="s">
        <v>25</v>
      </c>
      <c r="Q129" s="15">
        <v>190</v>
      </c>
      <c r="R129" s="3" t="str">
        <f>IF(OR(G129="12R",G129="12L"),_xlfn.XLOOKUP(C129,Tabla42[ADEP],Tabla42[SID 12R],""),IF(OR(G129="30L",G129="30R"),_xlfn.XLOOKUP(C129,Tabla42[ADEP],Tabla42[SID 30L],""),""))</f>
        <v>UDGUV</v>
      </c>
      <c r="S129" s="3">
        <f t="shared" si="1"/>
        <v>20</v>
      </c>
      <c r="T129" s="3" t="str">
        <f>_xlfn.XLOOKUP(C129,Tabla42[ADEP],Tabla42[Sector],"")</f>
        <v>Sector 2</v>
      </c>
    </row>
    <row r="130" spans="1:20" x14ac:dyDescent="0.2">
      <c r="A130" s="13" t="s">
        <v>278</v>
      </c>
      <c r="B130" s="13" t="s">
        <v>18</v>
      </c>
      <c r="C130" s="13" t="s">
        <v>265</v>
      </c>
      <c r="D130" s="13" t="s">
        <v>53</v>
      </c>
      <c r="E130" s="13" t="s">
        <v>645</v>
      </c>
      <c r="F130" s="14">
        <v>46297.83965277778</v>
      </c>
      <c r="G130" s="13" t="s">
        <v>21</v>
      </c>
      <c r="H130" s="13" t="s">
        <v>1458</v>
      </c>
      <c r="I130" s="15">
        <v>380</v>
      </c>
      <c r="J130" s="13" t="s">
        <v>22</v>
      </c>
      <c r="K130" s="13" t="s">
        <v>23</v>
      </c>
      <c r="L130" s="15">
        <v>891</v>
      </c>
      <c r="M130" s="13" t="s">
        <v>505</v>
      </c>
      <c r="N130" s="14">
        <v>46297.883981481486</v>
      </c>
      <c r="O130" s="15">
        <v>380</v>
      </c>
      <c r="P130" s="13" t="s">
        <v>25</v>
      </c>
      <c r="Q130" s="15">
        <v>190</v>
      </c>
      <c r="R130" s="3" t="str">
        <f>IF(OR(G130="12R",G130="12L"),_xlfn.XLOOKUP(C130,Tabla42[ADEP],Tabla42[SID 12R],""),IF(OR(G130="30L",G130="30R"),_xlfn.XLOOKUP(C130,Tabla42[ADEP],Tabla42[SID 30L],""),""))</f>
        <v>UDGUV</v>
      </c>
      <c r="S130" s="3">
        <f t="shared" si="1"/>
        <v>20</v>
      </c>
      <c r="T130" s="3" t="str">
        <f>_xlfn.XLOOKUP(C130,Tabla42[ADEP],Tabla42[Sector],"")</f>
        <v>Sector 2</v>
      </c>
    </row>
    <row r="131" spans="1:20" x14ac:dyDescent="0.2">
      <c r="A131" s="13" t="s">
        <v>274</v>
      </c>
      <c r="B131" s="13" t="s">
        <v>18</v>
      </c>
      <c r="C131" s="13" t="s">
        <v>96</v>
      </c>
      <c r="D131" s="13" t="s">
        <v>33</v>
      </c>
      <c r="E131" s="13" t="s">
        <v>955</v>
      </c>
      <c r="F131" s="14">
        <v>46297.842291666668</v>
      </c>
      <c r="G131" s="13" t="s">
        <v>21</v>
      </c>
      <c r="H131" s="13" t="s">
        <v>1459</v>
      </c>
      <c r="I131" s="15">
        <v>360</v>
      </c>
      <c r="J131" s="13" t="s">
        <v>22</v>
      </c>
      <c r="K131" s="13" t="s">
        <v>23</v>
      </c>
      <c r="L131" s="15">
        <v>861</v>
      </c>
      <c r="M131" s="13" t="s">
        <v>45</v>
      </c>
      <c r="N131" s="14">
        <v>46297.887418981481</v>
      </c>
      <c r="O131" s="15">
        <v>360</v>
      </c>
      <c r="P131" s="13" t="s">
        <v>25</v>
      </c>
      <c r="Q131" s="15">
        <v>190</v>
      </c>
      <c r="R131" s="3" t="str">
        <f>IF(OR(G131="12R",G131="12L"),_xlfn.XLOOKUP(C131,Tabla42[ADEP],Tabla42[SID 12R],""),IF(OR(G131="30L",G131="30R"),_xlfn.XLOOKUP(C131,Tabla42[ADEP],Tabla42[SID 30L],""),""))</f>
        <v>UDGUV</v>
      </c>
      <c r="S131" s="3">
        <f t="shared" ref="S131:S194" si="2">HOUR(F131)</f>
        <v>20</v>
      </c>
      <c r="T131" s="3" t="str">
        <f>_xlfn.XLOOKUP(C131,Tabla42[ADEP],Tabla42[Sector],"")</f>
        <v>Sector 2</v>
      </c>
    </row>
    <row r="132" spans="1:20" x14ac:dyDescent="0.2">
      <c r="A132" s="13" t="s">
        <v>307</v>
      </c>
      <c r="B132" s="13" t="s">
        <v>18</v>
      </c>
      <c r="C132" s="13" t="s">
        <v>190</v>
      </c>
      <c r="D132" s="13" t="s">
        <v>33</v>
      </c>
      <c r="E132" s="13" t="s">
        <v>725</v>
      </c>
      <c r="F132" s="14">
        <v>46297.843171296292</v>
      </c>
      <c r="G132" s="13" t="s">
        <v>21</v>
      </c>
      <c r="H132" s="13" t="s">
        <v>191</v>
      </c>
      <c r="I132" s="15">
        <v>390</v>
      </c>
      <c r="J132" s="13" t="s">
        <v>22</v>
      </c>
      <c r="K132" s="13" t="s">
        <v>23</v>
      </c>
      <c r="L132" s="15">
        <v>136</v>
      </c>
      <c r="M132" s="13" t="s">
        <v>39</v>
      </c>
      <c r="N132" s="14">
        <v>46297.852303240739</v>
      </c>
      <c r="O132" s="15">
        <v>264</v>
      </c>
      <c r="P132" s="13" t="s">
        <v>25</v>
      </c>
      <c r="Q132" s="15">
        <v>190</v>
      </c>
      <c r="R132" s="3" t="str">
        <f>IF(OR(G132="12R",G132="12L"),_xlfn.XLOOKUP(C132,Tabla42[ADEP],Tabla42[SID 12R],""),IF(OR(G132="30L",G132="30R"),_xlfn.XLOOKUP(C132,Tabla42[ADEP],Tabla42[SID 30L],""),""))</f>
        <v>NUDAL</v>
      </c>
      <c r="S132" s="3">
        <f t="shared" si="2"/>
        <v>20</v>
      </c>
      <c r="T132" s="3" t="str">
        <f>_xlfn.XLOOKUP(C132,Tabla42[ADEP],Tabla42[Sector],"")</f>
        <v>Sector 3</v>
      </c>
    </row>
    <row r="133" spans="1:20" x14ac:dyDescent="0.2">
      <c r="A133" s="13" t="s">
        <v>443</v>
      </c>
      <c r="B133" s="13" t="s">
        <v>18</v>
      </c>
      <c r="C133" s="13" t="s">
        <v>444</v>
      </c>
      <c r="D133" s="13" t="s">
        <v>110</v>
      </c>
      <c r="E133" s="13" t="s">
        <v>1460</v>
      </c>
      <c r="F133" s="14">
        <v>46297.844618055555</v>
      </c>
      <c r="G133" s="13" t="s">
        <v>21</v>
      </c>
      <c r="H133" s="13" t="s">
        <v>1461</v>
      </c>
      <c r="I133" s="15">
        <v>390</v>
      </c>
      <c r="J133" s="13" t="s">
        <v>22</v>
      </c>
      <c r="K133" s="13" t="s">
        <v>23</v>
      </c>
      <c r="L133" s="15">
        <v>210</v>
      </c>
      <c r="M133" s="13" t="s">
        <v>355</v>
      </c>
      <c r="N133" s="14">
        <v>46297.856724537036</v>
      </c>
      <c r="O133" s="15">
        <v>310</v>
      </c>
      <c r="P133" s="13" t="s">
        <v>25</v>
      </c>
      <c r="Q133" s="15">
        <v>40</v>
      </c>
      <c r="R133" s="3" t="str">
        <f>IF(OR(G133="12R",G133="12L"),_xlfn.XLOOKUP(C133,Tabla42[ADEP],Tabla42[SID 12R],""),IF(OR(G133="30L",G133="30R"),_xlfn.XLOOKUP(C133,Tabla42[ADEP],Tabla42[SID 30L],""),""))</f>
        <v>ENEBA</v>
      </c>
      <c r="S133" s="3">
        <f t="shared" si="2"/>
        <v>20</v>
      </c>
      <c r="T133" s="3" t="str">
        <f>_xlfn.XLOOKUP(C133,Tabla42[ADEP],Tabla42[Sector],"")</f>
        <v>Sector 3</v>
      </c>
    </row>
    <row r="134" spans="1:20" x14ac:dyDescent="0.2">
      <c r="A134" s="13" t="s">
        <v>280</v>
      </c>
      <c r="B134" s="13" t="s">
        <v>18</v>
      </c>
      <c r="C134" s="13" t="s">
        <v>49</v>
      </c>
      <c r="D134" s="13" t="s">
        <v>53</v>
      </c>
      <c r="E134" s="13" t="s">
        <v>727</v>
      </c>
      <c r="F134" s="14">
        <v>46297.846168981487</v>
      </c>
      <c r="G134" s="13" t="s">
        <v>21</v>
      </c>
      <c r="H134" s="13" t="s">
        <v>1462</v>
      </c>
      <c r="I134" s="15">
        <v>380</v>
      </c>
      <c r="J134" s="13" t="s">
        <v>22</v>
      </c>
      <c r="K134" s="13" t="s">
        <v>23</v>
      </c>
      <c r="L134" s="15">
        <v>857</v>
      </c>
      <c r="M134" s="13" t="s">
        <v>45</v>
      </c>
      <c r="N134" s="14">
        <v>46297.890972222223</v>
      </c>
      <c r="O134" s="15">
        <v>380</v>
      </c>
      <c r="P134" s="13" t="s">
        <v>25</v>
      </c>
      <c r="Q134" s="15">
        <v>190</v>
      </c>
      <c r="R134" s="3" t="str">
        <f>IF(OR(G134="12R",G134="12L"),_xlfn.XLOOKUP(C134,Tabla42[ADEP],Tabla42[SID 12R],""),IF(OR(G134="30L",G134="30R"),_xlfn.XLOOKUP(C134,Tabla42[ADEP],Tabla42[SID 30L],""),""))</f>
        <v>UDGUV</v>
      </c>
      <c r="S134" s="3">
        <f t="shared" si="2"/>
        <v>20</v>
      </c>
      <c r="T134" s="3" t="str">
        <f>_xlfn.XLOOKUP(C134,Tabla42[ADEP],Tabla42[Sector],"")</f>
        <v>Sector 2</v>
      </c>
    </row>
    <row r="135" spans="1:20" x14ac:dyDescent="0.2">
      <c r="A135" s="13" t="s">
        <v>241</v>
      </c>
      <c r="B135" s="13" t="s">
        <v>18</v>
      </c>
      <c r="C135" s="13" t="s">
        <v>121</v>
      </c>
      <c r="D135" s="13" t="s">
        <v>60</v>
      </c>
      <c r="E135" s="13" t="s">
        <v>1463</v>
      </c>
      <c r="F135" s="14">
        <v>46297.851087962961</v>
      </c>
      <c r="G135" s="13" t="s">
        <v>21</v>
      </c>
      <c r="H135" s="13" t="s">
        <v>1464</v>
      </c>
      <c r="I135" s="15">
        <v>360</v>
      </c>
      <c r="J135" s="13" t="s">
        <v>22</v>
      </c>
      <c r="K135" s="13" t="s">
        <v>23</v>
      </c>
      <c r="L135" s="15">
        <v>439</v>
      </c>
      <c r="M135" s="13" t="s">
        <v>189</v>
      </c>
      <c r="N135" s="14">
        <v>46297.874745370369</v>
      </c>
      <c r="O135" s="15">
        <v>340</v>
      </c>
      <c r="P135" s="13" t="s">
        <v>25</v>
      </c>
      <c r="Q135" s="15">
        <v>40</v>
      </c>
      <c r="R135" s="3" t="str">
        <f>IF(OR(G135="12R",G135="12L"),_xlfn.XLOOKUP(C135,Tabla42[ADEP],Tabla42[SID 12R],""),IF(OR(G135="30L",G135="30R"),_xlfn.XLOOKUP(C135,Tabla42[ADEP],Tabla42[SID 30L],""),""))</f>
        <v>ENEBA</v>
      </c>
      <c r="S135" s="3">
        <f t="shared" si="2"/>
        <v>20</v>
      </c>
      <c r="T135" s="3" t="str">
        <f>_xlfn.XLOOKUP(C135,Tabla42[ADEP],Tabla42[Sector],"")</f>
        <v>Sector 3</v>
      </c>
    </row>
    <row r="136" spans="1:20" x14ac:dyDescent="0.2">
      <c r="A136" s="13" t="s">
        <v>282</v>
      </c>
      <c r="B136" s="13" t="s">
        <v>18</v>
      </c>
      <c r="C136" s="13" t="s">
        <v>42</v>
      </c>
      <c r="D136" s="13" t="s">
        <v>20</v>
      </c>
      <c r="E136" s="13" t="s">
        <v>667</v>
      </c>
      <c r="F136" s="14">
        <v>46297.852152777778</v>
      </c>
      <c r="G136" s="13" t="s">
        <v>21</v>
      </c>
      <c r="H136" s="13" t="s">
        <v>1465</v>
      </c>
      <c r="I136" s="15">
        <v>340</v>
      </c>
      <c r="J136" s="13" t="s">
        <v>22</v>
      </c>
      <c r="K136" s="13" t="s">
        <v>23</v>
      </c>
      <c r="L136" s="15">
        <v>861</v>
      </c>
      <c r="M136" s="13" t="s">
        <v>45</v>
      </c>
      <c r="N136" s="14">
        <v>46297.898032407407</v>
      </c>
      <c r="O136" s="15">
        <v>340</v>
      </c>
      <c r="P136" s="13" t="s">
        <v>25</v>
      </c>
      <c r="Q136" s="15">
        <v>190</v>
      </c>
      <c r="R136" s="3" t="str">
        <f>IF(OR(G136="12R",G136="12L"),_xlfn.XLOOKUP(C136,Tabla42[ADEP],Tabla42[SID 12R],""),IF(OR(G136="30L",G136="30R"),_xlfn.XLOOKUP(C136,Tabla42[ADEP],Tabla42[SID 30L],""),""))</f>
        <v>UDGUV</v>
      </c>
      <c r="S136" s="3">
        <f t="shared" si="2"/>
        <v>20</v>
      </c>
      <c r="T136" s="3" t="str">
        <f>_xlfn.XLOOKUP(C136,Tabla42[ADEP],Tabla42[Sector],"")</f>
        <v>Sector 2</v>
      </c>
    </row>
    <row r="137" spans="1:20" x14ac:dyDescent="0.2">
      <c r="A137" s="13" t="s">
        <v>283</v>
      </c>
      <c r="B137" s="13" t="s">
        <v>18</v>
      </c>
      <c r="C137" s="13" t="s">
        <v>126</v>
      </c>
      <c r="D137" s="13" t="s">
        <v>117</v>
      </c>
      <c r="E137" s="13" t="s">
        <v>1466</v>
      </c>
      <c r="F137" s="14">
        <v>46297.853043981479</v>
      </c>
      <c r="G137" s="13" t="s">
        <v>21</v>
      </c>
      <c r="H137" s="13" t="s">
        <v>1467</v>
      </c>
      <c r="I137" s="15">
        <v>350</v>
      </c>
      <c r="J137" s="13" t="s">
        <v>22</v>
      </c>
      <c r="K137" s="13" t="s">
        <v>23</v>
      </c>
      <c r="L137" s="15">
        <v>136</v>
      </c>
      <c r="M137" s="13" t="s">
        <v>1062</v>
      </c>
      <c r="N137" s="14">
        <v>46297.86210648148</v>
      </c>
      <c r="O137" s="15">
        <v>257</v>
      </c>
      <c r="P137" s="13" t="s">
        <v>25</v>
      </c>
      <c r="Q137" s="15">
        <v>190</v>
      </c>
      <c r="R137" s="3" t="str">
        <f>IF(OR(G137="12R",G137="12L"),_xlfn.XLOOKUP(C137,Tabla42[ADEP],Tabla42[SID 12R],""),IF(OR(G137="30L",G137="30R"),_xlfn.XLOOKUP(C137,Tabla42[ADEP],Tabla42[SID 30L],""),""))</f>
        <v>ENEBA</v>
      </c>
      <c r="S137" s="3">
        <f t="shared" si="2"/>
        <v>20</v>
      </c>
      <c r="T137" s="3" t="str">
        <f>_xlfn.XLOOKUP(C137,Tabla42[ADEP],Tabla42[Sector],"")</f>
        <v>Sector 3</v>
      </c>
    </row>
    <row r="138" spans="1:20" x14ac:dyDescent="0.2">
      <c r="A138" s="13" t="s">
        <v>227</v>
      </c>
      <c r="B138" s="13" t="s">
        <v>18</v>
      </c>
      <c r="C138" s="13" t="s">
        <v>133</v>
      </c>
      <c r="D138" s="13" t="s">
        <v>60</v>
      </c>
      <c r="E138" s="13" t="s">
        <v>347</v>
      </c>
      <c r="F138" s="14">
        <v>46297.854861111111</v>
      </c>
      <c r="G138" s="13" t="s">
        <v>21</v>
      </c>
      <c r="H138" s="13" t="s">
        <v>1468</v>
      </c>
      <c r="I138" s="15">
        <v>350</v>
      </c>
      <c r="J138" s="13" t="s">
        <v>22</v>
      </c>
      <c r="K138" s="13" t="s">
        <v>23</v>
      </c>
      <c r="L138" s="15">
        <v>208</v>
      </c>
      <c r="M138" s="13" t="s">
        <v>355</v>
      </c>
      <c r="N138" s="14">
        <v>46297.867789351847</v>
      </c>
      <c r="O138" s="15">
        <v>226</v>
      </c>
      <c r="P138" s="13" t="s">
        <v>25</v>
      </c>
      <c r="Q138" s="15">
        <v>40</v>
      </c>
      <c r="R138" s="3" t="str">
        <f>IF(OR(G138="12R",G138="12L"),_xlfn.XLOOKUP(C138,Tabla42[ADEP],Tabla42[SID 12R],""),IF(OR(G138="30L",G138="30R"),_xlfn.XLOOKUP(C138,Tabla42[ADEP],Tabla42[SID 30L],""),""))</f>
        <v>OMSUK</v>
      </c>
      <c r="S138" s="3">
        <f t="shared" si="2"/>
        <v>20</v>
      </c>
      <c r="T138" s="3" t="str">
        <f>_xlfn.XLOOKUP(C138,Tabla42[ADEP],Tabla42[Sector],"")</f>
        <v>Sector 3</v>
      </c>
    </row>
    <row r="139" spans="1:20" x14ac:dyDescent="0.2">
      <c r="A139" s="13" t="s">
        <v>264</v>
      </c>
      <c r="B139" s="13" t="s">
        <v>18</v>
      </c>
      <c r="C139" s="13" t="s">
        <v>265</v>
      </c>
      <c r="D139" s="13" t="s">
        <v>33</v>
      </c>
      <c r="E139" s="13" t="s">
        <v>532</v>
      </c>
      <c r="F139" s="14">
        <v>46297.857199074075</v>
      </c>
      <c r="G139" s="13" t="s">
        <v>21</v>
      </c>
      <c r="H139" s="13" t="s">
        <v>1469</v>
      </c>
      <c r="I139" s="15">
        <v>360</v>
      </c>
      <c r="J139" s="13" t="s">
        <v>22</v>
      </c>
      <c r="K139" s="13" t="s">
        <v>23</v>
      </c>
      <c r="L139" s="15">
        <v>874</v>
      </c>
      <c r="M139" s="13" t="s">
        <v>676</v>
      </c>
      <c r="N139" s="14">
        <v>46297.901307870372</v>
      </c>
      <c r="O139" s="15">
        <v>360</v>
      </c>
      <c r="P139" s="13" t="s">
        <v>25</v>
      </c>
      <c r="Q139" s="15">
        <v>190</v>
      </c>
      <c r="R139" s="3" t="str">
        <f>IF(OR(G139="12R",G139="12L"),_xlfn.XLOOKUP(C139,Tabla42[ADEP],Tabla42[SID 12R],""),IF(OR(G139="30L",G139="30R"),_xlfn.XLOOKUP(C139,Tabla42[ADEP],Tabla42[SID 30L],""),""))</f>
        <v>UDGUV</v>
      </c>
      <c r="S139" s="3">
        <f t="shared" si="2"/>
        <v>20</v>
      </c>
      <c r="T139" s="3" t="str">
        <f>_xlfn.XLOOKUP(C139,Tabla42[ADEP],Tabla42[Sector],"")</f>
        <v>Sector 2</v>
      </c>
    </row>
    <row r="140" spans="1:20" x14ac:dyDescent="0.2">
      <c r="A140" s="13" t="s">
        <v>262</v>
      </c>
      <c r="B140" s="13" t="s">
        <v>18</v>
      </c>
      <c r="C140" s="13" t="s">
        <v>263</v>
      </c>
      <c r="D140" s="13" t="s">
        <v>33</v>
      </c>
      <c r="E140" s="13" t="s">
        <v>1044</v>
      </c>
      <c r="F140" s="14">
        <v>46297.858391203699</v>
      </c>
      <c r="G140" s="13" t="s">
        <v>21</v>
      </c>
      <c r="H140" s="13" t="s">
        <v>459</v>
      </c>
      <c r="I140" s="15">
        <v>350</v>
      </c>
      <c r="J140" s="13" t="s">
        <v>22</v>
      </c>
      <c r="K140" s="13" t="s">
        <v>23</v>
      </c>
      <c r="L140" s="15">
        <v>136</v>
      </c>
      <c r="M140" s="13" t="s">
        <v>39</v>
      </c>
      <c r="N140" s="14">
        <v>46297.867465277777</v>
      </c>
      <c r="O140" s="15">
        <v>262</v>
      </c>
      <c r="P140" s="13" t="s">
        <v>25</v>
      </c>
      <c r="Q140" s="15">
        <v>190</v>
      </c>
      <c r="R140" s="3" t="str">
        <f>IF(OR(G140="12R",G140="12L"),_xlfn.XLOOKUP(C140,Tabla42[ADEP],Tabla42[SID 12R],""),IF(OR(G140="30L",G140="30R"),_xlfn.XLOOKUP(C140,Tabla42[ADEP],Tabla42[SID 30L],""),""))</f>
        <v>OMSUK</v>
      </c>
      <c r="S140" s="3">
        <f t="shared" si="2"/>
        <v>20</v>
      </c>
      <c r="T140" s="3" t="str">
        <f>_xlfn.XLOOKUP(C140,Tabla42[ADEP],Tabla42[Sector],"")</f>
        <v>Sector 3</v>
      </c>
    </row>
    <row r="141" spans="1:20" x14ac:dyDescent="0.2">
      <c r="A141" s="13" t="s">
        <v>1470</v>
      </c>
      <c r="B141" s="13" t="s">
        <v>18</v>
      </c>
      <c r="C141" s="13" t="s">
        <v>137</v>
      </c>
      <c r="D141" s="13" t="s">
        <v>451</v>
      </c>
      <c r="E141" s="13" t="s">
        <v>1471</v>
      </c>
      <c r="F141" s="14">
        <v>46297.859861111108</v>
      </c>
      <c r="G141" s="13" t="s">
        <v>21</v>
      </c>
      <c r="H141" s="13" t="s">
        <v>1472</v>
      </c>
      <c r="I141" s="15">
        <v>390</v>
      </c>
      <c r="J141" s="13" t="s">
        <v>22</v>
      </c>
      <c r="K141" s="13" t="s">
        <v>141</v>
      </c>
      <c r="L141" s="15">
        <v>207</v>
      </c>
      <c r="M141" s="13" t="s">
        <v>355</v>
      </c>
      <c r="N141" s="14">
        <v>46297.871527777781</v>
      </c>
      <c r="O141" s="15">
        <v>310</v>
      </c>
      <c r="P141" s="13" t="s">
        <v>25</v>
      </c>
      <c r="Q141" s="15">
        <v>40</v>
      </c>
      <c r="R141" s="3" t="str">
        <f>IF(OR(G141="12R",G141="12L"),_xlfn.XLOOKUP(C141,Tabla42[ADEP],Tabla42[SID 12R],""),IF(OR(G141="30L",G141="30R"),_xlfn.XLOOKUP(C141,Tabla42[ADEP],Tabla42[SID 30L],""),""))</f>
        <v>NUDAL</v>
      </c>
      <c r="S141" s="3">
        <f t="shared" si="2"/>
        <v>20</v>
      </c>
      <c r="T141" s="3" t="str">
        <f>_xlfn.XLOOKUP(C141,Tabla42[ADEP],Tabla42[Sector],"")</f>
        <v>Sector 3</v>
      </c>
    </row>
    <row r="142" spans="1:20" x14ac:dyDescent="0.2">
      <c r="A142" s="13" t="s">
        <v>665</v>
      </c>
      <c r="B142" s="13" t="s">
        <v>18</v>
      </c>
      <c r="C142" s="13" t="s">
        <v>206</v>
      </c>
      <c r="D142" s="13" t="s">
        <v>53</v>
      </c>
      <c r="E142" s="13" t="s">
        <v>666</v>
      </c>
      <c r="F142" s="14">
        <v>46297.860787037032</v>
      </c>
      <c r="G142" s="13" t="s">
        <v>21</v>
      </c>
      <c r="H142" s="13" t="s">
        <v>1473</v>
      </c>
      <c r="I142" s="15">
        <v>380</v>
      </c>
      <c r="J142" s="13" t="s">
        <v>22</v>
      </c>
      <c r="K142" s="13" t="s">
        <v>23</v>
      </c>
      <c r="L142" s="15">
        <v>863</v>
      </c>
      <c r="M142" s="13" t="s">
        <v>45</v>
      </c>
      <c r="N142" s="14">
        <v>46297.905995370369</v>
      </c>
      <c r="O142" s="15">
        <v>380</v>
      </c>
      <c r="P142" s="13" t="s">
        <v>25</v>
      </c>
      <c r="Q142" s="15">
        <v>190</v>
      </c>
      <c r="R142" s="3" t="str">
        <f>IF(OR(G142="12R",G142="12L"),_xlfn.XLOOKUP(C142,Tabla42[ADEP],Tabla42[SID 12R],""),IF(OR(G142="30L",G142="30R"),_xlfn.XLOOKUP(C142,Tabla42[ADEP],Tabla42[SID 30L],""),""))</f>
        <v>UDGUV</v>
      </c>
      <c r="S142" s="3">
        <f t="shared" si="2"/>
        <v>20</v>
      </c>
      <c r="T142" s="3" t="str">
        <f>_xlfn.XLOOKUP(C142,Tabla42[ADEP],Tabla42[Sector],"")</f>
        <v>Sector 2</v>
      </c>
    </row>
    <row r="143" spans="1:20" x14ac:dyDescent="0.2">
      <c r="A143" s="13" t="s">
        <v>744</v>
      </c>
      <c r="B143" s="13" t="s">
        <v>18</v>
      </c>
      <c r="C143" s="13" t="s">
        <v>188</v>
      </c>
      <c r="D143" s="13" t="s">
        <v>122</v>
      </c>
      <c r="E143" s="13" t="s">
        <v>1474</v>
      </c>
      <c r="F143" s="14">
        <v>46297.861851851849</v>
      </c>
      <c r="G143" s="13" t="s">
        <v>21</v>
      </c>
      <c r="H143" s="13" t="s">
        <v>1475</v>
      </c>
      <c r="I143" s="15">
        <v>360</v>
      </c>
      <c r="J143" s="13" t="s">
        <v>22</v>
      </c>
      <c r="K143" s="13" t="s">
        <v>23</v>
      </c>
      <c r="L143" s="15">
        <v>552</v>
      </c>
      <c r="M143" s="13" t="s">
        <v>123</v>
      </c>
      <c r="N143" s="14">
        <v>46297.891342592593</v>
      </c>
      <c r="O143" s="15">
        <v>360</v>
      </c>
      <c r="P143" s="13" t="s">
        <v>25</v>
      </c>
      <c r="Q143" s="15">
        <v>40</v>
      </c>
      <c r="R143" s="3" t="str">
        <f>IF(OR(G143="12R",G143="12L"),_xlfn.XLOOKUP(C143,Tabla42[ADEP],Tabla42[SID 12R],""),IF(OR(G143="30L",G143="30R"),_xlfn.XLOOKUP(C143,Tabla42[ADEP],Tabla42[SID 30L],""),""))</f>
        <v>ENEBA</v>
      </c>
      <c r="S143" s="3">
        <f t="shared" si="2"/>
        <v>20</v>
      </c>
      <c r="T143" s="3" t="str">
        <f>_xlfn.XLOOKUP(C143,Tabla42[ADEP],Tabla42[Sector],"")</f>
        <v>Sector 3</v>
      </c>
    </row>
    <row r="144" spans="1:20" x14ac:dyDescent="0.2">
      <c r="A144" s="13" t="s">
        <v>268</v>
      </c>
      <c r="B144" s="13" t="s">
        <v>18</v>
      </c>
      <c r="C144" s="13" t="s">
        <v>42</v>
      </c>
      <c r="D144" s="13" t="s">
        <v>43</v>
      </c>
      <c r="E144" s="13" t="s">
        <v>515</v>
      </c>
      <c r="F144" s="14">
        <v>46297.864421296297</v>
      </c>
      <c r="G144" s="13" t="s">
        <v>21</v>
      </c>
      <c r="H144" s="13" t="s">
        <v>1476</v>
      </c>
      <c r="I144" s="15">
        <v>360</v>
      </c>
      <c r="J144" s="13" t="s">
        <v>22</v>
      </c>
      <c r="K144" s="13" t="s">
        <v>23</v>
      </c>
      <c r="L144" s="15">
        <v>865</v>
      </c>
      <c r="M144" s="13" t="s">
        <v>45</v>
      </c>
      <c r="N144" s="14">
        <v>46297.907500000001</v>
      </c>
      <c r="O144" s="15">
        <v>360</v>
      </c>
      <c r="P144" s="13" t="s">
        <v>25</v>
      </c>
      <c r="Q144" s="15">
        <v>190</v>
      </c>
      <c r="R144" s="3" t="str">
        <f>IF(OR(G144="12R",G144="12L"),_xlfn.XLOOKUP(C144,Tabla42[ADEP],Tabla42[SID 12R],""),IF(OR(G144="30L",G144="30R"),_xlfn.XLOOKUP(C144,Tabla42[ADEP],Tabla42[SID 30L],""),""))</f>
        <v>UDGUV</v>
      </c>
      <c r="S144" s="3">
        <f t="shared" si="2"/>
        <v>20</v>
      </c>
      <c r="T144" s="3" t="str">
        <f>_xlfn.XLOOKUP(C144,Tabla42[ADEP],Tabla42[Sector],"")</f>
        <v>Sector 2</v>
      </c>
    </row>
    <row r="145" spans="1:20" x14ac:dyDescent="0.2">
      <c r="A145" s="13" t="s">
        <v>387</v>
      </c>
      <c r="B145" s="13" t="s">
        <v>18</v>
      </c>
      <c r="C145" s="13" t="s">
        <v>388</v>
      </c>
      <c r="D145" s="13" t="s">
        <v>60</v>
      </c>
      <c r="E145" s="13" t="s">
        <v>1002</v>
      </c>
      <c r="F145" s="14">
        <v>46297.86550925926</v>
      </c>
      <c r="G145" s="13" t="s">
        <v>21</v>
      </c>
      <c r="H145" s="13" t="s">
        <v>1477</v>
      </c>
      <c r="I145" s="15">
        <v>360</v>
      </c>
      <c r="J145" s="13" t="s">
        <v>22</v>
      </c>
      <c r="K145" s="13" t="s">
        <v>23</v>
      </c>
      <c r="L145" s="15">
        <v>786</v>
      </c>
      <c r="M145" s="13" t="s">
        <v>210</v>
      </c>
      <c r="N145" s="14">
        <v>46297.904606481483</v>
      </c>
      <c r="O145" s="15">
        <v>320</v>
      </c>
      <c r="P145" s="13" t="s">
        <v>25</v>
      </c>
      <c r="Q145" s="15">
        <v>190</v>
      </c>
      <c r="R145" s="3" t="str">
        <f>IF(OR(G145="12R",G145="12L"),_xlfn.XLOOKUP(C145,Tabla42[ADEP],Tabla42[SID 12R],""),IF(OR(G145="30L",G145="30R"),_xlfn.XLOOKUP(C145,Tabla42[ADEP],Tabla42[SID 30L],""),""))</f>
        <v>ENEBA</v>
      </c>
      <c r="S145" s="3">
        <f t="shared" si="2"/>
        <v>20</v>
      </c>
      <c r="T145" s="3" t="str">
        <f>_xlfn.XLOOKUP(C145,Tabla42[ADEP],Tabla42[Sector],"")</f>
        <v>Sector 3</v>
      </c>
    </row>
    <row r="146" spans="1:20" x14ac:dyDescent="0.2">
      <c r="A146" s="13" t="s">
        <v>476</v>
      </c>
      <c r="B146" s="13" t="s">
        <v>18</v>
      </c>
      <c r="C146" s="13" t="s">
        <v>188</v>
      </c>
      <c r="D146" s="13" t="s">
        <v>43</v>
      </c>
      <c r="E146" s="13" t="s">
        <v>464</v>
      </c>
      <c r="F146" s="14">
        <v>46297.867384259254</v>
      </c>
      <c r="G146" s="13" t="s">
        <v>21</v>
      </c>
      <c r="H146" s="13" t="s">
        <v>1478</v>
      </c>
      <c r="I146" s="15">
        <v>300</v>
      </c>
      <c r="J146" s="13" t="s">
        <v>22</v>
      </c>
      <c r="K146" s="13" t="s">
        <v>23</v>
      </c>
      <c r="L146" s="15">
        <v>816</v>
      </c>
      <c r="M146" s="13" t="s">
        <v>210</v>
      </c>
      <c r="N146" s="14">
        <v>46297.908622685187</v>
      </c>
      <c r="O146" s="15">
        <v>310</v>
      </c>
      <c r="P146" s="13" t="s">
        <v>25</v>
      </c>
      <c r="Q146" s="15">
        <v>190</v>
      </c>
      <c r="R146" s="3" t="str">
        <f>IF(OR(G146="12R",G146="12L"),_xlfn.XLOOKUP(C146,Tabla42[ADEP],Tabla42[SID 12R],""),IF(OR(G146="30L",G146="30R"),_xlfn.XLOOKUP(C146,Tabla42[ADEP],Tabla42[SID 30L],""),""))</f>
        <v>ENEBA</v>
      </c>
      <c r="S146" s="3">
        <f t="shared" si="2"/>
        <v>20</v>
      </c>
      <c r="T146" s="3" t="str">
        <f>_xlfn.XLOOKUP(C146,Tabla42[ADEP],Tabla42[Sector],"")</f>
        <v>Sector 3</v>
      </c>
    </row>
    <row r="147" spans="1:20" x14ac:dyDescent="0.2">
      <c r="A147" s="13" t="s">
        <v>202</v>
      </c>
      <c r="B147" s="13" t="s">
        <v>18</v>
      </c>
      <c r="C147" s="13" t="s">
        <v>32</v>
      </c>
      <c r="D147" s="13" t="s">
        <v>20</v>
      </c>
      <c r="E147" s="13" t="s">
        <v>316</v>
      </c>
      <c r="F147" s="14">
        <v>46297.878287037034</v>
      </c>
      <c r="G147" s="13" t="s">
        <v>21</v>
      </c>
      <c r="H147" s="13" t="s">
        <v>1479</v>
      </c>
      <c r="I147" s="15">
        <v>340</v>
      </c>
      <c r="J147" s="13" t="s">
        <v>22</v>
      </c>
      <c r="K147" s="13" t="s">
        <v>23</v>
      </c>
      <c r="L147" s="15">
        <v>999</v>
      </c>
      <c r="M147" s="13" t="s">
        <v>1480</v>
      </c>
      <c r="N147" s="14">
        <v>46297.927060185189</v>
      </c>
      <c r="O147" s="15">
        <v>340</v>
      </c>
      <c r="P147" s="13" t="s">
        <v>25</v>
      </c>
      <c r="Q147" s="15">
        <v>190</v>
      </c>
      <c r="R147" s="3" t="str">
        <f>IF(OR(G147="12R",G147="12L"),_xlfn.XLOOKUP(C147,Tabla42[ADEP],Tabla42[SID 12R],""),IF(OR(G147="30L",G147="30R"),_xlfn.XLOOKUP(C147,Tabla42[ADEP],Tabla42[SID 30L],""),""))</f>
        <v>UDGUV</v>
      </c>
      <c r="S147" s="3">
        <f t="shared" si="2"/>
        <v>21</v>
      </c>
      <c r="T147" s="3" t="str">
        <f>_xlfn.XLOOKUP(C147,Tabla42[ADEP],Tabla42[Sector],"")</f>
        <v>Sector 2</v>
      </c>
    </row>
    <row r="148" spans="1:20" x14ac:dyDescent="0.2">
      <c r="A148" s="13" t="s">
        <v>292</v>
      </c>
      <c r="B148" s="13" t="s">
        <v>18</v>
      </c>
      <c r="C148" s="13" t="s">
        <v>293</v>
      </c>
      <c r="D148" s="13" t="s">
        <v>43</v>
      </c>
      <c r="E148" s="13" t="s">
        <v>954</v>
      </c>
      <c r="F148" s="14">
        <v>46297.879675925928</v>
      </c>
      <c r="G148" s="13" t="s">
        <v>21</v>
      </c>
      <c r="H148" s="13" t="s">
        <v>1481</v>
      </c>
      <c r="I148" s="15">
        <v>360</v>
      </c>
      <c r="J148" s="13" t="s">
        <v>22</v>
      </c>
      <c r="K148" s="13" t="s">
        <v>23</v>
      </c>
      <c r="L148" s="15">
        <v>770</v>
      </c>
      <c r="M148" s="13" t="s">
        <v>210</v>
      </c>
      <c r="N148" s="14">
        <v>46297.91710648148</v>
      </c>
      <c r="O148" s="15">
        <v>360</v>
      </c>
      <c r="P148" s="13" t="s">
        <v>25</v>
      </c>
      <c r="Q148" s="15">
        <v>190</v>
      </c>
      <c r="R148" s="3" t="str">
        <f>IF(OR(G148="12R",G148="12L"),_xlfn.XLOOKUP(C148,Tabla42[ADEP],Tabla42[SID 12R],""),IF(OR(G148="30L",G148="30R"),_xlfn.XLOOKUP(C148,Tabla42[ADEP],Tabla42[SID 30L],""),""))</f>
        <v>UDGUV</v>
      </c>
      <c r="S148" s="3">
        <f t="shared" si="2"/>
        <v>21</v>
      </c>
      <c r="T148" s="3" t="str">
        <f>_xlfn.XLOOKUP(C148,Tabla42[ADEP],Tabla42[Sector],"")</f>
        <v>Sector 2</v>
      </c>
    </row>
    <row r="149" spans="1:20" x14ac:dyDescent="0.2">
      <c r="A149" s="13" t="s">
        <v>399</v>
      </c>
      <c r="B149" s="13" t="s">
        <v>18</v>
      </c>
      <c r="C149" s="13" t="s">
        <v>400</v>
      </c>
      <c r="D149" s="13" t="s">
        <v>53</v>
      </c>
      <c r="E149" s="13" t="s">
        <v>825</v>
      </c>
      <c r="F149" s="14">
        <v>46297.884224537032</v>
      </c>
      <c r="G149" s="13" t="s">
        <v>21</v>
      </c>
      <c r="H149" s="13" t="s">
        <v>1482</v>
      </c>
      <c r="I149" s="15">
        <v>380</v>
      </c>
      <c r="J149" s="13" t="s">
        <v>22</v>
      </c>
      <c r="K149" s="13" t="s">
        <v>23</v>
      </c>
      <c r="L149" s="15">
        <v>979</v>
      </c>
      <c r="M149" s="13" t="s">
        <v>1015</v>
      </c>
      <c r="N149" s="14">
        <v>46297.931770833333</v>
      </c>
      <c r="O149" s="15">
        <v>380</v>
      </c>
      <c r="P149" s="13" t="s">
        <v>25</v>
      </c>
      <c r="Q149" s="15">
        <v>190</v>
      </c>
      <c r="R149" s="3" t="str">
        <f>IF(OR(G149="12R",G149="12L"),_xlfn.XLOOKUP(C149,Tabla42[ADEP],Tabla42[SID 12R],""),IF(OR(G149="30L",G149="30R"),_xlfn.XLOOKUP(C149,Tabla42[ADEP],Tabla42[SID 30L],""),""))</f>
        <v>UDGUV</v>
      </c>
      <c r="S149" s="3">
        <f t="shared" si="2"/>
        <v>21</v>
      </c>
      <c r="T149" s="3" t="str">
        <f>_xlfn.XLOOKUP(C149,Tabla42[ADEP],Tabla42[Sector],"")</f>
        <v>Sector 2</v>
      </c>
    </row>
    <row r="150" spans="1:20" x14ac:dyDescent="0.2">
      <c r="A150" s="13" t="s">
        <v>389</v>
      </c>
      <c r="B150" s="13" t="s">
        <v>18</v>
      </c>
      <c r="C150" s="13" t="s">
        <v>242</v>
      </c>
      <c r="D150" s="13" t="s">
        <v>243</v>
      </c>
      <c r="E150" s="13" t="s">
        <v>993</v>
      </c>
      <c r="F150" s="14">
        <v>46297.885520833333</v>
      </c>
      <c r="G150" s="13" t="s">
        <v>21</v>
      </c>
      <c r="H150" s="13" t="s">
        <v>1483</v>
      </c>
      <c r="I150" s="15">
        <v>330</v>
      </c>
      <c r="J150" s="13" t="s">
        <v>22</v>
      </c>
      <c r="K150" s="13" t="s">
        <v>23</v>
      </c>
      <c r="L150" s="15">
        <v>140</v>
      </c>
      <c r="M150" s="13" t="s">
        <v>39</v>
      </c>
      <c r="N150" s="14">
        <v>46297.894583333335</v>
      </c>
      <c r="O150" s="15">
        <v>207</v>
      </c>
      <c r="P150" s="13" t="s">
        <v>40</v>
      </c>
      <c r="Q150" s="15">
        <v>190</v>
      </c>
      <c r="R150" s="3" t="str">
        <f>IF(OR(G150="12R",G150="12L"),_xlfn.XLOOKUP(C150,Tabla42[ADEP],Tabla42[SID 12R],""),IF(OR(G150="30L",G150="30R"),_xlfn.XLOOKUP(C150,Tabla42[ADEP],Tabla42[SID 30L],""),""))</f>
        <v>NUDAL</v>
      </c>
      <c r="S150" s="3">
        <f t="shared" si="2"/>
        <v>21</v>
      </c>
      <c r="T150" s="3" t="str">
        <f>_xlfn.XLOOKUP(C150,Tabla42[ADEP],Tabla42[Sector],"")</f>
        <v>Sector 3</v>
      </c>
    </row>
    <row r="151" spans="1:20" x14ac:dyDescent="0.2">
      <c r="A151" s="13" t="s">
        <v>745</v>
      </c>
      <c r="B151" s="13" t="s">
        <v>18</v>
      </c>
      <c r="C151" s="13" t="s">
        <v>121</v>
      </c>
      <c r="D151" s="13" t="s">
        <v>122</v>
      </c>
      <c r="E151" s="13" t="s">
        <v>1484</v>
      </c>
      <c r="F151" s="14">
        <v>46297.887013888889</v>
      </c>
      <c r="G151" s="13" t="s">
        <v>21</v>
      </c>
      <c r="H151" s="13" t="s">
        <v>1485</v>
      </c>
      <c r="I151" s="15">
        <v>360</v>
      </c>
      <c r="J151" s="13" t="s">
        <v>22</v>
      </c>
      <c r="K151" s="13" t="s">
        <v>23</v>
      </c>
      <c r="L151" s="15">
        <v>442</v>
      </c>
      <c r="M151" s="13" t="s">
        <v>189</v>
      </c>
      <c r="N151" s="14">
        <v>46297.910196759258</v>
      </c>
      <c r="O151" s="15">
        <v>360</v>
      </c>
      <c r="P151" s="13" t="s">
        <v>25</v>
      </c>
      <c r="Q151" s="15">
        <v>40</v>
      </c>
      <c r="R151" s="3" t="str">
        <f>IF(OR(G151="12R",G151="12L"),_xlfn.XLOOKUP(C151,Tabla42[ADEP],Tabla42[SID 12R],""),IF(OR(G151="30L",G151="30R"),_xlfn.XLOOKUP(C151,Tabla42[ADEP],Tabla42[SID 30L],""),""))</f>
        <v>ENEBA</v>
      </c>
      <c r="S151" s="3">
        <f t="shared" si="2"/>
        <v>21</v>
      </c>
      <c r="T151" s="3" t="str">
        <f>_xlfn.XLOOKUP(C151,Tabla42[ADEP],Tabla42[Sector],"")</f>
        <v>Sector 3</v>
      </c>
    </row>
    <row r="152" spans="1:20" x14ac:dyDescent="0.2">
      <c r="A152" s="13" t="s">
        <v>461</v>
      </c>
      <c r="B152" s="13" t="s">
        <v>18</v>
      </c>
      <c r="C152" s="13" t="s">
        <v>223</v>
      </c>
      <c r="D152" s="13" t="s">
        <v>122</v>
      </c>
      <c r="E152" s="13" t="s">
        <v>991</v>
      </c>
      <c r="F152" s="14">
        <v>46297.888194444444</v>
      </c>
      <c r="G152" s="13" t="s">
        <v>21</v>
      </c>
      <c r="H152" s="13" t="s">
        <v>1486</v>
      </c>
      <c r="I152" s="15">
        <v>390</v>
      </c>
      <c r="J152" s="13" t="s">
        <v>22</v>
      </c>
      <c r="K152" s="13" t="s">
        <v>23</v>
      </c>
      <c r="L152" s="15">
        <v>373</v>
      </c>
      <c r="M152" s="13" t="s">
        <v>578</v>
      </c>
      <c r="N152" s="14">
        <v>46297.908078703702</v>
      </c>
      <c r="O152" s="15">
        <v>390</v>
      </c>
      <c r="P152" s="13" t="s">
        <v>25</v>
      </c>
      <c r="Q152" s="15">
        <v>40</v>
      </c>
      <c r="R152" s="3" t="str">
        <f>IF(OR(G152="12R",G152="12L"),_xlfn.XLOOKUP(C152,Tabla42[ADEP],Tabla42[SID 12R],""),IF(OR(G152="30L",G152="30R"),_xlfn.XLOOKUP(C152,Tabla42[ADEP],Tabla42[SID 30L],""),""))</f>
        <v>OMSUK</v>
      </c>
      <c r="S152" s="3">
        <f t="shared" si="2"/>
        <v>21</v>
      </c>
      <c r="T152" s="3" t="str">
        <f>_xlfn.XLOOKUP(C152,Tabla42[ADEP],Tabla42[Sector],"")</f>
        <v>Sector 3</v>
      </c>
    </row>
    <row r="153" spans="1:20" x14ac:dyDescent="0.2">
      <c r="A153" s="13" t="s">
        <v>471</v>
      </c>
      <c r="B153" s="13" t="s">
        <v>18</v>
      </c>
      <c r="C153" s="13" t="s">
        <v>19</v>
      </c>
      <c r="D153" s="13" t="s">
        <v>33</v>
      </c>
      <c r="E153" s="13" t="s">
        <v>639</v>
      </c>
      <c r="F153" s="14">
        <v>46297.889039351852</v>
      </c>
      <c r="G153" s="13" t="s">
        <v>21</v>
      </c>
      <c r="H153" s="13" t="s">
        <v>1487</v>
      </c>
      <c r="I153" s="15">
        <v>360</v>
      </c>
      <c r="J153" s="13" t="s">
        <v>22</v>
      </c>
      <c r="K153" s="13" t="s">
        <v>23</v>
      </c>
      <c r="L153" s="15">
        <v>876</v>
      </c>
      <c r="M153" s="13" t="s">
        <v>505</v>
      </c>
      <c r="N153" s="14">
        <v>46297.932951388888</v>
      </c>
      <c r="O153" s="15">
        <v>360</v>
      </c>
      <c r="P153" s="13" t="s">
        <v>25</v>
      </c>
      <c r="Q153" s="15">
        <v>190</v>
      </c>
      <c r="R153" s="3" t="str">
        <f>IF(OR(G153="12R",G153="12L"),_xlfn.XLOOKUP(C153,Tabla42[ADEP],Tabla42[SID 12R],""),IF(OR(G153="30L",G153="30R"),_xlfn.XLOOKUP(C153,Tabla42[ADEP],Tabla42[SID 30L],""),""))</f>
        <v>UDGUV</v>
      </c>
      <c r="S153" s="3">
        <f t="shared" si="2"/>
        <v>21</v>
      </c>
      <c r="T153" s="3" t="str">
        <f>_xlfn.XLOOKUP(C153,Tabla42[ADEP],Tabla42[Sector],"")</f>
        <v>Sector 2</v>
      </c>
    </row>
    <row r="154" spans="1:20" x14ac:dyDescent="0.2">
      <c r="A154" s="13" t="s">
        <v>765</v>
      </c>
      <c r="B154" s="13" t="s">
        <v>18</v>
      </c>
      <c r="C154" s="13" t="s">
        <v>158</v>
      </c>
      <c r="D154" s="13" t="s">
        <v>60</v>
      </c>
      <c r="E154" s="13" t="s">
        <v>593</v>
      </c>
      <c r="F154" s="14">
        <v>46297.889918981484</v>
      </c>
      <c r="G154" s="13" t="s">
        <v>21</v>
      </c>
      <c r="H154" s="13" t="s">
        <v>1488</v>
      </c>
      <c r="I154" s="15">
        <v>350</v>
      </c>
      <c r="J154" s="13" t="s">
        <v>22</v>
      </c>
      <c r="K154" s="13" t="s">
        <v>23</v>
      </c>
      <c r="L154" s="15">
        <v>133</v>
      </c>
      <c r="M154" s="13" t="s">
        <v>39</v>
      </c>
      <c r="N154" s="14">
        <v>46297.899270833332</v>
      </c>
      <c r="O154" s="15">
        <v>221</v>
      </c>
      <c r="P154" s="13" t="s">
        <v>25</v>
      </c>
      <c r="Q154" s="15">
        <v>190</v>
      </c>
      <c r="R154" s="3" t="str">
        <f>IF(OR(G154="12R",G154="12L"),_xlfn.XLOOKUP(C154,Tabla42[ADEP],Tabla42[SID 12R],""),IF(OR(G154="30L",G154="30R"),_xlfn.XLOOKUP(C154,Tabla42[ADEP],Tabla42[SID 30L],""),""))</f>
        <v>OMSUK</v>
      </c>
      <c r="S154" s="3">
        <f t="shared" si="2"/>
        <v>21</v>
      </c>
      <c r="T154" s="3" t="str">
        <f>_xlfn.XLOOKUP(C154,Tabla42[ADEP],Tabla42[Sector],"")</f>
        <v>Sector 3</v>
      </c>
    </row>
    <row r="155" spans="1:20" x14ac:dyDescent="0.2">
      <c r="A155" s="13" t="s">
        <v>256</v>
      </c>
      <c r="B155" s="13" t="s">
        <v>18</v>
      </c>
      <c r="C155" s="13" t="s">
        <v>257</v>
      </c>
      <c r="D155" s="13" t="s">
        <v>117</v>
      </c>
      <c r="E155" s="13" t="s">
        <v>1489</v>
      </c>
      <c r="F155" s="14">
        <v>46297.895000000004</v>
      </c>
      <c r="G155" s="13" t="s">
        <v>21</v>
      </c>
      <c r="H155" s="13" t="s">
        <v>1490</v>
      </c>
      <c r="I155" s="15">
        <v>320</v>
      </c>
      <c r="J155" s="13" t="s">
        <v>22</v>
      </c>
      <c r="K155" s="13" t="s">
        <v>23</v>
      </c>
      <c r="L155" s="15">
        <v>944</v>
      </c>
      <c r="M155" s="13" t="s">
        <v>35</v>
      </c>
      <c r="N155" s="14">
        <v>46297.940185185187</v>
      </c>
      <c r="O155" s="15">
        <v>320</v>
      </c>
      <c r="P155" s="13" t="s">
        <v>25</v>
      </c>
      <c r="Q155" s="15">
        <v>190</v>
      </c>
      <c r="R155" s="3" t="str">
        <f>IF(OR(G155="12R",G155="12L"),_xlfn.XLOOKUP(C155,Tabla42[ADEP],Tabla42[SID 12R],""),IF(OR(G155="30L",G155="30R"),_xlfn.XLOOKUP(C155,Tabla42[ADEP],Tabla42[SID 30L],""),""))</f>
        <v>UDGUV</v>
      </c>
      <c r="S155" s="3">
        <f t="shared" si="2"/>
        <v>21</v>
      </c>
      <c r="T155" s="3" t="str">
        <f>_xlfn.XLOOKUP(C155,Tabla42[ADEP],Tabla42[Sector],"")</f>
        <v>Sector 2</v>
      </c>
    </row>
    <row r="156" spans="1:20" x14ac:dyDescent="0.2">
      <c r="A156" t="s">
        <v>294</v>
      </c>
      <c r="B156" t="s">
        <v>18</v>
      </c>
      <c r="C156" t="s">
        <v>128</v>
      </c>
      <c r="D156" t="s">
        <v>43</v>
      </c>
      <c r="E156" t="s">
        <v>544</v>
      </c>
      <c r="F156" s="2">
        <v>46297.896527777775</v>
      </c>
      <c r="G156" t="s">
        <v>21</v>
      </c>
      <c r="H156" t="s">
        <v>1491</v>
      </c>
      <c r="I156" s="3">
        <v>330</v>
      </c>
      <c r="J156" t="s">
        <v>22</v>
      </c>
      <c r="K156" t="s">
        <v>23</v>
      </c>
      <c r="L156" s="3">
        <v>373</v>
      </c>
      <c r="M156" t="s">
        <v>609</v>
      </c>
      <c r="N156" s="2">
        <v>46297.917442129634</v>
      </c>
      <c r="O156" s="3">
        <v>330</v>
      </c>
      <c r="P156" t="s">
        <v>25</v>
      </c>
      <c r="Q156" s="3">
        <v>40</v>
      </c>
      <c r="R156" s="3" t="str">
        <f>IF(OR(G156="12R",G156="12L"),_xlfn.XLOOKUP(C156,Tabla42[ADEP],Tabla42[SID 12R],""),IF(OR(G156="30L",G156="30R"),_xlfn.XLOOKUP(C156,Tabla42[ADEP],Tabla42[SID 30L],""),""))</f>
        <v>OMSUK</v>
      </c>
      <c r="S156" s="3">
        <f t="shared" si="2"/>
        <v>21</v>
      </c>
      <c r="T156" s="3" t="str">
        <f>_xlfn.XLOOKUP(C156,Tabla42[ADEP],Tabla42[Sector],"")</f>
        <v>Sector 3</v>
      </c>
    </row>
    <row r="157" spans="1:20" x14ac:dyDescent="0.2">
      <c r="A157" t="s">
        <v>545</v>
      </c>
      <c r="B157" t="s">
        <v>18</v>
      </c>
      <c r="C157" t="s">
        <v>546</v>
      </c>
      <c r="D157" t="s">
        <v>340</v>
      </c>
      <c r="E157" t="s">
        <v>702</v>
      </c>
      <c r="F157" s="2">
        <v>46297.902303240742</v>
      </c>
      <c r="G157" t="s">
        <v>21</v>
      </c>
      <c r="H157" t="s">
        <v>1492</v>
      </c>
      <c r="I157" s="3">
        <v>390</v>
      </c>
      <c r="J157" t="s">
        <v>22</v>
      </c>
      <c r="K157" t="s">
        <v>23</v>
      </c>
      <c r="L157" s="3">
        <v>373</v>
      </c>
      <c r="M157" t="s">
        <v>1493</v>
      </c>
      <c r="N157" s="2">
        <v>46297.92186342593</v>
      </c>
      <c r="O157" s="3">
        <v>390</v>
      </c>
      <c r="P157" t="s">
        <v>40</v>
      </c>
      <c r="Q157" s="3">
        <v>40</v>
      </c>
      <c r="R157" s="3" t="str">
        <f>IF(OR(G157="12R",G157="12L"),_xlfn.XLOOKUP(C157,Tabla42[ADEP],Tabla42[SID 12R],""),IF(OR(G157="30L",G157="30R"),_xlfn.XLOOKUP(C157,Tabla42[ADEP],Tabla42[SID 30L],""),""))</f>
        <v>NUDAL</v>
      </c>
      <c r="S157" s="3">
        <f t="shared" si="2"/>
        <v>21</v>
      </c>
      <c r="T157" s="3" t="str">
        <f>_xlfn.XLOOKUP(C157,Tabla42[ADEP],Tabla42[Sector],"")</f>
        <v>Sector 3</v>
      </c>
    </row>
    <row r="158" spans="1:20" x14ac:dyDescent="0.2">
      <c r="A158" t="s">
        <v>314</v>
      </c>
      <c r="B158" t="s">
        <v>18</v>
      </c>
      <c r="C158" t="s">
        <v>179</v>
      </c>
      <c r="D158" t="s">
        <v>53</v>
      </c>
      <c r="E158" t="s">
        <v>279</v>
      </c>
      <c r="F158" s="2">
        <v>46297.903900462959</v>
      </c>
      <c r="G158" t="s">
        <v>21</v>
      </c>
      <c r="H158" t="s">
        <v>1494</v>
      </c>
      <c r="I158" s="3">
        <v>380</v>
      </c>
      <c r="J158" t="s">
        <v>22</v>
      </c>
      <c r="K158" t="s">
        <v>23</v>
      </c>
      <c r="L158" s="3">
        <v>843</v>
      </c>
      <c r="M158" t="s">
        <v>179</v>
      </c>
      <c r="N158" s="2">
        <v>46297.953518518523</v>
      </c>
      <c r="O158" s="3">
        <v>15</v>
      </c>
      <c r="P158" t="s">
        <v>25</v>
      </c>
      <c r="Q158" s="3">
        <v>190</v>
      </c>
      <c r="R158" s="3" t="str">
        <f>IF(OR(G158="12R",G158="12L"),_xlfn.XLOOKUP(C158,Tabla42[ADEP],Tabla42[SID 12R],""),IF(OR(G158="30L",G158="30R"),_xlfn.XLOOKUP(C158,Tabla42[ADEP],Tabla42[SID 30L],""),""))</f>
        <v>UDGUV</v>
      </c>
      <c r="S158" s="3">
        <f t="shared" si="2"/>
        <v>21</v>
      </c>
      <c r="T158" s="3" t="str">
        <f>_xlfn.XLOOKUP(C158,Tabla42[ADEP],Tabla42[Sector],"")</f>
        <v>Sector 2</v>
      </c>
    </row>
    <row r="159" spans="1:20" x14ac:dyDescent="0.2">
      <c r="A159" t="s">
        <v>302</v>
      </c>
      <c r="B159" t="s">
        <v>18</v>
      </c>
      <c r="C159" t="s">
        <v>303</v>
      </c>
      <c r="D159" t="s">
        <v>28</v>
      </c>
      <c r="E159" t="s">
        <v>733</v>
      </c>
      <c r="F159" s="2">
        <v>46297.904976851853</v>
      </c>
      <c r="G159" t="s">
        <v>21</v>
      </c>
      <c r="H159" t="s">
        <v>1495</v>
      </c>
      <c r="I159" s="3">
        <v>360</v>
      </c>
      <c r="J159" t="s">
        <v>22</v>
      </c>
      <c r="K159" t="s">
        <v>23</v>
      </c>
      <c r="L159" s="3">
        <v>789</v>
      </c>
      <c r="M159" t="s">
        <v>210</v>
      </c>
      <c r="N159" s="2">
        <v>46297.944201388891</v>
      </c>
      <c r="O159" s="3">
        <v>360</v>
      </c>
      <c r="P159" t="s">
        <v>25</v>
      </c>
      <c r="Q159" s="3">
        <v>40</v>
      </c>
      <c r="R159" s="3" t="str">
        <f>IF(OR(G159="12R",G159="12L"),_xlfn.XLOOKUP(C159,Tabla42[ADEP],Tabla42[SID 12R],""),IF(OR(G159="30L",G159="30R"),_xlfn.XLOOKUP(C159,Tabla42[ADEP],Tabla42[SID 30L],""),""))</f>
        <v>OMSUK</v>
      </c>
      <c r="S159" s="3">
        <f t="shared" si="2"/>
        <v>21</v>
      </c>
      <c r="T159" s="3" t="str">
        <f>_xlfn.XLOOKUP(C159,Tabla42[ADEP],Tabla42[Sector],"")</f>
        <v>Sector 3</v>
      </c>
    </row>
    <row r="160" spans="1:20" x14ac:dyDescent="0.2">
      <c r="A160" t="s">
        <v>480</v>
      </c>
      <c r="B160" t="s">
        <v>18</v>
      </c>
      <c r="C160" t="s">
        <v>164</v>
      </c>
      <c r="D160" t="s">
        <v>43</v>
      </c>
      <c r="E160" t="s">
        <v>1004</v>
      </c>
      <c r="F160" s="2">
        <v>46297.906307870369</v>
      </c>
      <c r="G160" t="s">
        <v>21</v>
      </c>
      <c r="H160" t="s">
        <v>1496</v>
      </c>
      <c r="I160" s="3">
        <v>350</v>
      </c>
      <c r="J160" t="s">
        <v>22</v>
      </c>
      <c r="K160" t="s">
        <v>23</v>
      </c>
      <c r="L160" s="3">
        <v>136</v>
      </c>
      <c r="M160" t="s">
        <v>39</v>
      </c>
      <c r="N160" s="2">
        <v>46297.915671296301</v>
      </c>
      <c r="O160" s="3">
        <v>248</v>
      </c>
      <c r="P160" t="s">
        <v>25</v>
      </c>
      <c r="Q160" s="3">
        <v>190</v>
      </c>
      <c r="R160" s="3" t="str">
        <f>IF(OR(G160="12R",G160="12L"),_xlfn.XLOOKUP(C160,Tabla42[ADEP],Tabla42[SID 12R],""),IF(OR(G160="30L",G160="30R"),_xlfn.XLOOKUP(C160,Tabla42[ADEP],Tabla42[SID 30L],""),""))</f>
        <v>OMSUK</v>
      </c>
      <c r="S160" s="3">
        <f t="shared" si="2"/>
        <v>21</v>
      </c>
      <c r="T160" s="3" t="str">
        <f>_xlfn.XLOOKUP(C160,Tabla42[ADEP],Tabla42[Sector],"")</f>
        <v>Sector 3</v>
      </c>
    </row>
    <row r="161" spans="1:20" x14ac:dyDescent="0.2">
      <c r="A161" t="s">
        <v>542</v>
      </c>
      <c r="B161" t="s">
        <v>18</v>
      </c>
      <c r="C161" t="s">
        <v>32</v>
      </c>
      <c r="D161" t="s">
        <v>20</v>
      </c>
      <c r="E161" t="s">
        <v>484</v>
      </c>
      <c r="F161" s="2">
        <v>46297.907685185186</v>
      </c>
      <c r="G161" t="s">
        <v>21</v>
      </c>
      <c r="H161" t="s">
        <v>1497</v>
      </c>
      <c r="I161" s="3">
        <v>360</v>
      </c>
      <c r="J161" t="s">
        <v>22</v>
      </c>
      <c r="K161" t="s">
        <v>23</v>
      </c>
      <c r="L161" s="3">
        <v>934</v>
      </c>
      <c r="M161" t="s">
        <v>35</v>
      </c>
      <c r="N161" s="2">
        <v>46297.953946759255</v>
      </c>
      <c r="O161" s="3">
        <v>350</v>
      </c>
      <c r="P161" t="s">
        <v>25</v>
      </c>
      <c r="Q161" s="3">
        <v>190</v>
      </c>
      <c r="R161" s="3" t="str">
        <f>IF(OR(G161="12R",G161="12L"),_xlfn.XLOOKUP(C161,Tabla42[ADEP],Tabla42[SID 12R],""),IF(OR(G161="30L",G161="30R"),_xlfn.XLOOKUP(C161,Tabla42[ADEP],Tabla42[SID 30L],""),""))</f>
        <v>UDGUV</v>
      </c>
      <c r="S161" s="3">
        <f t="shared" si="2"/>
        <v>21</v>
      </c>
      <c r="T161" s="3" t="str">
        <f>_xlfn.XLOOKUP(C161,Tabla42[ADEP],Tabla42[Sector],"")</f>
        <v>Sector 2</v>
      </c>
    </row>
    <row r="162" spans="1:20" x14ac:dyDescent="0.2">
      <c r="A162" t="s">
        <v>299</v>
      </c>
      <c r="B162" t="s">
        <v>18</v>
      </c>
      <c r="C162" t="s">
        <v>300</v>
      </c>
      <c r="D162" t="s">
        <v>117</v>
      </c>
      <c r="E162" t="s">
        <v>1046</v>
      </c>
      <c r="F162" s="2">
        <v>46297.910601851851</v>
      </c>
      <c r="G162" t="s">
        <v>21</v>
      </c>
      <c r="H162" t="s">
        <v>1498</v>
      </c>
      <c r="I162" s="3">
        <v>340</v>
      </c>
      <c r="J162" t="s">
        <v>22</v>
      </c>
      <c r="K162" t="s">
        <v>23</v>
      </c>
      <c r="L162" s="3">
        <v>877</v>
      </c>
      <c r="M162" t="s">
        <v>35</v>
      </c>
      <c r="N162" s="2">
        <v>46297.951932870375</v>
      </c>
      <c r="O162" s="3">
        <v>320</v>
      </c>
      <c r="P162" t="s">
        <v>25</v>
      </c>
      <c r="Q162" s="3">
        <v>190</v>
      </c>
      <c r="R162" s="3" t="str">
        <f>IF(OR(G162="12R",G162="12L"),_xlfn.XLOOKUP(C162,Tabla42[ADEP],Tabla42[SID 12R],""),IF(OR(G162="30L",G162="30R"),_xlfn.XLOOKUP(C162,Tabla42[ADEP],Tabla42[SID 30L],""),""))</f>
        <v>OMSUK</v>
      </c>
      <c r="S162" s="3">
        <f t="shared" si="2"/>
        <v>21</v>
      </c>
      <c r="T162" s="3" t="str">
        <f>_xlfn.XLOOKUP(C162,Tabla42[ADEP],Tabla42[Sector],"")</f>
        <v>Sector 3</v>
      </c>
    </row>
    <row r="163" spans="1:20" x14ac:dyDescent="0.2">
      <c r="A163" t="s">
        <v>315</v>
      </c>
      <c r="B163" t="s">
        <v>18</v>
      </c>
      <c r="C163" t="s">
        <v>96</v>
      </c>
      <c r="D163" t="s">
        <v>60</v>
      </c>
      <c r="E163" t="s">
        <v>690</v>
      </c>
      <c r="F163" s="2">
        <v>46297.912048611106</v>
      </c>
      <c r="G163" t="s">
        <v>21</v>
      </c>
      <c r="H163" t="s">
        <v>1499</v>
      </c>
      <c r="I163" s="3">
        <v>340</v>
      </c>
      <c r="J163" t="s">
        <v>22</v>
      </c>
      <c r="K163" t="s">
        <v>141</v>
      </c>
      <c r="L163" s="3">
        <v>895</v>
      </c>
      <c r="M163" t="s">
        <v>45</v>
      </c>
      <c r="N163" s="2">
        <v>46297.957245370373</v>
      </c>
      <c r="O163" s="3">
        <v>340</v>
      </c>
      <c r="P163" t="s">
        <v>25</v>
      </c>
      <c r="Q163" s="3">
        <v>190</v>
      </c>
      <c r="R163" s="3" t="str">
        <f>IF(OR(G163="12R",G163="12L"),_xlfn.XLOOKUP(C163,Tabla42[ADEP],Tabla42[SID 12R],""),IF(OR(G163="30L",G163="30R"),_xlfn.XLOOKUP(C163,Tabla42[ADEP],Tabla42[SID 30L],""),""))</f>
        <v>UDGUV</v>
      </c>
      <c r="S163" s="3">
        <f t="shared" si="2"/>
        <v>21</v>
      </c>
      <c r="T163" s="3" t="str">
        <f>_xlfn.XLOOKUP(C163,Tabla42[ADEP],Tabla42[Sector],"")</f>
        <v>Sector 2</v>
      </c>
    </row>
    <row r="164" spans="1:20" x14ac:dyDescent="0.2">
      <c r="A164" t="s">
        <v>301</v>
      </c>
      <c r="B164" t="s">
        <v>18</v>
      </c>
      <c r="C164" t="s">
        <v>32</v>
      </c>
      <c r="D164" t="s">
        <v>53</v>
      </c>
      <c r="E164" t="s">
        <v>277</v>
      </c>
      <c r="F164" s="2">
        <v>46297.913275462968</v>
      </c>
      <c r="G164" t="s">
        <v>21</v>
      </c>
      <c r="H164" t="s">
        <v>1500</v>
      </c>
      <c r="I164" s="3">
        <v>340</v>
      </c>
      <c r="J164" t="s">
        <v>22</v>
      </c>
      <c r="K164" t="s">
        <v>141</v>
      </c>
      <c r="L164" s="3">
        <v>889</v>
      </c>
      <c r="M164" t="s">
        <v>35</v>
      </c>
      <c r="N164" s="2">
        <v>46297.958009259259</v>
      </c>
      <c r="O164" s="3">
        <v>330</v>
      </c>
      <c r="P164" t="s">
        <v>25</v>
      </c>
      <c r="Q164" s="3">
        <v>190</v>
      </c>
      <c r="R164" s="3" t="str">
        <f>IF(OR(G164="12R",G164="12L"),_xlfn.XLOOKUP(C164,Tabla42[ADEP],Tabla42[SID 12R],""),IF(OR(G164="30L",G164="30R"),_xlfn.XLOOKUP(C164,Tabla42[ADEP],Tabla42[SID 30L],""),""))</f>
        <v>UDGUV</v>
      </c>
      <c r="S164" s="3">
        <f t="shared" si="2"/>
        <v>21</v>
      </c>
      <c r="T164" s="3" t="str">
        <f>_xlfn.XLOOKUP(C164,Tabla42[ADEP],Tabla42[Sector],"")</f>
        <v>Sector 2</v>
      </c>
    </row>
    <row r="165" spans="1:20" x14ac:dyDescent="0.2">
      <c r="A165" t="s">
        <v>475</v>
      </c>
      <c r="B165" t="s">
        <v>18</v>
      </c>
      <c r="C165" t="s">
        <v>293</v>
      </c>
      <c r="D165" t="s">
        <v>122</v>
      </c>
      <c r="E165" t="s">
        <v>1212</v>
      </c>
      <c r="F165" s="2">
        <v>46297.915833333333</v>
      </c>
      <c r="G165" t="s">
        <v>21</v>
      </c>
      <c r="H165" t="s">
        <v>1501</v>
      </c>
      <c r="I165" s="3">
        <v>380</v>
      </c>
      <c r="J165" t="s">
        <v>22</v>
      </c>
      <c r="K165" t="s">
        <v>23</v>
      </c>
      <c r="L165" s="3">
        <v>444</v>
      </c>
      <c r="M165" t="s">
        <v>1502</v>
      </c>
      <c r="N165" s="2">
        <v>46297.939189814817</v>
      </c>
      <c r="O165" s="3">
        <v>380</v>
      </c>
      <c r="P165" t="s">
        <v>25</v>
      </c>
      <c r="Q165" s="3">
        <v>40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t="s">
        <v>311</v>
      </c>
      <c r="B166" t="s">
        <v>18</v>
      </c>
      <c r="C166" t="s">
        <v>109</v>
      </c>
      <c r="D166" t="s">
        <v>43</v>
      </c>
      <c r="E166" t="s">
        <v>1503</v>
      </c>
      <c r="F166" s="2">
        <v>46297.917222222226</v>
      </c>
      <c r="G166" t="s">
        <v>21</v>
      </c>
      <c r="H166" t="s">
        <v>1504</v>
      </c>
      <c r="I166" s="3">
        <v>350</v>
      </c>
      <c r="J166" t="s">
        <v>22</v>
      </c>
      <c r="K166" t="s">
        <v>23</v>
      </c>
      <c r="L166" s="3">
        <v>156</v>
      </c>
      <c r="M166" t="s">
        <v>729</v>
      </c>
      <c r="N166" s="2">
        <v>46297.927916666667</v>
      </c>
      <c r="O166" s="3">
        <v>286</v>
      </c>
      <c r="P166" t="s">
        <v>25</v>
      </c>
      <c r="Q166" s="3">
        <v>190</v>
      </c>
      <c r="R166" s="3" t="str">
        <f>IF(OR(G166="12R",G166="12L"),_xlfn.XLOOKUP(C166,Tabla42[ADEP],Tabla42[SID 12R],""),IF(OR(G166="30L",G166="30R"),_xlfn.XLOOKUP(C166,Tabla42[ADEP],Tabla42[SID 30L],""),""))</f>
        <v>TAKUX</v>
      </c>
      <c r="S166" s="3">
        <f t="shared" si="2"/>
        <v>22</v>
      </c>
      <c r="T166" s="3" t="str">
        <f>_xlfn.XLOOKUP(C166,Tabla42[ADEP],Tabla42[Sector],"")</f>
        <v>Sector 7</v>
      </c>
    </row>
    <row r="167" spans="1:20" x14ac:dyDescent="0.2">
      <c r="A167" t="s">
        <v>1280</v>
      </c>
      <c r="B167" t="s">
        <v>18</v>
      </c>
      <c r="C167" t="s">
        <v>742</v>
      </c>
      <c r="D167" t="s">
        <v>28</v>
      </c>
      <c r="E167" t="s">
        <v>759</v>
      </c>
      <c r="F167" s="2">
        <v>46297.91851851852</v>
      </c>
      <c r="G167" t="s">
        <v>21</v>
      </c>
      <c r="H167" t="s">
        <v>1505</v>
      </c>
      <c r="I167" s="3">
        <v>380</v>
      </c>
      <c r="J167" t="s">
        <v>22</v>
      </c>
      <c r="K167" t="s">
        <v>23</v>
      </c>
      <c r="L167" s="3">
        <v>755</v>
      </c>
      <c r="M167" t="s">
        <v>210</v>
      </c>
      <c r="N167" s="2">
        <v>46297.956273148149</v>
      </c>
      <c r="O167" s="3">
        <v>380</v>
      </c>
      <c r="P167" t="s">
        <v>25</v>
      </c>
      <c r="Q167" s="3">
        <v>40</v>
      </c>
      <c r="R167" s="3" t="str">
        <f>IF(OR(G167="12R",G167="12L"),_xlfn.XLOOKUP(C167,Tabla42[ADEP],Tabla42[SID 12R],""),IF(OR(G167="30L",G167="30R"),_xlfn.XLOOKUP(C167,Tabla42[ADEP],Tabla42[SID 30L],""),""))</f>
        <v>UDGUV</v>
      </c>
      <c r="S167" s="3">
        <f t="shared" si="2"/>
        <v>22</v>
      </c>
      <c r="T167" s="3" t="str">
        <f>_xlfn.XLOOKUP(C167,Tabla42[ADEP],Tabla42[Sector],"")</f>
        <v>Sector 2</v>
      </c>
    </row>
    <row r="168" spans="1:20" x14ac:dyDescent="0.2">
      <c r="A168" t="s">
        <v>405</v>
      </c>
      <c r="B168" t="s">
        <v>18</v>
      </c>
      <c r="C168" t="s">
        <v>195</v>
      </c>
      <c r="D168" t="s">
        <v>28</v>
      </c>
      <c r="E168" t="s">
        <v>1038</v>
      </c>
      <c r="F168" s="2">
        <v>46297.921122685184</v>
      </c>
      <c r="G168" t="s">
        <v>21</v>
      </c>
      <c r="H168" t="s">
        <v>1506</v>
      </c>
      <c r="I168" s="3">
        <v>390</v>
      </c>
      <c r="J168" t="s">
        <v>22</v>
      </c>
      <c r="K168" t="s">
        <v>23</v>
      </c>
      <c r="L168" s="3">
        <v>175</v>
      </c>
      <c r="M168" t="s">
        <v>1507</v>
      </c>
      <c r="N168" s="2">
        <v>46297.933356481481</v>
      </c>
      <c r="O168" s="3">
        <v>293</v>
      </c>
      <c r="P168" t="s">
        <v>25</v>
      </c>
      <c r="Q168" s="3">
        <v>190</v>
      </c>
      <c r="R168" s="3" t="str">
        <f>IF(OR(G168="12R",G168="12L"),_xlfn.XLOOKUP(C168,Tabla42[ADEP],Tabla42[SID 12R],""),IF(OR(G168="30L",G168="30R"),_xlfn.XLOOKUP(C168,Tabla42[ADEP],Tabla42[SID 30L],""),""))</f>
        <v>HECAT</v>
      </c>
      <c r="S168" s="3">
        <f t="shared" si="2"/>
        <v>22</v>
      </c>
      <c r="T168" s="3" t="str">
        <f>_xlfn.XLOOKUP(C168,Tabla42[ADEP],Tabla42[Sector],"")</f>
        <v>Sector 7</v>
      </c>
    </row>
    <row r="169" spans="1:20" x14ac:dyDescent="0.2">
      <c r="A169" t="s">
        <v>312</v>
      </c>
      <c r="B169" t="s">
        <v>18</v>
      </c>
      <c r="C169" t="s">
        <v>204</v>
      </c>
      <c r="D169" t="s">
        <v>33</v>
      </c>
      <c r="E169" t="s">
        <v>1508</v>
      </c>
      <c r="F169" s="2">
        <v>46297.930254629631</v>
      </c>
      <c r="G169" t="s">
        <v>21</v>
      </c>
      <c r="H169" t="s">
        <v>1509</v>
      </c>
      <c r="I169" s="3">
        <v>370</v>
      </c>
      <c r="J169" t="s">
        <v>22</v>
      </c>
      <c r="K169" t="s">
        <v>23</v>
      </c>
      <c r="L169" s="3">
        <v>150</v>
      </c>
      <c r="M169" t="s">
        <v>111</v>
      </c>
      <c r="N169" s="2">
        <v>46297.940995370373</v>
      </c>
      <c r="O169" s="3">
        <v>246</v>
      </c>
      <c r="P169" t="s">
        <v>25</v>
      </c>
      <c r="Q169" s="3">
        <v>190</v>
      </c>
      <c r="R169" s="3" t="str">
        <f>IF(OR(G169="12R",G169="12L"),_xlfn.XLOOKUP(C169,Tabla42[ADEP],Tabla42[SID 12R],""),IF(OR(G169="30L",G169="30R"),_xlfn.XLOOKUP(C169,Tabla42[ADEP],Tabla42[SID 30L],""),""))</f>
        <v>TAKUX</v>
      </c>
      <c r="S169" s="3">
        <f t="shared" si="2"/>
        <v>22</v>
      </c>
      <c r="T169" s="3" t="str">
        <f>_xlfn.XLOOKUP(C169,Tabla42[ADEP],Tabla42[Sector],"")</f>
        <v>Sector 7</v>
      </c>
    </row>
    <row r="170" spans="1:20" x14ac:dyDescent="0.2">
      <c r="A170" t="s">
        <v>26</v>
      </c>
      <c r="B170" t="s">
        <v>18</v>
      </c>
      <c r="C170" t="s">
        <v>27</v>
      </c>
      <c r="D170" t="s">
        <v>28</v>
      </c>
      <c r="E170" t="s">
        <v>1070</v>
      </c>
      <c r="F170" s="2">
        <v>46297.932175925926</v>
      </c>
      <c r="G170" t="s">
        <v>21</v>
      </c>
      <c r="H170" t="s">
        <v>1510</v>
      </c>
      <c r="I170" s="3">
        <v>360</v>
      </c>
      <c r="J170" t="s">
        <v>22</v>
      </c>
      <c r="K170" t="s">
        <v>23</v>
      </c>
      <c r="L170" s="3">
        <v>424</v>
      </c>
      <c r="M170" t="s">
        <v>988</v>
      </c>
      <c r="N170" s="2">
        <v>46297.955011574071</v>
      </c>
      <c r="O170" s="3">
        <v>360</v>
      </c>
      <c r="P170" t="s">
        <v>25</v>
      </c>
      <c r="Q170" s="3">
        <v>40</v>
      </c>
      <c r="R170" s="3" t="str">
        <f>IF(OR(G170="12R",G170="12L"),_xlfn.XLOOKUP(C170,Tabla42[ADEP],Tabla42[SID 12R],""),IF(OR(G170="30L",G170="30R"),_xlfn.XLOOKUP(C170,Tabla42[ADEP],Tabla42[SID 30L],""),""))</f>
        <v>OMSUK</v>
      </c>
      <c r="S170" s="3">
        <f t="shared" si="2"/>
        <v>22</v>
      </c>
      <c r="T170" s="3" t="str">
        <f>_xlfn.XLOOKUP(C170,Tabla42[ADEP],Tabla42[Sector],"")</f>
        <v>Sector 3</v>
      </c>
    </row>
    <row r="171" spans="1:20" x14ac:dyDescent="0.2">
      <c r="A171" t="s">
        <v>409</v>
      </c>
      <c r="B171" t="s">
        <v>18</v>
      </c>
      <c r="C171" t="s">
        <v>254</v>
      </c>
      <c r="D171" t="s">
        <v>33</v>
      </c>
      <c r="E171" t="s">
        <v>550</v>
      </c>
      <c r="F171" s="2">
        <v>46297.937708333338</v>
      </c>
      <c r="G171" t="s">
        <v>21</v>
      </c>
      <c r="H171" t="s">
        <v>1511</v>
      </c>
      <c r="I171" s="3">
        <v>360</v>
      </c>
      <c r="J171" t="s">
        <v>22</v>
      </c>
      <c r="K171" t="s">
        <v>23</v>
      </c>
      <c r="L171" s="3">
        <v>923</v>
      </c>
      <c r="M171" t="s">
        <v>35</v>
      </c>
      <c r="N171" s="2">
        <v>46297.983414351853</v>
      </c>
      <c r="O171" s="3">
        <v>360</v>
      </c>
      <c r="P171" t="s">
        <v>25</v>
      </c>
      <c r="Q171" s="3">
        <v>190</v>
      </c>
      <c r="R171" s="3" t="str">
        <f>IF(OR(G171="12R",G171="12L"),_xlfn.XLOOKUP(C171,Tabla42[ADEP],Tabla42[SID 12R],""),IF(OR(G171="30L",G171="30R"),_xlfn.XLOOKUP(C171,Tabla42[ADEP],Tabla42[SID 30L],""),""))</f>
        <v>UDGUV</v>
      </c>
      <c r="S171" s="3">
        <f t="shared" si="2"/>
        <v>22</v>
      </c>
      <c r="T171" s="3" t="str">
        <f>_xlfn.XLOOKUP(C171,Tabla42[ADEP],Tabla42[Sector],"")</f>
        <v>Sector 2</v>
      </c>
    </row>
    <row r="172" spans="1:20" x14ac:dyDescent="0.2">
      <c r="A172" t="s">
        <v>318</v>
      </c>
      <c r="B172" t="s">
        <v>18</v>
      </c>
      <c r="C172" t="s">
        <v>116</v>
      </c>
      <c r="D172" t="s">
        <v>43</v>
      </c>
      <c r="E172" t="s">
        <v>1512</v>
      </c>
      <c r="F172" s="2">
        <v>46297.938923611116</v>
      </c>
      <c r="G172" t="s">
        <v>21</v>
      </c>
      <c r="H172" t="s">
        <v>1513</v>
      </c>
      <c r="I172" s="3">
        <v>380</v>
      </c>
      <c r="J172" t="s">
        <v>22</v>
      </c>
      <c r="K172" t="s">
        <v>23</v>
      </c>
      <c r="L172" s="3">
        <v>656</v>
      </c>
      <c r="M172" t="s">
        <v>118</v>
      </c>
      <c r="N172" s="2">
        <v>46297.971956018519</v>
      </c>
      <c r="O172" s="3">
        <v>380</v>
      </c>
      <c r="P172" t="s">
        <v>25</v>
      </c>
      <c r="Q172" s="3">
        <v>40</v>
      </c>
      <c r="R172" s="3" t="str">
        <f>IF(OR(G172="12R",G172="12L"),_xlfn.XLOOKUP(C172,Tabla42[ADEP],Tabla42[SID 12R],""),IF(OR(G172="30L",G172="30R"),_xlfn.XLOOKUP(C172,Tabla42[ADEP],Tabla42[SID 30L],""),""))</f>
        <v>ENEBA</v>
      </c>
      <c r="S172" s="3">
        <f t="shared" si="2"/>
        <v>22</v>
      </c>
      <c r="T172" s="3" t="str">
        <f>_xlfn.XLOOKUP(C172,Tabla42[ADEP],Tabla42[Sector],"")</f>
        <v>Sector 3</v>
      </c>
    </row>
    <row r="173" spans="1:20" x14ac:dyDescent="0.2">
      <c r="A173" t="s">
        <v>328</v>
      </c>
      <c r="B173" t="s">
        <v>18</v>
      </c>
      <c r="C173" t="s">
        <v>42</v>
      </c>
      <c r="D173" t="s">
        <v>43</v>
      </c>
      <c r="E173" t="s">
        <v>557</v>
      </c>
      <c r="F173" s="2">
        <v>46297.943472222221</v>
      </c>
      <c r="G173" t="s">
        <v>21</v>
      </c>
      <c r="H173" t="s">
        <v>1514</v>
      </c>
      <c r="I173" s="3">
        <v>360</v>
      </c>
      <c r="J173" t="s">
        <v>22</v>
      </c>
      <c r="K173" t="s">
        <v>23</v>
      </c>
      <c r="L173" s="3">
        <v>956</v>
      </c>
      <c r="M173" t="s">
        <v>786</v>
      </c>
      <c r="N173" s="2">
        <v>46297.993495370371</v>
      </c>
      <c r="O173" s="3">
        <v>360</v>
      </c>
      <c r="P173" t="s">
        <v>25</v>
      </c>
      <c r="Q173" s="3">
        <v>190</v>
      </c>
      <c r="R173" s="3" t="str">
        <f>IF(OR(G173="12R",G173="12L"),_xlfn.XLOOKUP(C173,Tabla42[ADEP],Tabla42[SID 12R],""),IF(OR(G173="30L",G173="30R"),_xlfn.XLOOKUP(C173,Tabla42[ADEP],Tabla42[SID 30L],""),""))</f>
        <v>UDGUV</v>
      </c>
      <c r="S173" s="3">
        <f t="shared" si="2"/>
        <v>22</v>
      </c>
      <c r="T173" s="3" t="str">
        <f>_xlfn.XLOOKUP(C173,Tabla42[ADEP],Tabla42[Sector],"")</f>
        <v>Sector 2</v>
      </c>
    </row>
    <row r="174" spans="1:20" x14ac:dyDescent="0.2">
      <c r="A174" t="s">
        <v>309</v>
      </c>
      <c r="B174" t="s">
        <v>18</v>
      </c>
      <c r="C174" t="s">
        <v>19</v>
      </c>
      <c r="D174" t="s">
        <v>53</v>
      </c>
      <c r="E174" t="s">
        <v>603</v>
      </c>
      <c r="F174" s="2">
        <v>46297.945196759261</v>
      </c>
      <c r="G174" t="s">
        <v>21</v>
      </c>
      <c r="H174" t="s">
        <v>1515</v>
      </c>
      <c r="I174" s="3">
        <v>380</v>
      </c>
      <c r="J174" t="s">
        <v>22</v>
      </c>
      <c r="K174" t="s">
        <v>23</v>
      </c>
      <c r="L174" s="3">
        <v>864</v>
      </c>
      <c r="M174" t="s">
        <v>24</v>
      </c>
      <c r="N174" s="2">
        <v>46297.989918981482</v>
      </c>
      <c r="O174" s="3">
        <v>380</v>
      </c>
      <c r="P174" t="s">
        <v>25</v>
      </c>
      <c r="Q174" s="3">
        <v>190</v>
      </c>
      <c r="R174" s="3" t="str">
        <f>IF(OR(G174="12R",G174="12L"),_xlfn.XLOOKUP(C174,Tabla42[ADEP],Tabla42[SID 12R],""),IF(OR(G174="30L",G174="30R"),_xlfn.XLOOKUP(C174,Tabla42[ADEP],Tabla42[SID 30L],""),""))</f>
        <v>UDGUV</v>
      </c>
      <c r="S174" s="3">
        <f t="shared" si="2"/>
        <v>22</v>
      </c>
      <c r="T174" s="3" t="str">
        <f>_xlfn.XLOOKUP(C174,Tabla42[ADEP],Tabla42[Sector],"")</f>
        <v>Sector 2</v>
      </c>
    </row>
    <row r="175" spans="1:20" x14ac:dyDescent="0.2">
      <c r="A175" t="s">
        <v>319</v>
      </c>
      <c r="B175" t="s">
        <v>18</v>
      </c>
      <c r="C175" t="s">
        <v>320</v>
      </c>
      <c r="D175" t="s">
        <v>33</v>
      </c>
      <c r="E175" t="s">
        <v>91</v>
      </c>
      <c r="F175" s="2">
        <v>46297.947048611109</v>
      </c>
      <c r="G175" t="s">
        <v>21</v>
      </c>
      <c r="H175" t="s">
        <v>1516</v>
      </c>
      <c r="I175" s="3">
        <v>380</v>
      </c>
      <c r="J175" t="s">
        <v>22</v>
      </c>
      <c r="K175" t="s">
        <v>23</v>
      </c>
      <c r="L175" s="3">
        <v>904</v>
      </c>
      <c r="M175" t="s">
        <v>1517</v>
      </c>
      <c r="N175" s="2">
        <v>46297.992372685185</v>
      </c>
      <c r="O175" s="3">
        <v>380</v>
      </c>
      <c r="P175" t="s">
        <v>25</v>
      </c>
      <c r="Q175" s="3">
        <v>190</v>
      </c>
      <c r="R175" s="3" t="str">
        <f>IF(OR(G175="12R",G175="12L"),_xlfn.XLOOKUP(C175,Tabla42[ADEP],Tabla42[SID 12R],""),IF(OR(G175="30L",G175="30R"),_xlfn.XLOOKUP(C175,Tabla42[ADEP],Tabla42[SID 30L],""),""))</f>
        <v>UDGUV</v>
      </c>
      <c r="S175" s="3">
        <f t="shared" si="2"/>
        <v>22</v>
      </c>
      <c r="T175" s="3" t="str">
        <f>_xlfn.XLOOKUP(C175,Tabla42[ADEP],Tabla42[Sector],"")</f>
        <v>Sector 2</v>
      </c>
    </row>
    <row r="176" spans="1:20" x14ac:dyDescent="0.2">
      <c r="A176" t="s">
        <v>1518</v>
      </c>
      <c r="B176" t="s">
        <v>18</v>
      </c>
      <c r="C176" t="s">
        <v>49</v>
      </c>
      <c r="D176" t="s">
        <v>648</v>
      </c>
      <c r="F176" s="2">
        <v>46297.948634259257</v>
      </c>
      <c r="G176" t="s">
        <v>21</v>
      </c>
      <c r="H176" t="s">
        <v>1519</v>
      </c>
      <c r="I176" s="3">
        <v>470</v>
      </c>
      <c r="J176" t="s">
        <v>22</v>
      </c>
      <c r="K176" t="s">
        <v>50</v>
      </c>
      <c r="L176" s="3">
        <v>865</v>
      </c>
      <c r="M176" t="s">
        <v>45</v>
      </c>
      <c r="N176" s="2">
        <v>46297.990624999999</v>
      </c>
      <c r="O176" s="3">
        <v>470</v>
      </c>
      <c r="P176" t="s">
        <v>25</v>
      </c>
      <c r="Q176" s="3">
        <v>30</v>
      </c>
      <c r="R176" s="3" t="str">
        <f>IF(OR(G176="12R",G176="12L"),_xlfn.XLOOKUP(C176,Tabla42[ADEP],Tabla42[SID 12R],""),IF(OR(G176="30L",G176="30R"),_xlfn.XLOOKUP(C176,Tabla42[ADEP],Tabla42[SID 30L],""),""))</f>
        <v>UDGUV</v>
      </c>
      <c r="S176" s="3">
        <f t="shared" si="2"/>
        <v>22</v>
      </c>
      <c r="T176" s="3" t="str">
        <f>_xlfn.XLOOKUP(C176,Tabla42[ADEP],Tabla42[Sector],"")</f>
        <v>Sector 2</v>
      </c>
    </row>
    <row r="177" spans="1:20" x14ac:dyDescent="0.2">
      <c r="A177" t="s">
        <v>488</v>
      </c>
      <c r="B177" t="s">
        <v>18</v>
      </c>
      <c r="C177" t="s">
        <v>489</v>
      </c>
      <c r="D177" t="s">
        <v>122</v>
      </c>
      <c r="E177" t="s">
        <v>1520</v>
      </c>
      <c r="F177" s="2">
        <v>46297.950324074074</v>
      </c>
      <c r="G177" t="s">
        <v>21</v>
      </c>
      <c r="H177" t="s">
        <v>1521</v>
      </c>
      <c r="I177" s="3">
        <v>340</v>
      </c>
      <c r="J177" t="s">
        <v>22</v>
      </c>
      <c r="K177" t="s">
        <v>23</v>
      </c>
      <c r="L177" s="3">
        <v>526</v>
      </c>
      <c r="M177" t="s">
        <v>995</v>
      </c>
      <c r="N177" s="2">
        <v>46297.976817129631</v>
      </c>
      <c r="O177" s="3">
        <v>340</v>
      </c>
      <c r="P177" t="s">
        <v>25</v>
      </c>
      <c r="Q177" s="3">
        <v>40</v>
      </c>
      <c r="R177" s="3" t="str">
        <f>IF(OR(G177="12R",G177="12L"),_xlfn.XLOOKUP(C177,Tabla42[ADEP],Tabla42[SID 12R],""),IF(OR(G177="30L",G177="30R"),_xlfn.XLOOKUP(C177,Tabla42[ADEP],Tabla42[SID 30L],""),""))</f>
        <v>OMSUK</v>
      </c>
      <c r="S177" s="3">
        <f t="shared" si="2"/>
        <v>22</v>
      </c>
      <c r="T177" s="3" t="str">
        <f>_xlfn.XLOOKUP(C177,Tabla42[ADEP],Tabla42[Sector],"")</f>
        <v>Sector 3</v>
      </c>
    </row>
    <row r="178" spans="1:20" x14ac:dyDescent="0.2">
      <c r="A178" t="s">
        <v>291</v>
      </c>
      <c r="B178" t="s">
        <v>18</v>
      </c>
      <c r="C178" t="s">
        <v>209</v>
      </c>
      <c r="D178" t="s">
        <v>28</v>
      </c>
      <c r="E178" t="s">
        <v>1260</v>
      </c>
      <c r="F178" s="2">
        <v>46297.952048611114</v>
      </c>
      <c r="G178" t="s">
        <v>21</v>
      </c>
      <c r="H178" t="s">
        <v>1522</v>
      </c>
      <c r="I178" s="3">
        <v>380</v>
      </c>
      <c r="J178" t="s">
        <v>22</v>
      </c>
      <c r="K178" t="s">
        <v>23</v>
      </c>
      <c r="L178" s="3">
        <v>505</v>
      </c>
      <c r="M178" t="s">
        <v>696</v>
      </c>
      <c r="N178" s="2">
        <v>46297.97756944444</v>
      </c>
      <c r="O178" s="3">
        <v>360</v>
      </c>
      <c r="P178" t="s">
        <v>25</v>
      </c>
      <c r="Q178" s="3">
        <v>40</v>
      </c>
      <c r="R178" s="3" t="str">
        <f>IF(OR(G178="12R",G178="12L"),_xlfn.XLOOKUP(C178,Tabla42[ADEP],Tabla42[SID 12R],""),IF(OR(G178="30L",G178="30R"),_xlfn.XLOOKUP(C178,Tabla42[ADEP],Tabla42[SID 30L],""),""))</f>
        <v>ENEBA</v>
      </c>
      <c r="S178" s="3">
        <f t="shared" si="2"/>
        <v>22</v>
      </c>
      <c r="T178" s="3" t="str">
        <f>_xlfn.XLOOKUP(C178,Tabla42[ADEP],Tabla42[Sector],"")</f>
        <v>Sector 3</v>
      </c>
    </row>
    <row r="179" spans="1:20" x14ac:dyDescent="0.2">
      <c r="A179" t="s">
        <v>1086</v>
      </c>
      <c r="B179" t="s">
        <v>18</v>
      </c>
      <c r="C179" t="s">
        <v>93</v>
      </c>
      <c r="D179" t="s">
        <v>427</v>
      </c>
      <c r="E179" t="s">
        <v>1086</v>
      </c>
      <c r="F179" s="2">
        <v>46297.954467592594</v>
      </c>
      <c r="G179" t="s">
        <v>21</v>
      </c>
      <c r="H179" t="s">
        <v>1523</v>
      </c>
      <c r="I179" s="3">
        <v>380</v>
      </c>
      <c r="J179" t="s">
        <v>22</v>
      </c>
      <c r="K179" t="s">
        <v>25</v>
      </c>
      <c r="L179" s="3">
        <v>897</v>
      </c>
      <c r="M179" t="s">
        <v>94</v>
      </c>
      <c r="N179" s="2">
        <v>46298.001620370371</v>
      </c>
      <c r="O179" s="3">
        <v>200</v>
      </c>
      <c r="P179" t="s">
        <v>25</v>
      </c>
      <c r="Q179" s="3">
        <v>30</v>
      </c>
      <c r="R179" s="3" t="str">
        <f>IF(OR(G179="12R",G179="12L"),_xlfn.XLOOKUP(C179,Tabla42[ADEP],Tabla42[SID 12R],""),IF(OR(G179="30L",G179="30R"),_xlfn.XLOOKUP(C179,Tabla42[ADEP],Tabla42[SID 30L],""),""))</f>
        <v>UDGUV</v>
      </c>
      <c r="S179" s="3">
        <f t="shared" si="2"/>
        <v>22</v>
      </c>
      <c r="T179" s="3" t="str">
        <f>_xlfn.XLOOKUP(C179,Tabla42[ADEP],Tabla42[Sector],"")</f>
        <v>Sector 2</v>
      </c>
    </row>
    <row r="180" spans="1:20" x14ac:dyDescent="0.2">
      <c r="A180" t="s">
        <v>467</v>
      </c>
      <c r="B180" t="s">
        <v>18</v>
      </c>
      <c r="C180" t="s">
        <v>184</v>
      </c>
      <c r="D180" t="s">
        <v>60</v>
      </c>
      <c r="E180" t="s">
        <v>1524</v>
      </c>
      <c r="F180" s="2">
        <v>46297.958356481482</v>
      </c>
      <c r="G180" t="s">
        <v>21</v>
      </c>
      <c r="H180" t="s">
        <v>1525</v>
      </c>
      <c r="I180" s="3">
        <v>370</v>
      </c>
      <c r="J180" t="s">
        <v>22</v>
      </c>
      <c r="K180" t="s">
        <v>23</v>
      </c>
      <c r="L180" s="3">
        <v>136</v>
      </c>
      <c r="M180" t="s">
        <v>39</v>
      </c>
      <c r="N180" s="2">
        <v>46297.967534722222</v>
      </c>
      <c r="O180" s="3">
        <v>262</v>
      </c>
      <c r="P180" t="s">
        <v>25</v>
      </c>
      <c r="Q180" s="3">
        <v>190</v>
      </c>
      <c r="R180" s="3" t="str">
        <f>IF(OR(G180="12R",G180="12L"),_xlfn.XLOOKUP(C180,Tabla42[ADEP],Tabla42[SID 12R],""),IF(OR(G180="30L",G180="30R"),_xlfn.XLOOKUP(C180,Tabla42[ADEP],Tabla42[SID 30L],""),""))</f>
        <v>OMSUK</v>
      </c>
      <c r="S180" s="3">
        <f t="shared" si="2"/>
        <v>23</v>
      </c>
      <c r="T180" s="3" t="str">
        <f>_xlfn.XLOOKUP(C180,Tabla42[ADEP],Tabla42[Sector],"")</f>
        <v>Sector 3</v>
      </c>
    </row>
    <row r="181" spans="1:20" x14ac:dyDescent="0.2">
      <c r="A181" t="s">
        <v>324</v>
      </c>
      <c r="B181" t="s">
        <v>18</v>
      </c>
      <c r="C181" t="s">
        <v>206</v>
      </c>
      <c r="D181" t="s">
        <v>53</v>
      </c>
      <c r="E181" t="s">
        <v>812</v>
      </c>
      <c r="F181" s="2">
        <v>46297.959710648152</v>
      </c>
      <c r="G181" t="s">
        <v>21</v>
      </c>
      <c r="H181" t="s">
        <v>1526</v>
      </c>
      <c r="I181" s="3">
        <v>380</v>
      </c>
      <c r="J181" t="s">
        <v>22</v>
      </c>
      <c r="K181" t="s">
        <v>23</v>
      </c>
      <c r="L181" s="3">
        <v>963</v>
      </c>
      <c r="M181" t="s">
        <v>45</v>
      </c>
      <c r="N181" s="2">
        <v>46298.009571759263</v>
      </c>
      <c r="O181" s="3">
        <v>380</v>
      </c>
      <c r="P181" t="s">
        <v>25</v>
      </c>
      <c r="Q181" s="3">
        <v>190</v>
      </c>
      <c r="R181" s="3" t="str">
        <f>IF(OR(G181="12R",G181="12L"),_xlfn.XLOOKUP(C181,Tabla42[ADEP],Tabla42[SID 12R],""),IF(OR(G181="30L",G181="30R"),_xlfn.XLOOKUP(C181,Tabla42[ADEP],Tabla42[SID 30L],""),""))</f>
        <v>UDGUV</v>
      </c>
      <c r="S181" s="3">
        <f t="shared" si="2"/>
        <v>23</v>
      </c>
      <c r="T181" s="3" t="str">
        <f>_xlfn.XLOOKUP(C181,Tabla42[ADEP],Tabla42[Sector],"")</f>
        <v>Sector 2</v>
      </c>
    </row>
    <row r="182" spans="1:20" x14ac:dyDescent="0.2">
      <c r="A182" t="s">
        <v>313</v>
      </c>
      <c r="B182" t="s">
        <v>18</v>
      </c>
      <c r="C182" t="s">
        <v>73</v>
      </c>
      <c r="D182" t="s">
        <v>53</v>
      </c>
      <c r="E182" t="s">
        <v>207</v>
      </c>
      <c r="F182" s="2">
        <v>46297.965185185181</v>
      </c>
      <c r="G182" t="s">
        <v>21</v>
      </c>
      <c r="H182" t="s">
        <v>1527</v>
      </c>
      <c r="I182" s="3">
        <v>380</v>
      </c>
      <c r="J182" t="s">
        <v>22</v>
      </c>
      <c r="K182" t="s">
        <v>23</v>
      </c>
      <c r="L182" s="3">
        <v>798</v>
      </c>
      <c r="M182" t="s">
        <v>73</v>
      </c>
      <c r="N182" s="2">
        <v>46298.015127314815</v>
      </c>
      <c r="O182" s="3">
        <v>0</v>
      </c>
      <c r="P182" t="s">
        <v>25</v>
      </c>
      <c r="Q182" s="3">
        <v>190</v>
      </c>
      <c r="R182" s="3" t="str">
        <f>IF(OR(G182="12R",G182="12L"),_xlfn.XLOOKUP(C182,Tabla42[ADEP],Tabla42[SID 12R],""),IF(OR(G182="30L",G182="30R"),_xlfn.XLOOKUP(C182,Tabla42[ADEP],Tabla42[SID 30L],""),""))</f>
        <v>UDGUV</v>
      </c>
      <c r="S182" s="3">
        <f t="shared" si="2"/>
        <v>23</v>
      </c>
      <c r="T182" s="3" t="str">
        <f>_xlfn.XLOOKUP(C182,Tabla42[ADEP],Tabla42[Sector],"")</f>
        <v>Sector 2</v>
      </c>
    </row>
    <row r="183" spans="1:20" x14ac:dyDescent="0.2">
      <c r="A183" t="s">
        <v>332</v>
      </c>
      <c r="B183" t="s">
        <v>18</v>
      </c>
      <c r="C183" t="s">
        <v>257</v>
      </c>
      <c r="D183" t="s">
        <v>117</v>
      </c>
      <c r="E183" t="s">
        <v>1528</v>
      </c>
      <c r="F183" s="2">
        <v>46297.967939814815</v>
      </c>
      <c r="G183" t="s">
        <v>21</v>
      </c>
      <c r="H183" t="s">
        <v>1529</v>
      </c>
      <c r="I183" s="3">
        <v>340</v>
      </c>
      <c r="J183" t="s">
        <v>22</v>
      </c>
      <c r="K183" t="s">
        <v>23</v>
      </c>
      <c r="L183" s="3">
        <v>908</v>
      </c>
      <c r="M183" t="s">
        <v>35</v>
      </c>
      <c r="N183" s="2">
        <v>46298.011273148149</v>
      </c>
      <c r="O183" s="3">
        <v>340</v>
      </c>
      <c r="P183" t="s">
        <v>25</v>
      </c>
      <c r="Q183" s="3">
        <v>190</v>
      </c>
      <c r="R183" s="3" t="str">
        <f>IF(OR(G183="12R",G183="12L"),_xlfn.XLOOKUP(C183,Tabla42[ADEP],Tabla42[SID 12R],""),IF(OR(G183="30L",G183="30R"),_xlfn.XLOOKUP(C183,Tabla42[ADEP],Tabla42[SID 30L],""),""))</f>
        <v>UDGUV</v>
      </c>
      <c r="S183" s="3">
        <f t="shared" si="2"/>
        <v>23</v>
      </c>
      <c r="T183" s="3" t="str">
        <f>_xlfn.XLOOKUP(C183,Tabla42[ADEP],Tabla42[Sector],"")</f>
        <v>Sector 2</v>
      </c>
    </row>
    <row r="184" spans="1:20" x14ac:dyDescent="0.2">
      <c r="A184" t="s">
        <v>1530</v>
      </c>
      <c r="B184" t="s">
        <v>18</v>
      </c>
      <c r="C184" t="s">
        <v>49</v>
      </c>
      <c r="D184" t="s">
        <v>124</v>
      </c>
      <c r="F184" s="2">
        <v>46297.974212962959</v>
      </c>
      <c r="G184" t="s">
        <v>21</v>
      </c>
      <c r="H184" t="s">
        <v>1531</v>
      </c>
      <c r="I184" s="3">
        <v>280</v>
      </c>
      <c r="J184" t="s">
        <v>22</v>
      </c>
      <c r="K184" t="s">
        <v>50</v>
      </c>
      <c r="L184" s="3">
        <v>928</v>
      </c>
      <c r="M184" t="s">
        <v>1532</v>
      </c>
      <c r="N184" s="2">
        <v>46298.030543981484</v>
      </c>
      <c r="O184" s="3">
        <v>280</v>
      </c>
      <c r="P184" t="s">
        <v>25</v>
      </c>
      <c r="Q184" s="3">
        <v>190</v>
      </c>
      <c r="R184" s="3" t="str">
        <f>IF(OR(G184="12R",G184="12L"),_xlfn.XLOOKUP(C184,Tabla42[ADEP],Tabla42[SID 12R],""),IF(OR(G184="30L",G184="30R"),_xlfn.XLOOKUP(C184,Tabla42[ADEP],Tabla42[SID 30L],""),""))</f>
        <v>UDGUV</v>
      </c>
      <c r="S184" s="3">
        <f t="shared" si="2"/>
        <v>23</v>
      </c>
      <c r="T184" s="3" t="str">
        <f>_xlfn.XLOOKUP(C184,Tabla42[ADEP],Tabla42[Sector],"")</f>
        <v>Sector 2</v>
      </c>
    </row>
    <row r="185" spans="1:20" x14ac:dyDescent="0.2">
      <c r="A185" t="s">
        <v>333</v>
      </c>
      <c r="B185" t="s">
        <v>18</v>
      </c>
      <c r="C185" t="s">
        <v>204</v>
      </c>
      <c r="D185" t="s">
        <v>53</v>
      </c>
      <c r="E185" t="s">
        <v>581</v>
      </c>
      <c r="F185" s="2">
        <v>46297.976400462961</v>
      </c>
      <c r="G185" t="s">
        <v>21</v>
      </c>
      <c r="H185" t="s">
        <v>1533</v>
      </c>
      <c r="I185" s="3">
        <v>370</v>
      </c>
      <c r="J185" t="s">
        <v>22</v>
      </c>
      <c r="K185" t="s">
        <v>23</v>
      </c>
      <c r="L185" s="3">
        <v>151</v>
      </c>
      <c r="M185" t="s">
        <v>111</v>
      </c>
      <c r="N185" s="2">
        <v>46297.986817129626</v>
      </c>
      <c r="O185" s="3">
        <v>290</v>
      </c>
      <c r="P185" t="s">
        <v>25</v>
      </c>
      <c r="Q185" s="3">
        <v>190</v>
      </c>
      <c r="R185" s="3" t="str">
        <f>IF(OR(G185="12R",G185="12L"),_xlfn.XLOOKUP(C185,Tabla42[ADEP],Tabla42[SID 12R],""),IF(OR(G185="30L",G185="30R"),_xlfn.XLOOKUP(C185,Tabla42[ADEP],Tabla42[SID 30L],""),""))</f>
        <v>TAKUX</v>
      </c>
      <c r="S185" s="3">
        <f t="shared" si="2"/>
        <v>23</v>
      </c>
      <c r="T185" s="3" t="str">
        <f>_xlfn.XLOOKUP(C185,Tabla42[ADEP],Tabla42[Sector],"")</f>
        <v>Sector 7</v>
      </c>
    </row>
    <row r="186" spans="1:20" x14ac:dyDescent="0.2">
      <c r="A186" t="s">
        <v>323</v>
      </c>
      <c r="B186" t="s">
        <v>18</v>
      </c>
      <c r="C186" t="s">
        <v>32</v>
      </c>
      <c r="D186" t="s">
        <v>33</v>
      </c>
      <c r="E186" t="s">
        <v>140</v>
      </c>
      <c r="F186" s="2">
        <v>46297.982858796298</v>
      </c>
      <c r="G186" t="s">
        <v>21</v>
      </c>
      <c r="H186" t="s">
        <v>1534</v>
      </c>
      <c r="I186" s="3">
        <v>360</v>
      </c>
      <c r="J186" t="s">
        <v>22</v>
      </c>
      <c r="K186" t="s">
        <v>23</v>
      </c>
      <c r="L186" s="3">
        <v>915</v>
      </c>
      <c r="M186" t="s">
        <v>35</v>
      </c>
      <c r="N186" s="2">
        <v>46298.027141203704</v>
      </c>
      <c r="O186" s="3">
        <v>380</v>
      </c>
      <c r="P186" t="s">
        <v>25</v>
      </c>
      <c r="Q186" s="3">
        <v>190</v>
      </c>
      <c r="R186" s="3" t="str">
        <f>IF(OR(G186="12R",G186="12L"),_xlfn.XLOOKUP(C186,Tabla42[ADEP],Tabla42[SID 12R],""),IF(OR(G186="30L",G186="30R"),_xlfn.XLOOKUP(C186,Tabla42[ADEP],Tabla42[SID 30L],""),""))</f>
        <v>UDGUV</v>
      </c>
      <c r="S186" s="3">
        <f t="shared" si="2"/>
        <v>23</v>
      </c>
      <c r="T186" s="3" t="str">
        <f>_xlfn.XLOOKUP(C186,Tabla42[ADEP],Tabla42[Sector],"")</f>
        <v>Sector 2</v>
      </c>
    </row>
    <row r="187" spans="1:20" x14ac:dyDescent="0.2">
      <c r="A187" t="s">
        <v>1535</v>
      </c>
      <c r="B187" t="s">
        <v>18</v>
      </c>
      <c r="C187" t="s">
        <v>49</v>
      </c>
      <c r="D187" t="s">
        <v>124</v>
      </c>
      <c r="F187" s="2">
        <v>46297.984421296293</v>
      </c>
      <c r="G187" t="s">
        <v>21</v>
      </c>
      <c r="H187" t="s">
        <v>1536</v>
      </c>
      <c r="I187" s="3">
        <v>400</v>
      </c>
      <c r="J187" t="s">
        <v>22</v>
      </c>
      <c r="K187" t="s">
        <v>50</v>
      </c>
      <c r="L187" s="3">
        <v>904</v>
      </c>
      <c r="M187" t="s">
        <v>45</v>
      </c>
      <c r="N187" s="2">
        <v>46298.036979166667</v>
      </c>
      <c r="O187" s="3">
        <v>400</v>
      </c>
      <c r="P187" t="s">
        <v>25</v>
      </c>
      <c r="Q187" s="3">
        <v>30</v>
      </c>
      <c r="R187" s="3" t="str">
        <f>IF(OR(G187="12R",G187="12L"),_xlfn.XLOOKUP(C187,Tabla42[ADEP],Tabla42[SID 12R],""),IF(OR(G187="30L",G187="30R"),_xlfn.XLOOKUP(C187,Tabla42[ADEP],Tabla42[SID 30L],""),""))</f>
        <v>UDGUV</v>
      </c>
      <c r="S187" s="3">
        <f t="shared" si="2"/>
        <v>23</v>
      </c>
      <c r="T187" s="3" t="str">
        <f>_xlfn.XLOOKUP(C187,Tabla42[ADEP],Tabla42[Sector],"")</f>
        <v>Sector 2</v>
      </c>
    </row>
    <row r="188" spans="1:20" x14ac:dyDescent="0.2">
      <c r="A188" t="s">
        <v>334</v>
      </c>
      <c r="B188" t="s">
        <v>18</v>
      </c>
      <c r="C188" t="s">
        <v>42</v>
      </c>
      <c r="D188" t="s">
        <v>122</v>
      </c>
      <c r="E188" t="s">
        <v>335</v>
      </c>
      <c r="F188" s="2">
        <v>46297.988668981481</v>
      </c>
      <c r="G188" t="s">
        <v>21</v>
      </c>
      <c r="H188" t="s">
        <v>1537</v>
      </c>
      <c r="I188" s="3">
        <v>360</v>
      </c>
      <c r="J188" t="s">
        <v>22</v>
      </c>
      <c r="K188" t="s">
        <v>23</v>
      </c>
      <c r="L188" s="3">
        <v>877</v>
      </c>
      <c r="M188" t="s">
        <v>273</v>
      </c>
      <c r="N188" s="2">
        <v>46298.033159722225</v>
      </c>
      <c r="O188" s="3">
        <v>380</v>
      </c>
      <c r="P188" t="s">
        <v>25</v>
      </c>
      <c r="Q188" s="3">
        <v>190</v>
      </c>
      <c r="R188" s="3" t="str">
        <f>IF(OR(G188="12R",G188="12L"),_xlfn.XLOOKUP(C188,Tabla42[ADEP],Tabla42[SID 12R],""),IF(OR(G188="30L",G188="30R"),_xlfn.XLOOKUP(C188,Tabla42[ADEP],Tabla42[SID 30L],""),""))</f>
        <v>UDGUV</v>
      </c>
      <c r="S188" s="3">
        <f t="shared" si="2"/>
        <v>23</v>
      </c>
      <c r="T188" s="3" t="str">
        <f>_xlfn.XLOOKUP(C188,Tabla42[ADEP],Tabla42[Sector],"")</f>
        <v>Sector 2</v>
      </c>
    </row>
    <row r="189" spans="1:20" x14ac:dyDescent="0.2">
      <c r="A189" t="s">
        <v>330</v>
      </c>
      <c r="B189" t="s">
        <v>18</v>
      </c>
      <c r="C189" t="s">
        <v>62</v>
      </c>
      <c r="D189" t="s">
        <v>53</v>
      </c>
      <c r="E189" t="s">
        <v>770</v>
      </c>
      <c r="F189" s="2">
        <v>46297.992858796293</v>
      </c>
      <c r="G189" t="s">
        <v>21</v>
      </c>
      <c r="H189" t="s">
        <v>1538</v>
      </c>
      <c r="I189" s="3">
        <v>380</v>
      </c>
      <c r="J189" t="s">
        <v>22</v>
      </c>
      <c r="K189" t="s">
        <v>23</v>
      </c>
      <c r="L189" s="3">
        <v>864</v>
      </c>
      <c r="M189" t="s">
        <v>751</v>
      </c>
      <c r="N189" s="2">
        <v>46298.036469907413</v>
      </c>
      <c r="O189" s="3">
        <v>380</v>
      </c>
      <c r="P189" t="s">
        <v>25</v>
      </c>
      <c r="Q189" s="3">
        <v>190</v>
      </c>
      <c r="R189" s="3" t="str">
        <f>IF(OR(G189="12R",G189="12L"),_xlfn.XLOOKUP(C189,Tabla42[ADEP],Tabla42[SID 12R],""),IF(OR(G189="30L",G189="30R"),_xlfn.XLOOKUP(C189,Tabla42[ADEP],Tabla42[SID 30L],""),""))</f>
        <v>UDGUV</v>
      </c>
      <c r="S189" s="3">
        <f t="shared" si="2"/>
        <v>23</v>
      </c>
      <c r="T189" s="3" t="str">
        <f>_xlfn.XLOOKUP(C189,Tabla42[ADEP],Tabla42[Sector],"")</f>
        <v>Sector 2</v>
      </c>
    </row>
    <row r="190" spans="1: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1: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1: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1539</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3</v>
      </c>
      <c r="I227" s="9">
        <f t="shared" ref="I227:I235" si="5">SUM(B227:H227)</f>
        <v>4</v>
      </c>
    </row>
    <row r="228" spans="1:9" x14ac:dyDescent="0.2">
      <c r="A228" s="7">
        <v>15</v>
      </c>
      <c r="B228" s="8">
        <f t="shared" si="4"/>
        <v>1</v>
      </c>
      <c r="C228" s="8">
        <f t="shared" si="4"/>
        <v>1</v>
      </c>
      <c r="D228" s="8">
        <f t="shared" si="4"/>
        <v>0</v>
      </c>
      <c r="E228" s="8">
        <f t="shared" si="4"/>
        <v>0</v>
      </c>
      <c r="F228" s="8">
        <f t="shared" si="4"/>
        <v>0</v>
      </c>
      <c r="G228" s="8">
        <f t="shared" si="4"/>
        <v>0</v>
      </c>
      <c r="H228" s="8">
        <f t="shared" si="4"/>
        <v>8</v>
      </c>
      <c r="I228" s="9">
        <f t="shared" si="5"/>
        <v>10</v>
      </c>
    </row>
    <row r="229" spans="1:9" x14ac:dyDescent="0.2">
      <c r="A229" s="7">
        <v>16</v>
      </c>
      <c r="B229" s="8">
        <f t="shared" si="4"/>
        <v>2</v>
      </c>
      <c r="C229" s="8">
        <f t="shared" si="4"/>
        <v>2</v>
      </c>
      <c r="D229" s="8">
        <f t="shared" si="4"/>
        <v>0</v>
      </c>
      <c r="E229" s="8">
        <f t="shared" si="4"/>
        <v>1</v>
      </c>
      <c r="F229" s="8">
        <f t="shared" si="4"/>
        <v>4</v>
      </c>
      <c r="G229" s="8">
        <f t="shared" si="4"/>
        <v>2</v>
      </c>
      <c r="H229" s="8">
        <f t="shared" si="4"/>
        <v>10</v>
      </c>
      <c r="I229" s="9">
        <f t="shared" si="5"/>
        <v>21</v>
      </c>
    </row>
    <row r="230" spans="1:9" x14ac:dyDescent="0.2">
      <c r="A230" s="7">
        <v>17</v>
      </c>
      <c r="B230" s="8">
        <f t="shared" si="4"/>
        <v>0</v>
      </c>
      <c r="C230" s="8">
        <f t="shared" si="4"/>
        <v>4</v>
      </c>
      <c r="D230" s="8">
        <f t="shared" si="4"/>
        <v>0</v>
      </c>
      <c r="E230" s="8">
        <f t="shared" si="4"/>
        <v>1</v>
      </c>
      <c r="F230" s="8">
        <f t="shared" si="4"/>
        <v>2</v>
      </c>
      <c r="G230" s="8">
        <f t="shared" si="4"/>
        <v>2</v>
      </c>
      <c r="H230" s="8">
        <f t="shared" si="4"/>
        <v>4</v>
      </c>
      <c r="I230" s="9">
        <f t="shared" si="5"/>
        <v>13</v>
      </c>
    </row>
    <row r="231" spans="1:9" x14ac:dyDescent="0.2">
      <c r="A231" s="7">
        <v>18</v>
      </c>
      <c r="B231" s="8">
        <f t="shared" si="4"/>
        <v>2</v>
      </c>
      <c r="C231" s="8">
        <f t="shared" si="4"/>
        <v>2</v>
      </c>
      <c r="D231" s="8">
        <f t="shared" si="4"/>
        <v>0</v>
      </c>
      <c r="E231" s="8">
        <f t="shared" si="4"/>
        <v>0</v>
      </c>
      <c r="F231" s="8">
        <f t="shared" si="4"/>
        <v>8</v>
      </c>
      <c r="G231" s="8">
        <f t="shared" si="4"/>
        <v>1</v>
      </c>
      <c r="H231" s="8">
        <f t="shared" si="4"/>
        <v>8</v>
      </c>
      <c r="I231" s="9">
        <f t="shared" si="5"/>
        <v>21</v>
      </c>
    </row>
    <row r="232" spans="1:9" x14ac:dyDescent="0.2">
      <c r="A232" s="7">
        <v>19</v>
      </c>
      <c r="B232" s="8">
        <f t="shared" si="4"/>
        <v>0</v>
      </c>
      <c r="C232" s="8">
        <f t="shared" si="4"/>
        <v>5</v>
      </c>
      <c r="D232" s="8">
        <f t="shared" si="4"/>
        <v>0</v>
      </c>
      <c r="E232" s="8">
        <f t="shared" si="4"/>
        <v>1</v>
      </c>
      <c r="F232" s="8">
        <f t="shared" si="4"/>
        <v>2</v>
      </c>
      <c r="G232" s="8">
        <f t="shared" si="4"/>
        <v>1</v>
      </c>
      <c r="H232" s="8">
        <f t="shared" si="4"/>
        <v>5</v>
      </c>
      <c r="I232" s="9">
        <f t="shared" si="5"/>
        <v>14</v>
      </c>
    </row>
    <row r="233" spans="1:9" x14ac:dyDescent="0.2">
      <c r="A233" s="7">
        <v>20</v>
      </c>
      <c r="B233" s="8">
        <f t="shared" si="4"/>
        <v>0</v>
      </c>
      <c r="C233" s="8">
        <f t="shared" si="4"/>
        <v>6</v>
      </c>
      <c r="D233" s="8">
        <f t="shared" si="4"/>
        <v>0</v>
      </c>
      <c r="E233" s="8">
        <f t="shared" si="4"/>
        <v>2</v>
      </c>
      <c r="F233" s="8">
        <f t="shared" si="4"/>
        <v>2</v>
      </c>
      <c r="G233" s="8">
        <f t="shared" si="4"/>
        <v>0</v>
      </c>
      <c r="H233" s="8">
        <f t="shared" si="4"/>
        <v>9</v>
      </c>
      <c r="I233" s="9">
        <f t="shared" si="5"/>
        <v>19</v>
      </c>
    </row>
    <row r="234" spans="1:9" x14ac:dyDescent="0.2">
      <c r="A234" s="7">
        <v>21</v>
      </c>
      <c r="B234" s="8">
        <f t="shared" si="4"/>
        <v>0</v>
      </c>
      <c r="C234" s="8">
        <f t="shared" si="4"/>
        <v>1</v>
      </c>
      <c r="D234" s="8">
        <f t="shared" si="4"/>
        <v>0</v>
      </c>
      <c r="E234" s="8">
        <f t="shared" si="4"/>
        <v>2</v>
      </c>
      <c r="F234" s="8">
        <f t="shared" si="4"/>
        <v>6</v>
      </c>
      <c r="G234" s="8">
        <f t="shared" si="4"/>
        <v>0</v>
      </c>
      <c r="H234" s="8">
        <f t="shared" si="4"/>
        <v>10</v>
      </c>
      <c r="I234" s="9">
        <f t="shared" si="5"/>
        <v>19</v>
      </c>
    </row>
    <row r="235" spans="1:9" x14ac:dyDescent="0.2">
      <c r="A235" s="10">
        <v>22</v>
      </c>
      <c r="B235" s="11">
        <f t="shared" si="4"/>
        <v>0</v>
      </c>
      <c r="C235" s="11">
        <f t="shared" si="4"/>
        <v>2</v>
      </c>
      <c r="D235" s="11">
        <f t="shared" si="4"/>
        <v>1</v>
      </c>
      <c r="E235" s="11">
        <f t="shared" si="4"/>
        <v>0</v>
      </c>
      <c r="F235" s="11">
        <f t="shared" si="4"/>
        <v>2</v>
      </c>
      <c r="G235" s="11">
        <f t="shared" si="4"/>
        <v>2</v>
      </c>
      <c r="H235" s="11">
        <f t="shared" si="4"/>
        <v>7</v>
      </c>
      <c r="I235" s="12">
        <f t="shared" si="5"/>
        <v>14</v>
      </c>
    </row>
    <row r="258" spans="1:9" ht="24" x14ac:dyDescent="0.3">
      <c r="A258" s="20" t="s">
        <v>1540</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3</v>
      </c>
      <c r="C263" s="8">
        <f t="shared" si="6"/>
        <v>1</v>
      </c>
      <c r="D263" s="8">
        <f t="shared" si="6"/>
        <v>0</v>
      </c>
      <c r="E263" s="9">
        <f t="shared" ref="E263:E272" si="7">SUM(B263:D263)</f>
        <v>4</v>
      </c>
    </row>
    <row r="264" spans="1:9" x14ac:dyDescent="0.2">
      <c r="A264" s="7">
        <v>15</v>
      </c>
      <c r="B264" s="8">
        <f t="shared" si="6"/>
        <v>8</v>
      </c>
      <c r="C264" s="8">
        <f t="shared" si="6"/>
        <v>1</v>
      </c>
      <c r="D264" s="8">
        <f t="shared" si="6"/>
        <v>1</v>
      </c>
      <c r="E264" s="9">
        <f t="shared" si="7"/>
        <v>10</v>
      </c>
    </row>
    <row r="265" spans="1:9" x14ac:dyDescent="0.2">
      <c r="A265" s="7">
        <v>16</v>
      </c>
      <c r="B265" s="8">
        <f t="shared" si="6"/>
        <v>10</v>
      </c>
      <c r="C265" s="8">
        <f t="shared" si="6"/>
        <v>7</v>
      </c>
      <c r="D265" s="8">
        <f t="shared" si="6"/>
        <v>4</v>
      </c>
      <c r="E265" s="9">
        <f t="shared" si="7"/>
        <v>21</v>
      </c>
    </row>
    <row r="266" spans="1:9" x14ac:dyDescent="0.2">
      <c r="A266" s="7">
        <v>17</v>
      </c>
      <c r="B266" s="8">
        <f t="shared" si="6"/>
        <v>4</v>
      </c>
      <c r="C266" s="8">
        <f t="shared" si="6"/>
        <v>7</v>
      </c>
      <c r="D266" s="8">
        <f t="shared" si="6"/>
        <v>2</v>
      </c>
      <c r="E266" s="9">
        <f t="shared" si="7"/>
        <v>13</v>
      </c>
    </row>
    <row r="267" spans="1:9" x14ac:dyDescent="0.2">
      <c r="A267" s="7">
        <v>18</v>
      </c>
      <c r="B267" s="8">
        <f t="shared" si="6"/>
        <v>8</v>
      </c>
      <c r="C267" s="8">
        <f t="shared" si="6"/>
        <v>10</v>
      </c>
      <c r="D267" s="8">
        <f t="shared" si="6"/>
        <v>3</v>
      </c>
      <c r="E267" s="9">
        <f t="shared" si="7"/>
        <v>21</v>
      </c>
    </row>
    <row r="268" spans="1:9" x14ac:dyDescent="0.2">
      <c r="A268" s="7">
        <v>19</v>
      </c>
      <c r="B268" s="8">
        <f t="shared" si="6"/>
        <v>5</v>
      </c>
      <c r="C268" s="8">
        <f t="shared" si="6"/>
        <v>8</v>
      </c>
      <c r="D268" s="8">
        <f t="shared" si="6"/>
        <v>1</v>
      </c>
      <c r="E268" s="9">
        <f t="shared" si="7"/>
        <v>14</v>
      </c>
    </row>
    <row r="269" spans="1:9" x14ac:dyDescent="0.2">
      <c r="A269" s="7">
        <v>20</v>
      </c>
      <c r="B269" s="8">
        <f t="shared" si="6"/>
        <v>9</v>
      </c>
      <c r="C269" s="8">
        <f t="shared" si="6"/>
        <v>10</v>
      </c>
      <c r="D269" s="8">
        <f t="shared" si="6"/>
        <v>0</v>
      </c>
      <c r="E269" s="9">
        <f t="shared" si="7"/>
        <v>19</v>
      </c>
    </row>
    <row r="270" spans="1:9" x14ac:dyDescent="0.2">
      <c r="A270" s="7">
        <v>21</v>
      </c>
      <c r="B270" s="8">
        <f t="shared" si="6"/>
        <v>10</v>
      </c>
      <c r="C270" s="8">
        <f t="shared" si="6"/>
        <v>9</v>
      </c>
      <c r="D270" s="8">
        <f t="shared" si="6"/>
        <v>0</v>
      </c>
      <c r="E270" s="9">
        <f t="shared" si="7"/>
        <v>19</v>
      </c>
    </row>
    <row r="271" spans="1:9" x14ac:dyDescent="0.2">
      <c r="A271" s="7">
        <v>22</v>
      </c>
      <c r="B271" s="8">
        <f t="shared" si="6"/>
        <v>7</v>
      </c>
      <c r="C271" s="8">
        <f t="shared" si="6"/>
        <v>4</v>
      </c>
      <c r="D271" s="8">
        <f t="shared" si="6"/>
        <v>3</v>
      </c>
      <c r="E271" s="9">
        <f t="shared" si="7"/>
        <v>14</v>
      </c>
    </row>
    <row r="272" spans="1:9" x14ac:dyDescent="0.2">
      <c r="A272" s="10">
        <v>23</v>
      </c>
      <c r="B272" s="11">
        <f t="shared" si="6"/>
        <v>8</v>
      </c>
      <c r="C272" s="11">
        <f t="shared" si="6"/>
        <v>1</v>
      </c>
      <c r="D272" s="11">
        <f t="shared" si="6"/>
        <v>1</v>
      </c>
      <c r="E272" s="12">
        <f t="shared" si="7"/>
        <v>10</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8631-EB84-D949-B5CE-B79503BD0334}">
  <dimension ref="A1:T272"/>
  <sheetViews>
    <sheetView showGridLines="0" zoomScale="110" zoomScaleNormal="110" workbookViewId="0">
      <selection activeCell="M260" sqref="M260"/>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336</v>
      </c>
      <c r="B2" s="13" t="s">
        <v>18</v>
      </c>
      <c r="C2" s="13" t="s">
        <v>290</v>
      </c>
      <c r="D2" s="13" t="s">
        <v>33</v>
      </c>
      <c r="E2" s="13" t="s">
        <v>402</v>
      </c>
      <c r="F2" s="14">
        <v>46298.0003587963</v>
      </c>
      <c r="G2" s="13" t="s">
        <v>21</v>
      </c>
      <c r="H2" s="13" t="s">
        <v>1541</v>
      </c>
      <c r="I2" s="15">
        <v>330</v>
      </c>
      <c r="J2" s="13" t="s">
        <v>22</v>
      </c>
      <c r="K2" s="13" t="s">
        <v>23</v>
      </c>
      <c r="L2" s="15">
        <v>233</v>
      </c>
      <c r="M2" s="13" t="s">
        <v>1024</v>
      </c>
      <c r="N2" s="14">
        <v>46298.015324074076</v>
      </c>
      <c r="O2" s="15">
        <v>293</v>
      </c>
      <c r="P2" s="13" t="s">
        <v>25</v>
      </c>
      <c r="Q2" s="15">
        <v>190</v>
      </c>
      <c r="R2" s="3" t="str">
        <f>IF(OR(G2="12R",G2="12L"),_xlfn.XLOOKUP(C2,Tabla42[ADEP],Tabla42[SID 12R],""),IF(OR(G2="30L",G2="30R"),_xlfn.XLOOKUP(C2,Tabla42[ADEP],Tabla42[SID 30L],""),""))</f>
        <v>CZM</v>
      </c>
      <c r="S2" s="3">
        <f>HOUR(F2)</f>
        <v>0</v>
      </c>
      <c r="T2" s="3" t="str">
        <f>_xlfn.XLOOKUP(C2,Tabla42[ADEP],Tabla42[Sector],"")</f>
        <v>Sector 7</v>
      </c>
    </row>
    <row r="3" spans="1:20" x14ac:dyDescent="0.2">
      <c r="A3" s="13" t="s">
        <v>412</v>
      </c>
      <c r="B3" s="13" t="s">
        <v>18</v>
      </c>
      <c r="C3" s="13" t="s">
        <v>84</v>
      </c>
      <c r="D3" s="13" t="s">
        <v>85</v>
      </c>
      <c r="E3" s="13" t="s">
        <v>948</v>
      </c>
      <c r="F3" s="14">
        <v>46298.020729166667</v>
      </c>
      <c r="G3" s="13" t="s">
        <v>21</v>
      </c>
      <c r="H3" s="13" t="s">
        <v>1542</v>
      </c>
      <c r="I3" s="15">
        <v>370</v>
      </c>
      <c r="J3" s="13" t="s">
        <v>22</v>
      </c>
      <c r="K3" s="13" t="s">
        <v>23</v>
      </c>
      <c r="L3" s="15">
        <v>288</v>
      </c>
      <c r="M3" s="13" t="s">
        <v>30</v>
      </c>
      <c r="N3" s="14">
        <v>46298.045370370368</v>
      </c>
      <c r="O3" s="15">
        <v>370</v>
      </c>
      <c r="P3" s="13" t="s">
        <v>40</v>
      </c>
      <c r="Q3" s="15">
        <v>40</v>
      </c>
      <c r="R3" s="3" t="str">
        <f>IF(OR(G3="12R",G3="12L"),_xlfn.XLOOKUP(C3,Tabla42[ADEP],Tabla42[SID 12R],""),IF(OR(G3="30L",G3="30R"),_xlfn.XLOOKUP(C3,Tabla42[ADEP],Tabla42[SID 30L],""),""))</f>
        <v>NUDAL</v>
      </c>
      <c r="S3" s="3">
        <f t="shared" ref="S3:S66" si="0">HOUR(F3)</f>
        <v>0</v>
      </c>
      <c r="T3" s="3" t="str">
        <f>_xlfn.XLOOKUP(C3,Tabla42[ADEP],Tabla42[Sector],"")</f>
        <v>Sector 3</v>
      </c>
    </row>
    <row r="4" spans="1:20" x14ac:dyDescent="0.2">
      <c r="A4" s="13" t="s">
        <v>308</v>
      </c>
      <c r="B4" s="13" t="s">
        <v>18</v>
      </c>
      <c r="C4" s="13" t="s">
        <v>137</v>
      </c>
      <c r="D4" s="13" t="s">
        <v>28</v>
      </c>
      <c r="E4" s="13" t="s">
        <v>1543</v>
      </c>
      <c r="F4" s="14">
        <v>46298.035277777773</v>
      </c>
      <c r="G4" s="13" t="s">
        <v>21</v>
      </c>
      <c r="H4" s="13" t="s">
        <v>386</v>
      </c>
      <c r="I4" s="15">
        <v>370</v>
      </c>
      <c r="J4" s="13" t="s">
        <v>22</v>
      </c>
      <c r="K4" s="13" t="s">
        <v>23</v>
      </c>
      <c r="L4" s="15">
        <v>136</v>
      </c>
      <c r="M4" s="13" t="s">
        <v>39</v>
      </c>
      <c r="N4" s="14">
        <v>46298.044189814813</v>
      </c>
      <c r="O4" s="15">
        <v>260</v>
      </c>
      <c r="P4" s="13" t="s">
        <v>25</v>
      </c>
      <c r="Q4" s="15">
        <v>190</v>
      </c>
      <c r="R4" s="3" t="str">
        <f>IF(OR(G4="12R",G4="12L"),_xlfn.XLOOKUP(C4,Tabla42[ADEP],Tabla42[SID 12R],""),IF(OR(G4="30L",G4="30R"),_xlfn.XLOOKUP(C4,Tabla42[ADEP],Tabla42[SID 30L],""),""))</f>
        <v>NUDAL</v>
      </c>
      <c r="S4" s="3">
        <f t="shared" si="0"/>
        <v>0</v>
      </c>
      <c r="T4" s="3" t="str">
        <f>_xlfn.XLOOKUP(C4,Tabla42[ADEP],Tabla42[Sector],"")</f>
        <v>Sector 3</v>
      </c>
    </row>
    <row r="5" spans="1:20" x14ac:dyDescent="0.2">
      <c r="A5" s="13" t="s">
        <v>56</v>
      </c>
      <c r="B5" s="13" t="s">
        <v>18</v>
      </c>
      <c r="C5" s="13" t="s">
        <v>42</v>
      </c>
      <c r="D5" s="13" t="s">
        <v>20</v>
      </c>
      <c r="E5" s="13" t="s">
        <v>169</v>
      </c>
      <c r="F5" s="14">
        <v>46298.045011574075</v>
      </c>
      <c r="G5" s="13" t="s">
        <v>21</v>
      </c>
      <c r="H5" s="13" t="s">
        <v>1544</v>
      </c>
      <c r="I5" s="15">
        <v>360</v>
      </c>
      <c r="J5" s="13" t="s">
        <v>22</v>
      </c>
      <c r="K5" s="13" t="s">
        <v>23</v>
      </c>
      <c r="L5" s="15">
        <v>921</v>
      </c>
      <c r="M5" s="13" t="s">
        <v>949</v>
      </c>
      <c r="N5" s="14">
        <v>46298.092893518522</v>
      </c>
      <c r="O5" s="15">
        <v>360</v>
      </c>
      <c r="P5" s="13" t="s">
        <v>25</v>
      </c>
      <c r="Q5" s="15">
        <v>190</v>
      </c>
      <c r="R5" s="3" t="str">
        <f>IF(OR(G5="12R",G5="12L"),_xlfn.XLOOKUP(C5,Tabla42[ADEP],Tabla42[SID 12R],""),IF(OR(G5="30L",G5="30R"),_xlfn.XLOOKUP(C5,Tabla42[ADEP],Tabla42[SID 30L],""),""))</f>
        <v>UDGUV</v>
      </c>
      <c r="S5" s="3">
        <f t="shared" si="0"/>
        <v>1</v>
      </c>
      <c r="T5" s="3" t="str">
        <f>_xlfn.XLOOKUP(C5,Tabla42[ADEP],Tabla42[Sector],"")</f>
        <v>Sector 2</v>
      </c>
    </row>
    <row r="6" spans="1:20" x14ac:dyDescent="0.2">
      <c r="A6" s="13" t="s">
        <v>17</v>
      </c>
      <c r="B6" s="13" t="s">
        <v>18</v>
      </c>
      <c r="C6" s="13" t="s">
        <v>19</v>
      </c>
      <c r="D6" s="13" t="s">
        <v>33</v>
      </c>
      <c r="E6" s="13" t="s">
        <v>558</v>
      </c>
      <c r="F6" s="14">
        <v>46298.048298611116</v>
      </c>
      <c r="G6" s="13" t="s">
        <v>21</v>
      </c>
      <c r="H6" s="13" t="s">
        <v>1545</v>
      </c>
      <c r="I6" s="15">
        <v>360</v>
      </c>
      <c r="J6" s="13" t="s">
        <v>22</v>
      </c>
      <c r="K6" s="13" t="s">
        <v>23</v>
      </c>
      <c r="L6" s="15">
        <v>880</v>
      </c>
      <c r="M6" s="13" t="s">
        <v>24</v>
      </c>
      <c r="N6" s="14">
        <v>46298.094189814816</v>
      </c>
      <c r="O6" s="15">
        <v>360</v>
      </c>
      <c r="P6" s="13" t="s">
        <v>25</v>
      </c>
      <c r="Q6" s="15">
        <v>190</v>
      </c>
      <c r="R6" s="3" t="str">
        <f>IF(OR(G6="12R",G6="12L"),_xlfn.XLOOKUP(C6,Tabla42[ADEP],Tabla42[SID 12R],""),IF(OR(G6="30L",G6="30R"),_xlfn.XLOOKUP(C6,Tabla42[ADEP],Tabla42[SID 30L],""),""))</f>
        <v>UDGUV</v>
      </c>
      <c r="S6" s="3">
        <f t="shared" si="0"/>
        <v>1</v>
      </c>
      <c r="T6" s="3" t="str">
        <f>_xlfn.XLOOKUP(C6,Tabla42[ADEP],Tabla42[Sector],"")</f>
        <v>Sector 2</v>
      </c>
    </row>
    <row r="7" spans="1:20" x14ac:dyDescent="0.2">
      <c r="A7" s="13" t="s">
        <v>61</v>
      </c>
      <c r="B7" s="13" t="s">
        <v>18</v>
      </c>
      <c r="C7" s="13" t="s">
        <v>62</v>
      </c>
      <c r="D7" s="13" t="s">
        <v>344</v>
      </c>
      <c r="E7" s="13" t="s">
        <v>345</v>
      </c>
      <c r="F7" s="14">
        <v>46298.049791666665</v>
      </c>
      <c r="G7" s="13" t="s">
        <v>21</v>
      </c>
      <c r="H7" s="13" t="s">
        <v>1546</v>
      </c>
      <c r="I7" s="15">
        <v>340</v>
      </c>
      <c r="J7" s="13" t="s">
        <v>22</v>
      </c>
      <c r="K7" s="13" t="s">
        <v>23</v>
      </c>
      <c r="L7" s="15">
        <v>886</v>
      </c>
      <c r="M7" s="13" t="s">
        <v>730</v>
      </c>
      <c r="N7" s="14">
        <v>46298.094722222224</v>
      </c>
      <c r="O7" s="15">
        <v>340</v>
      </c>
      <c r="P7" s="13" t="s">
        <v>25</v>
      </c>
      <c r="Q7" s="15">
        <v>190</v>
      </c>
      <c r="R7" s="3" t="str">
        <f>IF(OR(G7="12R",G7="12L"),_xlfn.XLOOKUP(C7,Tabla42[ADEP],Tabla42[SID 12R],""),IF(OR(G7="30L",G7="30R"),_xlfn.XLOOKUP(C7,Tabla42[ADEP],Tabla42[SID 30L],""),""))</f>
        <v>UDGUV</v>
      </c>
      <c r="S7" s="3">
        <f t="shared" si="0"/>
        <v>1</v>
      </c>
      <c r="T7" s="3" t="str">
        <f>_xlfn.XLOOKUP(C7,Tabla42[ADEP],Tabla42[Sector],"")</f>
        <v>Sector 2</v>
      </c>
    </row>
    <row r="8" spans="1:20" x14ac:dyDescent="0.2">
      <c r="A8" s="13" t="s">
        <v>31</v>
      </c>
      <c r="B8" s="13" t="s">
        <v>18</v>
      </c>
      <c r="C8" s="13" t="s">
        <v>32</v>
      </c>
      <c r="D8" s="13" t="s">
        <v>33</v>
      </c>
      <c r="E8" s="13" t="s">
        <v>554</v>
      </c>
      <c r="F8" s="14">
        <v>46298.054745370369</v>
      </c>
      <c r="G8" s="13" t="s">
        <v>21</v>
      </c>
      <c r="H8" s="13" t="s">
        <v>1547</v>
      </c>
      <c r="I8" s="15">
        <v>360</v>
      </c>
      <c r="J8" s="13" t="s">
        <v>22</v>
      </c>
      <c r="K8" s="13" t="s">
        <v>23</v>
      </c>
      <c r="L8" s="15">
        <v>923</v>
      </c>
      <c r="M8" s="13" t="s">
        <v>35</v>
      </c>
      <c r="N8" s="14">
        <v>46298.100775462968</v>
      </c>
      <c r="O8" s="15">
        <v>360</v>
      </c>
      <c r="P8" s="13" t="s">
        <v>25</v>
      </c>
      <c r="Q8" s="15">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13" t="s">
        <v>41</v>
      </c>
      <c r="B9" s="13" t="s">
        <v>18</v>
      </c>
      <c r="C9" s="13" t="s">
        <v>42</v>
      </c>
      <c r="D9" s="13" t="s">
        <v>43</v>
      </c>
      <c r="E9" s="13" t="s">
        <v>509</v>
      </c>
      <c r="F9" s="14">
        <v>46298.058229166665</v>
      </c>
      <c r="G9" s="13" t="s">
        <v>21</v>
      </c>
      <c r="H9" s="13" t="s">
        <v>1548</v>
      </c>
      <c r="I9" s="15">
        <v>360</v>
      </c>
      <c r="J9" s="13" t="s">
        <v>22</v>
      </c>
      <c r="K9" s="13" t="s">
        <v>23</v>
      </c>
      <c r="L9" s="15">
        <v>894</v>
      </c>
      <c r="M9" s="13" t="s">
        <v>45</v>
      </c>
      <c r="N9" s="14">
        <v>46298.10356481481</v>
      </c>
      <c r="O9" s="15">
        <v>360</v>
      </c>
      <c r="P9" s="13" t="s">
        <v>25</v>
      </c>
      <c r="Q9" s="15">
        <v>190</v>
      </c>
      <c r="R9" s="3" t="str">
        <f>IF(OR(G9="12R",G9="12L"),_xlfn.XLOOKUP(C9,Tabla42[ADEP],Tabla42[SID 12R],""),IF(OR(G9="30L",G9="30R"),_xlfn.XLOOKUP(C9,Tabla42[ADEP],Tabla42[SID 30L],""),""))</f>
        <v>UDGUV</v>
      </c>
      <c r="S9" s="3">
        <f t="shared" si="0"/>
        <v>1</v>
      </c>
      <c r="T9" s="3" t="str">
        <f>_xlfn.XLOOKUP(C9,Tabla42[ADEP],Tabla42[Sector],"")</f>
        <v>Sector 2</v>
      </c>
    </row>
    <row r="10" spans="1:20" x14ac:dyDescent="0.2">
      <c r="A10" s="13" t="s">
        <v>51</v>
      </c>
      <c r="B10" s="13" t="s">
        <v>18</v>
      </c>
      <c r="C10" s="13" t="s">
        <v>52</v>
      </c>
      <c r="D10" s="13" t="s">
        <v>53</v>
      </c>
      <c r="E10" s="13" t="s">
        <v>535</v>
      </c>
      <c r="F10" s="14">
        <v>46298.059907407413</v>
      </c>
      <c r="G10" s="13" t="s">
        <v>21</v>
      </c>
      <c r="H10" s="13" t="s">
        <v>1549</v>
      </c>
      <c r="I10" s="15">
        <v>330</v>
      </c>
      <c r="J10" s="13" t="s">
        <v>22</v>
      </c>
      <c r="K10" s="13" t="s">
        <v>23</v>
      </c>
      <c r="L10" s="15">
        <v>186</v>
      </c>
      <c r="M10" s="13" t="s">
        <v>1064</v>
      </c>
      <c r="N10" s="14">
        <v>46298.07203703704</v>
      </c>
      <c r="O10" s="15">
        <v>363</v>
      </c>
      <c r="P10" s="13" t="s">
        <v>25</v>
      </c>
      <c r="Q10" s="15">
        <v>190</v>
      </c>
      <c r="R10" s="3" t="str">
        <f>IF(OR(G10="12R",G10="12L"),_xlfn.XLOOKUP(C10,Tabla42[ADEP],Tabla42[SID 12R],""),IF(OR(G10="30L",G10="30R"),_xlfn.XLOOKUP(C10,Tabla42[ADEP],Tabla42[SID 30L],""),""))</f>
        <v>CZM</v>
      </c>
      <c r="S10" s="3">
        <f t="shared" si="0"/>
        <v>1</v>
      </c>
      <c r="T10" s="3" t="str">
        <f>_xlfn.XLOOKUP(C10,Tabla42[ADEP],Tabla42[Sector],"")</f>
        <v>Sector 7</v>
      </c>
    </row>
    <row r="11" spans="1:20" x14ac:dyDescent="0.2">
      <c r="A11" s="13" t="s">
        <v>46</v>
      </c>
      <c r="B11" s="13" t="s">
        <v>18</v>
      </c>
      <c r="C11" s="13" t="s">
        <v>47</v>
      </c>
      <c r="D11" s="13" t="s">
        <v>48</v>
      </c>
      <c r="E11" s="13" t="s">
        <v>619</v>
      </c>
      <c r="F11" s="14">
        <v>46298.062951388885</v>
      </c>
      <c r="G11" s="13" t="s">
        <v>21</v>
      </c>
      <c r="H11" s="13" t="s">
        <v>1550</v>
      </c>
      <c r="I11" s="15">
        <v>370</v>
      </c>
      <c r="J11" s="13" t="s">
        <v>22</v>
      </c>
      <c r="K11" s="13" t="s">
        <v>23</v>
      </c>
      <c r="L11" s="15">
        <v>371</v>
      </c>
      <c r="M11" s="13" t="s">
        <v>30</v>
      </c>
      <c r="N11" s="14">
        <v>46298.082314814819</v>
      </c>
      <c r="O11" s="15">
        <v>370</v>
      </c>
      <c r="P11" s="13" t="s">
        <v>40</v>
      </c>
      <c r="Q11" s="15">
        <v>40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13" t="s">
        <v>346</v>
      </c>
      <c r="B12" s="13" t="s">
        <v>18</v>
      </c>
      <c r="C12" s="13" t="s">
        <v>37</v>
      </c>
      <c r="D12" s="13" t="s">
        <v>340</v>
      </c>
      <c r="E12" s="13" t="s">
        <v>1037</v>
      </c>
      <c r="F12" s="14">
        <v>46298.065451388888</v>
      </c>
      <c r="G12" s="13" t="s">
        <v>21</v>
      </c>
      <c r="H12" s="13" t="s">
        <v>1551</v>
      </c>
      <c r="I12" s="15">
        <v>370</v>
      </c>
      <c r="J12" s="13" t="s">
        <v>22</v>
      </c>
      <c r="K12" s="13" t="s">
        <v>23</v>
      </c>
      <c r="L12" s="15">
        <v>141</v>
      </c>
      <c r="M12" s="13" t="s">
        <v>39</v>
      </c>
      <c r="N12" s="14">
        <v>46298.07512731482</v>
      </c>
      <c r="O12" s="15">
        <v>203</v>
      </c>
      <c r="P12" s="13" t="s">
        <v>40</v>
      </c>
      <c r="Q12" s="15">
        <v>190</v>
      </c>
      <c r="R12" s="3" t="str">
        <f>IF(OR(G12="12R",G12="12L"),_xlfn.XLOOKUP(C12,Tabla42[ADEP],Tabla42[SID 12R],""),IF(OR(G12="30L",G12="30R"),_xlfn.XLOOKUP(C12,Tabla42[ADEP],Tabla42[SID 30L],""),""))</f>
        <v>NUDAL</v>
      </c>
      <c r="S12" s="3">
        <f t="shared" si="0"/>
        <v>1</v>
      </c>
      <c r="T12" s="3" t="str">
        <f>_xlfn.XLOOKUP(C12,Tabla42[ADEP],Tabla42[Sector],"")</f>
        <v>Sector 3</v>
      </c>
    </row>
    <row r="13" spans="1:20" x14ac:dyDescent="0.2">
      <c r="A13" s="13" t="s">
        <v>36</v>
      </c>
      <c r="B13" s="13" t="s">
        <v>18</v>
      </c>
      <c r="C13" s="13" t="s">
        <v>37</v>
      </c>
      <c r="D13" s="13" t="s">
        <v>38</v>
      </c>
      <c r="E13" s="13" t="s">
        <v>1048</v>
      </c>
      <c r="F13" s="14">
        <v>46298.071469907409</v>
      </c>
      <c r="G13" s="13" t="s">
        <v>21</v>
      </c>
      <c r="H13" s="13" t="s">
        <v>1552</v>
      </c>
      <c r="I13" s="15">
        <v>350</v>
      </c>
      <c r="J13" s="13" t="s">
        <v>22</v>
      </c>
      <c r="K13" s="13" t="s">
        <v>23</v>
      </c>
      <c r="L13" s="15">
        <v>138</v>
      </c>
      <c r="M13" s="13" t="s">
        <v>39</v>
      </c>
      <c r="N13" s="14">
        <v>46298.081157407403</v>
      </c>
      <c r="O13" s="15">
        <v>207</v>
      </c>
      <c r="P13" s="13" t="s">
        <v>40</v>
      </c>
      <c r="Q13" s="15">
        <v>190</v>
      </c>
      <c r="R13" s="3" t="str">
        <f>IF(OR(G13="12R",G13="12L"),_xlfn.XLOOKUP(C13,Tabla42[ADEP],Tabla42[SID 12R],""),IF(OR(G13="30L",G13="30R"),_xlfn.XLOOKUP(C13,Tabla42[ADEP],Tabla42[SID 30L],""),""))</f>
        <v>NUDAL</v>
      </c>
      <c r="S13" s="3">
        <f t="shared" si="0"/>
        <v>1</v>
      </c>
      <c r="T13" s="3" t="str">
        <f>_xlfn.XLOOKUP(C13,Tabla42[ADEP],Tabla42[Sector],"")</f>
        <v>Sector 3</v>
      </c>
    </row>
    <row r="14" spans="1:20" x14ac:dyDescent="0.2">
      <c r="A14" s="13" t="s">
        <v>1553</v>
      </c>
      <c r="B14" s="13" t="s">
        <v>18</v>
      </c>
      <c r="C14" s="13" t="s">
        <v>32</v>
      </c>
      <c r="D14" s="13" t="s">
        <v>124</v>
      </c>
      <c r="E14" s="13"/>
      <c r="F14" s="14">
        <v>46298.07413194445</v>
      </c>
      <c r="G14" s="13" t="s">
        <v>21</v>
      </c>
      <c r="H14" s="13" t="s">
        <v>1554</v>
      </c>
      <c r="I14" s="15">
        <v>400</v>
      </c>
      <c r="J14" s="13" t="s">
        <v>22</v>
      </c>
      <c r="K14" s="13" t="s">
        <v>50</v>
      </c>
      <c r="L14" s="15">
        <v>875</v>
      </c>
      <c r="M14" s="13" t="s">
        <v>35</v>
      </c>
      <c r="N14" s="14">
        <v>46298.120034722218</v>
      </c>
      <c r="O14" s="15">
        <v>400</v>
      </c>
      <c r="P14" s="13" t="s">
        <v>25</v>
      </c>
      <c r="Q14" s="15">
        <v>30</v>
      </c>
      <c r="R14" s="3" t="str">
        <f>IF(OR(G14="12R",G14="12L"),_xlfn.XLOOKUP(C14,Tabla42[ADEP],Tabla42[SID 12R],""),IF(OR(G14="30L",G14="30R"),_xlfn.XLOOKUP(C14,Tabla42[ADEP],Tabla42[SID 30L],""),""))</f>
        <v>UDGUV</v>
      </c>
      <c r="S14" s="3">
        <f t="shared" si="0"/>
        <v>1</v>
      </c>
      <c r="T14" s="3" t="str">
        <f>_xlfn.XLOOKUP(C14,Tabla42[ADEP],Tabla42[Sector],"")</f>
        <v>Sector 2</v>
      </c>
    </row>
    <row r="15" spans="1:20" x14ac:dyDescent="0.2">
      <c r="A15" s="13" t="s">
        <v>67</v>
      </c>
      <c r="B15" s="13" t="s">
        <v>18</v>
      </c>
      <c r="C15" s="13" t="s">
        <v>37</v>
      </c>
      <c r="D15" s="13" t="s">
        <v>85</v>
      </c>
      <c r="E15" s="13" t="s">
        <v>342</v>
      </c>
      <c r="F15" s="14">
        <v>46298.103715277779</v>
      </c>
      <c r="G15" s="13" t="s">
        <v>694</v>
      </c>
      <c r="H15" s="13" t="s">
        <v>1555</v>
      </c>
      <c r="I15" s="15">
        <v>350</v>
      </c>
      <c r="J15" s="13" t="s">
        <v>22</v>
      </c>
      <c r="K15" s="13" t="s">
        <v>23</v>
      </c>
      <c r="L15" s="15">
        <v>141</v>
      </c>
      <c r="M15" s="13" t="s">
        <v>379</v>
      </c>
      <c r="N15" s="14">
        <v>46298.113668981481</v>
      </c>
      <c r="O15" s="15">
        <v>202</v>
      </c>
      <c r="P15" s="13" t="s">
        <v>40</v>
      </c>
      <c r="Q15" s="15">
        <v>190</v>
      </c>
      <c r="R15" s="3" t="str">
        <f>IF(OR(G15="12R",G15="12L"),_xlfn.XLOOKUP(C15,Tabla42[ADEP],Tabla42[SID 12R],""),IF(OR(G15="30L",G15="30R"),_xlfn.XLOOKUP(C15,Tabla42[ADEP],Tabla42[SID 30L],""),""))</f>
        <v>NUDAL</v>
      </c>
      <c r="S15" s="3">
        <f t="shared" si="0"/>
        <v>2</v>
      </c>
      <c r="T15" s="3" t="str">
        <f>_xlfn.XLOOKUP(C15,Tabla42[ADEP],Tabla42[Sector],"")</f>
        <v>Sector 3</v>
      </c>
    </row>
    <row r="16" spans="1:20" x14ac:dyDescent="0.2">
      <c r="A16" s="13" t="s">
        <v>69</v>
      </c>
      <c r="B16" s="13" t="s">
        <v>18</v>
      </c>
      <c r="C16" s="13" t="s">
        <v>42</v>
      </c>
      <c r="D16" s="13" t="s">
        <v>53</v>
      </c>
      <c r="E16" s="13" t="s">
        <v>70</v>
      </c>
      <c r="F16" s="14">
        <v>46298.129618055551</v>
      </c>
      <c r="G16" s="13" t="s">
        <v>21</v>
      </c>
      <c r="H16" s="13" t="s">
        <v>1556</v>
      </c>
      <c r="I16" s="15">
        <v>360</v>
      </c>
      <c r="J16" s="13" t="s">
        <v>22</v>
      </c>
      <c r="K16" s="13" t="s">
        <v>23</v>
      </c>
      <c r="L16" s="15">
        <v>28</v>
      </c>
      <c r="M16" s="13" t="s">
        <v>45</v>
      </c>
      <c r="N16" s="14">
        <v>46298.174097222218</v>
      </c>
      <c r="O16" s="15">
        <v>360</v>
      </c>
      <c r="P16" s="13" t="s">
        <v>25</v>
      </c>
      <c r="Q16" s="15">
        <v>190</v>
      </c>
      <c r="R16" s="3" t="str">
        <f>IF(OR(G16="12R",G16="12L"),_xlfn.XLOOKUP(C16,Tabla42[ADEP],Tabla42[SID 12R],""),IF(OR(G16="30L",G16="30R"),_xlfn.XLOOKUP(C16,Tabla42[ADEP],Tabla42[SID 30L],""),""))</f>
        <v>UDGUV</v>
      </c>
      <c r="S16" s="3">
        <f t="shared" si="0"/>
        <v>3</v>
      </c>
      <c r="T16" s="3" t="str">
        <f>_xlfn.XLOOKUP(C16,Tabla42[ADEP],Tabla42[Sector],"")</f>
        <v>Sector 2</v>
      </c>
    </row>
    <row r="17" spans="1:20" x14ac:dyDescent="0.2">
      <c r="A17" s="13" t="s">
        <v>59</v>
      </c>
      <c r="B17" s="13" t="s">
        <v>18</v>
      </c>
      <c r="C17" s="13" t="s">
        <v>27</v>
      </c>
      <c r="D17" s="13" t="s">
        <v>134</v>
      </c>
      <c r="E17" s="13" t="s">
        <v>1011</v>
      </c>
      <c r="F17" s="14">
        <v>46298.13118055556</v>
      </c>
      <c r="G17" s="13" t="s">
        <v>21</v>
      </c>
      <c r="H17" s="13" t="s">
        <v>1557</v>
      </c>
      <c r="I17" s="15">
        <v>330</v>
      </c>
      <c r="J17" s="13" t="s">
        <v>22</v>
      </c>
      <c r="K17" s="13" t="s">
        <v>23</v>
      </c>
      <c r="L17" s="15">
        <v>165</v>
      </c>
      <c r="M17" s="13" t="s">
        <v>1558</v>
      </c>
      <c r="N17" s="14">
        <v>46298.14163194444</v>
      </c>
      <c r="O17" s="15">
        <v>271</v>
      </c>
      <c r="P17" s="13" t="s">
        <v>25</v>
      </c>
      <c r="Q17" s="15">
        <v>40</v>
      </c>
      <c r="R17" s="3" t="str">
        <f>IF(OR(G17="12R",G17="12L"),_xlfn.XLOOKUP(C17,Tabla42[ADEP],Tabla42[SID 12R],""),IF(OR(G17="30L",G17="30R"),_xlfn.XLOOKUP(C17,Tabla42[ADEP],Tabla42[SID 30L],""),""))</f>
        <v>OMSUK</v>
      </c>
      <c r="S17" s="3">
        <f t="shared" si="0"/>
        <v>3</v>
      </c>
      <c r="T17" s="3" t="str">
        <f>_xlfn.XLOOKUP(C17,Tabla42[ADEP],Tabla42[Sector],"")</f>
        <v>Sector 3</v>
      </c>
    </row>
    <row r="18" spans="1:20" x14ac:dyDescent="0.2">
      <c r="A18" s="13" t="s">
        <v>69</v>
      </c>
      <c r="B18" s="13" t="s">
        <v>18</v>
      </c>
      <c r="C18" s="13" t="s">
        <v>42</v>
      </c>
      <c r="D18" s="13" t="s">
        <v>33</v>
      </c>
      <c r="E18" s="13"/>
      <c r="F18" s="14">
        <v>46298.133657407408</v>
      </c>
      <c r="G18" s="13" t="s">
        <v>21</v>
      </c>
      <c r="H18" s="13" t="s">
        <v>1559</v>
      </c>
      <c r="I18" s="15">
        <v>360</v>
      </c>
      <c r="J18" s="13" t="s">
        <v>22</v>
      </c>
      <c r="K18" s="13" t="s">
        <v>23</v>
      </c>
      <c r="L18" s="15">
        <v>861</v>
      </c>
      <c r="M18" s="13" t="s">
        <v>349</v>
      </c>
      <c r="N18" s="14">
        <v>46298.177847222221</v>
      </c>
      <c r="O18" s="15">
        <v>380</v>
      </c>
      <c r="P18" s="13" t="s">
        <v>25</v>
      </c>
      <c r="Q18" s="15">
        <v>280</v>
      </c>
      <c r="R18" s="3" t="str">
        <f>IF(OR(G18="12R",G18="12L"),_xlfn.XLOOKUP(C18,Tabla42[ADEP],Tabla42[SID 12R],""),IF(OR(G18="30L",G18="30R"),_xlfn.XLOOKUP(C18,Tabla42[ADEP],Tabla42[SID 30L],""),""))</f>
        <v>UDGUV</v>
      </c>
      <c r="S18" s="3">
        <f t="shared" si="0"/>
        <v>3</v>
      </c>
      <c r="T18" s="3" t="str">
        <f>_xlfn.XLOOKUP(C18,Tabla42[ADEP],Tabla42[Sector],"")</f>
        <v>Sector 2</v>
      </c>
    </row>
    <row r="19" spans="1:20" x14ac:dyDescent="0.2">
      <c r="A19" s="13" t="s">
        <v>78</v>
      </c>
      <c r="B19" s="13" t="s">
        <v>18</v>
      </c>
      <c r="C19" s="13" t="s">
        <v>42</v>
      </c>
      <c r="D19" s="13" t="s">
        <v>20</v>
      </c>
      <c r="E19" s="13" t="s">
        <v>661</v>
      </c>
      <c r="F19" s="14">
        <v>46298.139641203699</v>
      </c>
      <c r="G19" s="13" t="s">
        <v>21</v>
      </c>
      <c r="H19" s="13" t="s">
        <v>1560</v>
      </c>
      <c r="I19" s="15">
        <v>360</v>
      </c>
      <c r="J19" s="13" t="s">
        <v>22</v>
      </c>
      <c r="K19" s="13" t="s">
        <v>23</v>
      </c>
      <c r="L19" s="15">
        <v>879</v>
      </c>
      <c r="M19" s="13" t="s">
        <v>45</v>
      </c>
      <c r="N19" s="14">
        <v>46298.185127314813</v>
      </c>
      <c r="O19" s="15">
        <v>360</v>
      </c>
      <c r="P19" s="13" t="s">
        <v>25</v>
      </c>
      <c r="Q19" s="15">
        <v>190</v>
      </c>
      <c r="R19" s="3" t="str">
        <f>IF(OR(G19="12R",G19="12L"),_xlfn.XLOOKUP(C19,Tabla42[ADEP],Tabla42[SID 12R],""),IF(OR(G19="30L",G19="30R"),_xlfn.XLOOKUP(C19,Tabla42[ADEP],Tabla42[SID 30L],""),""))</f>
        <v>UDGUV</v>
      </c>
      <c r="S19" s="3">
        <f t="shared" si="0"/>
        <v>3</v>
      </c>
      <c r="T19" s="3" t="str">
        <f>_xlfn.XLOOKUP(C19,Tabla42[ADEP],Tabla42[Sector],"")</f>
        <v>Sector 2</v>
      </c>
    </row>
    <row r="20" spans="1:20" x14ac:dyDescent="0.2">
      <c r="A20" s="13" t="s">
        <v>504</v>
      </c>
      <c r="B20" s="13" t="s">
        <v>18</v>
      </c>
      <c r="C20" s="13" t="s">
        <v>96</v>
      </c>
      <c r="D20" s="13" t="s">
        <v>20</v>
      </c>
      <c r="E20" s="13" t="s">
        <v>374</v>
      </c>
      <c r="F20" s="14">
        <v>46298.151134259257</v>
      </c>
      <c r="G20" s="13" t="s">
        <v>21</v>
      </c>
      <c r="H20" s="13" t="s">
        <v>1561</v>
      </c>
      <c r="I20" s="15">
        <v>360</v>
      </c>
      <c r="J20" s="13" t="s">
        <v>22</v>
      </c>
      <c r="K20" s="13" t="s">
        <v>23</v>
      </c>
      <c r="L20" s="15">
        <v>886</v>
      </c>
      <c r="M20" s="13" t="s">
        <v>561</v>
      </c>
      <c r="N20" s="14">
        <v>46298.196377314816</v>
      </c>
      <c r="O20" s="15">
        <v>360</v>
      </c>
      <c r="P20" s="13" t="s">
        <v>25</v>
      </c>
      <c r="Q20" s="15">
        <v>190</v>
      </c>
      <c r="R20" s="3" t="str">
        <f>IF(OR(G20="12R",G20="12L"),_xlfn.XLOOKUP(C20,Tabla42[ADEP],Tabla42[SID 12R],""),IF(OR(G20="30L",G20="30R"),_xlfn.XLOOKUP(C20,Tabla42[ADEP],Tabla42[SID 30L],""),""))</f>
        <v>UDGUV</v>
      </c>
      <c r="S20" s="3">
        <f t="shared" si="0"/>
        <v>3</v>
      </c>
      <c r="T20" s="3" t="str">
        <f>_xlfn.XLOOKUP(C20,Tabla42[ADEP],Tabla42[Sector],"")</f>
        <v>Sector 2</v>
      </c>
    </row>
    <row r="21" spans="1:20" x14ac:dyDescent="0.2">
      <c r="A21" s="13" t="s">
        <v>348</v>
      </c>
      <c r="B21" s="13" t="s">
        <v>18</v>
      </c>
      <c r="C21" s="13" t="s">
        <v>204</v>
      </c>
      <c r="D21" s="13" t="s">
        <v>53</v>
      </c>
      <c r="E21" s="13" t="s">
        <v>207</v>
      </c>
      <c r="F21" s="14">
        <v>46298.171932870369</v>
      </c>
      <c r="G21" s="13" t="s">
        <v>21</v>
      </c>
      <c r="H21" s="13" t="s">
        <v>1562</v>
      </c>
      <c r="I21" s="15">
        <v>370</v>
      </c>
      <c r="J21" s="13" t="s">
        <v>22</v>
      </c>
      <c r="K21" s="13" t="s">
        <v>23</v>
      </c>
      <c r="L21" s="15">
        <v>152</v>
      </c>
      <c r="M21" s="13" t="s">
        <v>111</v>
      </c>
      <c r="N21" s="14">
        <v>46298.18241898148</v>
      </c>
      <c r="O21" s="15">
        <v>309</v>
      </c>
      <c r="P21" s="13" t="s">
        <v>25</v>
      </c>
      <c r="Q21" s="15">
        <v>190</v>
      </c>
      <c r="R21" s="3" t="str">
        <f>IF(OR(G21="12R",G21="12L"),_xlfn.XLOOKUP(C21,Tabla42[ADEP],Tabla42[SID 12R],""),IF(OR(G21="30L",G21="30R"),_xlfn.XLOOKUP(C21,Tabla42[ADEP],Tabla42[SID 30L],""),""))</f>
        <v>TAKUX</v>
      </c>
      <c r="S21" s="3">
        <f t="shared" si="0"/>
        <v>4</v>
      </c>
      <c r="T21" s="3" t="str">
        <f>_xlfn.XLOOKUP(C21,Tabla42[ADEP],Tabla42[Sector],"")</f>
        <v>Sector 7</v>
      </c>
    </row>
    <row r="22" spans="1:20" x14ac:dyDescent="0.2">
      <c r="A22" s="13" t="s">
        <v>75</v>
      </c>
      <c r="B22" s="13" t="s">
        <v>18</v>
      </c>
      <c r="C22" s="13" t="s">
        <v>19</v>
      </c>
      <c r="D22" s="13" t="s">
        <v>33</v>
      </c>
      <c r="E22" s="13" t="s">
        <v>494</v>
      </c>
      <c r="F22" s="14">
        <v>46298.25105324074</v>
      </c>
      <c r="G22" s="13" t="s">
        <v>694</v>
      </c>
      <c r="H22" s="13" t="s">
        <v>1563</v>
      </c>
      <c r="I22" s="15">
        <v>340</v>
      </c>
      <c r="J22" s="13" t="s">
        <v>22</v>
      </c>
      <c r="K22" s="13" t="s">
        <v>23</v>
      </c>
      <c r="L22" s="15">
        <v>847</v>
      </c>
      <c r="M22" s="13" t="s">
        <v>77</v>
      </c>
      <c r="N22" s="14">
        <v>46298.294421296298</v>
      </c>
      <c r="O22" s="15">
        <v>340</v>
      </c>
      <c r="P22" s="13" t="s">
        <v>25</v>
      </c>
      <c r="Q22" s="15">
        <v>190</v>
      </c>
      <c r="R22" s="3" t="str">
        <f>IF(OR(G22="12R",G22="12L"),_xlfn.XLOOKUP(C22,Tabla42[ADEP],Tabla42[SID 12R],""),IF(OR(G22="30L",G22="30R"),_xlfn.XLOOKUP(C22,Tabla42[ADEP],Tabla42[SID 30L],""),""))</f>
        <v>UDGUV</v>
      </c>
      <c r="S22" s="3">
        <f t="shared" si="0"/>
        <v>6</v>
      </c>
      <c r="T22" s="3" t="str">
        <f>_xlfn.XLOOKUP(C22,Tabla42[ADEP],Tabla42[Sector],"")</f>
        <v>Sector 2</v>
      </c>
    </row>
    <row r="23" spans="1:20" x14ac:dyDescent="0.2">
      <c r="A23" s="13" t="s">
        <v>88</v>
      </c>
      <c r="B23" s="13" t="s">
        <v>18</v>
      </c>
      <c r="C23" s="13" t="s">
        <v>32</v>
      </c>
      <c r="D23" s="13" t="s">
        <v>20</v>
      </c>
      <c r="E23" s="13" t="s">
        <v>712</v>
      </c>
      <c r="F23" s="14">
        <v>46298.253518518519</v>
      </c>
      <c r="G23" s="13" t="s">
        <v>694</v>
      </c>
      <c r="H23" s="13" t="s">
        <v>1564</v>
      </c>
      <c r="I23" s="15">
        <v>360</v>
      </c>
      <c r="J23" s="13" t="s">
        <v>22</v>
      </c>
      <c r="K23" s="13" t="s">
        <v>23</v>
      </c>
      <c r="L23" s="15">
        <v>836</v>
      </c>
      <c r="M23" s="13" t="s">
        <v>35</v>
      </c>
      <c r="N23" s="14">
        <v>46298.295046296298</v>
      </c>
      <c r="O23" s="15">
        <v>360</v>
      </c>
      <c r="P23" s="13" t="s">
        <v>25</v>
      </c>
      <c r="Q23" s="15">
        <v>190</v>
      </c>
      <c r="R23" s="3" t="str">
        <f>IF(OR(G23="12R",G23="12L"),_xlfn.XLOOKUP(C23,Tabla42[ADEP],Tabla42[SID 12R],""),IF(OR(G23="30L",G23="30R"),_xlfn.XLOOKUP(C23,Tabla42[ADEP],Tabla42[SID 30L],""),""))</f>
        <v>UDGUV</v>
      </c>
      <c r="S23" s="3">
        <f t="shared" si="0"/>
        <v>6</v>
      </c>
      <c r="T23" s="3" t="str">
        <f>_xlfn.XLOOKUP(C23,Tabla42[ADEP],Tabla42[Sector],"")</f>
        <v>Sector 2</v>
      </c>
    </row>
    <row r="24" spans="1:20" x14ac:dyDescent="0.2">
      <c r="A24" s="13" t="s">
        <v>90</v>
      </c>
      <c r="B24" s="13" t="s">
        <v>18</v>
      </c>
      <c r="C24" s="13" t="s">
        <v>42</v>
      </c>
      <c r="D24" s="13" t="s">
        <v>53</v>
      </c>
      <c r="E24" s="13" t="s">
        <v>1023</v>
      </c>
      <c r="F24" s="14">
        <v>46298.443981481483</v>
      </c>
      <c r="G24" s="13" t="s">
        <v>694</v>
      </c>
      <c r="H24" s="13" t="s">
        <v>1565</v>
      </c>
      <c r="I24" s="15">
        <v>380</v>
      </c>
      <c r="J24" s="13" t="s">
        <v>22</v>
      </c>
      <c r="K24" s="13" t="s">
        <v>23</v>
      </c>
      <c r="L24" s="15">
        <v>879</v>
      </c>
      <c r="M24" s="13" t="s">
        <v>45</v>
      </c>
      <c r="N24" s="14">
        <v>46298.48814814815</v>
      </c>
      <c r="O24" s="15">
        <v>380</v>
      </c>
      <c r="P24" s="13" t="s">
        <v>25</v>
      </c>
      <c r="Q24" s="15">
        <v>190</v>
      </c>
      <c r="R24" s="3" t="str">
        <f>IF(OR(G24="12R",G24="12L"),_xlfn.XLOOKUP(C24,Tabla42[ADEP],Tabla42[SID 12R],""),IF(OR(G24="30L",G24="30R"),_xlfn.XLOOKUP(C24,Tabla42[ADEP],Tabla42[SID 30L],""),""))</f>
        <v>UDGUV</v>
      </c>
      <c r="S24" s="3">
        <f t="shared" si="0"/>
        <v>10</v>
      </c>
      <c r="T24" s="3" t="str">
        <f>_xlfn.XLOOKUP(C24,Tabla42[ADEP],Tabla42[Sector],"")</f>
        <v>Sector 2</v>
      </c>
    </row>
    <row r="25" spans="1:20" x14ac:dyDescent="0.2">
      <c r="A25" s="13" t="s">
        <v>98</v>
      </c>
      <c r="B25" s="13" t="s">
        <v>18</v>
      </c>
      <c r="C25" s="13" t="s">
        <v>42</v>
      </c>
      <c r="D25" s="13" t="s">
        <v>43</v>
      </c>
      <c r="E25" s="13" t="s">
        <v>527</v>
      </c>
      <c r="F25" s="14">
        <v>46298.470092592594</v>
      </c>
      <c r="G25" s="13" t="s">
        <v>694</v>
      </c>
      <c r="H25" s="13" t="s">
        <v>1566</v>
      </c>
      <c r="I25" s="15">
        <v>360</v>
      </c>
      <c r="J25" s="13" t="s">
        <v>22</v>
      </c>
      <c r="K25" s="13" t="s">
        <v>23</v>
      </c>
      <c r="L25" s="15">
        <v>846</v>
      </c>
      <c r="M25" s="13" t="s">
        <v>45</v>
      </c>
      <c r="N25" s="14">
        <v>46298.513912037037</v>
      </c>
      <c r="O25" s="15">
        <v>360</v>
      </c>
      <c r="P25" s="13" t="s">
        <v>25</v>
      </c>
      <c r="Q25" s="15">
        <v>190</v>
      </c>
      <c r="R25" s="3" t="str">
        <f>IF(OR(G25="12R",G25="12L"),_xlfn.XLOOKUP(C25,Tabla42[ADEP],Tabla42[SID 12R],""),IF(OR(G25="30L",G25="30R"),_xlfn.XLOOKUP(C25,Tabla42[ADEP],Tabla42[SID 30L],""),""))</f>
        <v>UDGUV</v>
      </c>
      <c r="S25" s="3">
        <f t="shared" si="0"/>
        <v>11</v>
      </c>
      <c r="T25" s="3" t="str">
        <f>_xlfn.XLOOKUP(C25,Tabla42[ADEP],Tabla42[Sector],"")</f>
        <v>Sector 2</v>
      </c>
    </row>
    <row r="26" spans="1:20" x14ac:dyDescent="0.2">
      <c r="A26" s="13" t="s">
        <v>92</v>
      </c>
      <c r="B26" s="13" t="s">
        <v>18</v>
      </c>
      <c r="C26" s="13" t="s">
        <v>93</v>
      </c>
      <c r="D26" s="13" t="s">
        <v>53</v>
      </c>
      <c r="E26" s="13" t="s">
        <v>393</v>
      </c>
      <c r="F26" s="14">
        <v>46298.47320601852</v>
      </c>
      <c r="G26" s="13" t="s">
        <v>694</v>
      </c>
      <c r="H26" s="13" t="s">
        <v>1567</v>
      </c>
      <c r="I26" s="15">
        <v>360</v>
      </c>
      <c r="J26" s="13" t="s">
        <v>22</v>
      </c>
      <c r="K26" s="13" t="s">
        <v>23</v>
      </c>
      <c r="L26" s="15">
        <v>905</v>
      </c>
      <c r="M26" s="13" t="s">
        <v>94</v>
      </c>
      <c r="N26" s="14">
        <v>46298.520775462966</v>
      </c>
      <c r="O26" s="15">
        <v>208</v>
      </c>
      <c r="P26" s="13" t="s">
        <v>25</v>
      </c>
      <c r="Q26" s="15">
        <v>190</v>
      </c>
      <c r="R26" s="3" t="str">
        <f>IF(OR(G26="12R",G26="12L"),_xlfn.XLOOKUP(C26,Tabla42[ADEP],Tabla42[SID 12R],""),IF(OR(G26="30L",G26="30R"),_xlfn.XLOOKUP(C26,Tabla42[ADEP],Tabla42[SID 30L],""),""))</f>
        <v>UDGUV</v>
      </c>
      <c r="S26" s="3">
        <f t="shared" si="0"/>
        <v>11</v>
      </c>
      <c r="T26" s="3" t="str">
        <f>_xlfn.XLOOKUP(C26,Tabla42[ADEP],Tabla42[Sector],"")</f>
        <v>Sector 2</v>
      </c>
    </row>
    <row r="27" spans="1:20" x14ac:dyDescent="0.2">
      <c r="A27" s="13" t="s">
        <v>95</v>
      </c>
      <c r="B27" s="13" t="s">
        <v>18</v>
      </c>
      <c r="C27" s="13" t="s">
        <v>96</v>
      </c>
      <c r="D27" s="13" t="s">
        <v>20</v>
      </c>
      <c r="E27" s="13" t="s">
        <v>169</v>
      </c>
      <c r="F27" s="14">
        <v>46298.478888888887</v>
      </c>
      <c r="G27" s="13" t="s">
        <v>694</v>
      </c>
      <c r="H27" s="13" t="s">
        <v>1568</v>
      </c>
      <c r="I27" s="15">
        <v>360</v>
      </c>
      <c r="J27" s="13" t="s">
        <v>22</v>
      </c>
      <c r="K27" s="13" t="s">
        <v>23</v>
      </c>
      <c r="L27" s="15">
        <v>875</v>
      </c>
      <c r="M27" s="13" t="s">
        <v>599</v>
      </c>
      <c r="N27" s="14">
        <v>46298.523912037039</v>
      </c>
      <c r="O27" s="15">
        <v>360</v>
      </c>
      <c r="P27" s="13" t="s">
        <v>25</v>
      </c>
      <c r="Q27" s="15">
        <v>190</v>
      </c>
      <c r="R27" s="3" t="str">
        <f>IF(OR(G27="12R",G27="12L"),_xlfn.XLOOKUP(C27,Tabla42[ADEP],Tabla42[SID 12R],""),IF(OR(G27="30L",G27="30R"),_xlfn.XLOOKUP(C27,Tabla42[ADEP],Tabla42[SID 30L],""),""))</f>
        <v>UDGUV</v>
      </c>
      <c r="S27" s="3">
        <f t="shared" si="0"/>
        <v>11</v>
      </c>
      <c r="T27" s="3" t="str">
        <f>_xlfn.XLOOKUP(C27,Tabla42[ADEP],Tabla42[Sector],"")</f>
        <v>Sector 2</v>
      </c>
    </row>
    <row r="28" spans="1:20" x14ac:dyDescent="0.2">
      <c r="A28" s="13" t="s">
        <v>100</v>
      </c>
      <c r="B28" s="13" t="s">
        <v>18</v>
      </c>
      <c r="C28" s="13" t="s">
        <v>42</v>
      </c>
      <c r="D28" s="13" t="s">
        <v>20</v>
      </c>
      <c r="E28" s="13" t="s">
        <v>484</v>
      </c>
      <c r="F28" s="14">
        <v>46298.480682870373</v>
      </c>
      <c r="G28" s="13" t="s">
        <v>694</v>
      </c>
      <c r="H28" s="13" t="s">
        <v>1569</v>
      </c>
      <c r="I28" s="15">
        <v>360</v>
      </c>
      <c r="J28" s="13" t="s">
        <v>22</v>
      </c>
      <c r="K28" s="13" t="s">
        <v>23</v>
      </c>
      <c r="L28" s="15">
        <v>868</v>
      </c>
      <c r="M28" s="13" t="s">
        <v>664</v>
      </c>
      <c r="N28" s="14">
        <v>46298.525300925925</v>
      </c>
      <c r="O28" s="15">
        <v>360</v>
      </c>
      <c r="P28" s="13" t="s">
        <v>25</v>
      </c>
      <c r="Q28" s="15">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3" t="s">
        <v>977</v>
      </c>
      <c r="B29" s="13" t="s">
        <v>18</v>
      </c>
      <c r="C29" s="13" t="s">
        <v>1199</v>
      </c>
      <c r="D29" s="13" t="s">
        <v>817</v>
      </c>
      <c r="E29" s="13"/>
      <c r="F29" s="14">
        <v>46298.482719907406</v>
      </c>
      <c r="G29" s="13" t="s">
        <v>694</v>
      </c>
      <c r="H29" s="13" t="s">
        <v>1570</v>
      </c>
      <c r="I29" s="15">
        <v>220</v>
      </c>
      <c r="J29" s="13" t="s">
        <v>697</v>
      </c>
      <c r="K29" s="13" t="s">
        <v>50</v>
      </c>
      <c r="L29" s="15">
        <v>863</v>
      </c>
      <c r="M29" s="13" t="s">
        <v>777</v>
      </c>
      <c r="N29" s="14">
        <v>46298.590277777781</v>
      </c>
      <c r="O29" s="15">
        <v>220</v>
      </c>
      <c r="P29" s="13" t="s">
        <v>129</v>
      </c>
      <c r="Q29" s="15">
        <v>40</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13" t="s">
        <v>105</v>
      </c>
      <c r="B30" s="13" t="s">
        <v>18</v>
      </c>
      <c r="C30" s="13" t="s">
        <v>32</v>
      </c>
      <c r="D30" s="13" t="s">
        <v>20</v>
      </c>
      <c r="E30" s="13" t="s">
        <v>57</v>
      </c>
      <c r="F30" s="14">
        <v>46298.493958333333</v>
      </c>
      <c r="G30" s="13" t="s">
        <v>694</v>
      </c>
      <c r="H30" s="13" t="s">
        <v>1571</v>
      </c>
      <c r="I30" s="15">
        <v>340</v>
      </c>
      <c r="J30" s="13" t="s">
        <v>22</v>
      </c>
      <c r="K30" s="13" t="s">
        <v>23</v>
      </c>
      <c r="L30" s="15">
        <v>855</v>
      </c>
      <c r="M30" s="13" t="s">
        <v>1572</v>
      </c>
      <c r="N30" s="14">
        <v>46298.537303240737</v>
      </c>
      <c r="O30" s="15">
        <v>340</v>
      </c>
      <c r="P30" s="13" t="s">
        <v>25</v>
      </c>
      <c r="Q30" s="15">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3" t="s">
        <v>101</v>
      </c>
      <c r="B31" s="13" t="s">
        <v>18</v>
      </c>
      <c r="C31" s="13" t="s">
        <v>102</v>
      </c>
      <c r="D31" s="13" t="s">
        <v>53</v>
      </c>
      <c r="E31" s="13" t="s">
        <v>106</v>
      </c>
      <c r="F31" s="14">
        <v>46298.497233796297</v>
      </c>
      <c r="G31" s="13" t="s">
        <v>694</v>
      </c>
      <c r="H31" s="13" t="s">
        <v>1573</v>
      </c>
      <c r="I31" s="15">
        <v>290</v>
      </c>
      <c r="J31" s="13" t="s">
        <v>22</v>
      </c>
      <c r="K31" s="13" t="s">
        <v>23</v>
      </c>
      <c r="L31" s="15">
        <v>140</v>
      </c>
      <c r="M31" s="13" t="s">
        <v>39</v>
      </c>
      <c r="N31" s="14">
        <v>46298.506898148145</v>
      </c>
      <c r="O31" s="15">
        <v>275</v>
      </c>
      <c r="P31" s="13" t="s">
        <v>25</v>
      </c>
      <c r="Q31" s="15">
        <v>190</v>
      </c>
      <c r="R31" s="3" t="str">
        <f>IF(OR(G31="12R",G31="12L"),_xlfn.XLOOKUP(C31,Tabla42[ADEP],Tabla42[SID 12R],""),IF(OR(G31="30L",G31="30R"),_xlfn.XLOOKUP(C31,Tabla42[ADEP],Tabla42[SID 30L],""),""))</f>
        <v>NUDAL</v>
      </c>
      <c r="S31" s="3">
        <f t="shared" si="0"/>
        <v>11</v>
      </c>
      <c r="T31" s="3" t="str">
        <f>_xlfn.XLOOKUP(C31,Tabla42[ADEP],Tabla42[Sector],"")</f>
        <v>Sector 3</v>
      </c>
    </row>
    <row r="32" spans="1:20" x14ac:dyDescent="0.2">
      <c r="A32" s="13" t="s">
        <v>108</v>
      </c>
      <c r="B32" s="13" t="s">
        <v>18</v>
      </c>
      <c r="C32" s="13" t="s">
        <v>109</v>
      </c>
      <c r="D32" s="13" t="s">
        <v>122</v>
      </c>
      <c r="E32" s="13" t="s">
        <v>778</v>
      </c>
      <c r="F32" s="14">
        <v>46298.508217592593</v>
      </c>
      <c r="G32" s="13" t="s">
        <v>694</v>
      </c>
      <c r="H32" s="13" t="s">
        <v>1574</v>
      </c>
      <c r="I32" s="15">
        <v>370</v>
      </c>
      <c r="J32" s="13" t="s">
        <v>22</v>
      </c>
      <c r="K32" s="13" t="s">
        <v>23</v>
      </c>
      <c r="L32" s="15">
        <v>181</v>
      </c>
      <c r="M32" s="13" t="s">
        <v>753</v>
      </c>
      <c r="N32" s="14">
        <v>46298.519745370373</v>
      </c>
      <c r="O32" s="15">
        <v>325</v>
      </c>
      <c r="P32" s="13" t="s">
        <v>25</v>
      </c>
      <c r="Q32" s="15">
        <v>190</v>
      </c>
      <c r="R32" s="3" t="str">
        <f>IF(OR(G32="12R",G32="12L"),_xlfn.XLOOKUP(C32,Tabla42[ADEP],Tabla42[SID 12R],""),IF(OR(G32="30L",G32="30R"),_xlfn.XLOOKUP(C32,Tabla42[ADEP],Tabla42[SID 30L],""),""))</f>
        <v>CZM</v>
      </c>
      <c r="S32" s="3">
        <f t="shared" si="0"/>
        <v>12</v>
      </c>
      <c r="T32" s="3" t="str">
        <f>_xlfn.XLOOKUP(C32,Tabla42[ADEP],Tabla42[Sector],"")</f>
        <v>Sector 7</v>
      </c>
    </row>
    <row r="33" spans="1:20" x14ac:dyDescent="0.2">
      <c r="A33" s="13" t="s">
        <v>107</v>
      </c>
      <c r="B33" s="13" t="s">
        <v>18</v>
      </c>
      <c r="C33" s="13" t="s">
        <v>42</v>
      </c>
      <c r="D33" s="13" t="s">
        <v>122</v>
      </c>
      <c r="E33" s="13" t="s">
        <v>950</v>
      </c>
      <c r="F33" s="14">
        <v>46298.512662037036</v>
      </c>
      <c r="G33" s="13" t="s">
        <v>694</v>
      </c>
      <c r="H33" s="13" t="s">
        <v>1575</v>
      </c>
      <c r="I33" s="15">
        <v>380</v>
      </c>
      <c r="J33" s="13" t="s">
        <v>22</v>
      </c>
      <c r="K33" s="13" t="s">
        <v>23</v>
      </c>
      <c r="L33" s="15">
        <v>849</v>
      </c>
      <c r="M33" s="13" t="s">
        <v>45</v>
      </c>
      <c r="N33" s="14">
        <v>46298.55678240741</v>
      </c>
      <c r="O33" s="15">
        <v>380</v>
      </c>
      <c r="P33" s="13" t="s">
        <v>25</v>
      </c>
      <c r="Q33" s="15">
        <v>190</v>
      </c>
      <c r="R33" s="3" t="str">
        <f>IF(OR(G33="12R",G33="12L"),_xlfn.XLOOKUP(C33,Tabla42[ADEP],Tabla42[SID 12R],""),IF(OR(G33="30L",G33="30R"),_xlfn.XLOOKUP(C33,Tabla42[ADEP],Tabla42[SID 30L],""),""))</f>
        <v>UDGUV</v>
      </c>
      <c r="S33" s="3">
        <f t="shared" si="0"/>
        <v>12</v>
      </c>
      <c r="T33" s="3" t="str">
        <f>_xlfn.XLOOKUP(C33,Tabla42[ADEP],Tabla42[Sector],"")</f>
        <v>Sector 2</v>
      </c>
    </row>
    <row r="34" spans="1:20" x14ac:dyDescent="0.2">
      <c r="A34" s="13" t="s">
        <v>1576</v>
      </c>
      <c r="B34" s="13" t="s">
        <v>18</v>
      </c>
      <c r="C34" s="13" t="s">
        <v>356</v>
      </c>
      <c r="D34" s="13" t="s">
        <v>783</v>
      </c>
      <c r="E34" s="13"/>
      <c r="F34" s="14">
        <v>46298.525405092594</v>
      </c>
      <c r="G34" s="13" t="s">
        <v>694</v>
      </c>
      <c r="H34" s="13" t="s">
        <v>1577</v>
      </c>
      <c r="I34" s="15">
        <v>370</v>
      </c>
      <c r="J34" s="13" t="s">
        <v>22</v>
      </c>
      <c r="K34" s="13" t="s">
        <v>50</v>
      </c>
      <c r="L34" s="15">
        <v>220</v>
      </c>
      <c r="M34" s="13" t="s">
        <v>355</v>
      </c>
      <c r="N34" s="14">
        <v>46298.539305555554</v>
      </c>
      <c r="O34" s="15">
        <v>343</v>
      </c>
      <c r="P34" s="13" t="s">
        <v>25</v>
      </c>
      <c r="Q34" s="15">
        <v>40</v>
      </c>
      <c r="R34" s="3" t="str">
        <f>IF(OR(G34="12R",G34="12L"),_xlfn.XLOOKUP(C34,Tabla42[ADEP],Tabla42[SID 12R],""),IF(OR(G34="30L",G34="30R"),_xlfn.XLOOKUP(C34,Tabla42[ADEP],Tabla42[SID 30L],""),""))</f>
        <v>NUDAL</v>
      </c>
      <c r="S34" s="3">
        <f t="shared" si="0"/>
        <v>12</v>
      </c>
      <c r="T34" s="3" t="str">
        <f>_xlfn.XLOOKUP(C34,Tabla42[ADEP],Tabla42[Sector],"")</f>
        <v>Sector 3</v>
      </c>
    </row>
    <row r="35" spans="1:20" x14ac:dyDescent="0.2">
      <c r="A35" s="13" t="s">
        <v>112</v>
      </c>
      <c r="B35" s="13" t="s">
        <v>18</v>
      </c>
      <c r="C35" s="13" t="s">
        <v>113</v>
      </c>
      <c r="D35" s="13" t="s">
        <v>53</v>
      </c>
      <c r="E35" s="13" t="s">
        <v>207</v>
      </c>
      <c r="F35" s="14">
        <v>46298.542604166665</v>
      </c>
      <c r="G35" s="13" t="s">
        <v>694</v>
      </c>
      <c r="H35" s="13" t="s">
        <v>1578</v>
      </c>
      <c r="I35" s="15">
        <v>380</v>
      </c>
      <c r="J35" s="13" t="s">
        <v>22</v>
      </c>
      <c r="K35" s="13" t="s">
        <v>23</v>
      </c>
      <c r="L35" s="15">
        <v>847</v>
      </c>
      <c r="M35" s="13" t="s">
        <v>35</v>
      </c>
      <c r="N35" s="14">
        <v>46298.584918981476</v>
      </c>
      <c r="O35" s="15">
        <v>380</v>
      </c>
      <c r="P35" s="13" t="s">
        <v>25</v>
      </c>
      <c r="Q35" s="15">
        <v>190</v>
      </c>
      <c r="R35" s="3" t="str">
        <f>IF(OR(G35="12R",G35="12L"),_xlfn.XLOOKUP(C35,Tabla42[ADEP],Tabla42[SID 12R],""),IF(OR(G35="30L",G35="30R"),_xlfn.XLOOKUP(C35,Tabla42[ADEP],Tabla42[SID 30L],""),""))</f>
        <v>UDGUV</v>
      </c>
      <c r="S35" s="3">
        <f t="shared" si="0"/>
        <v>13</v>
      </c>
      <c r="T35" s="3" t="str">
        <f>_xlfn.XLOOKUP(C35,Tabla42[ADEP],Tabla42[Sector],"")</f>
        <v>Sector 2</v>
      </c>
    </row>
    <row r="36" spans="1:20" x14ac:dyDescent="0.2">
      <c r="A36" s="13" t="s">
        <v>115</v>
      </c>
      <c r="B36" s="13" t="s">
        <v>18</v>
      </c>
      <c r="C36" s="13" t="s">
        <v>116</v>
      </c>
      <c r="D36" s="13" t="s">
        <v>117</v>
      </c>
      <c r="E36" s="13" t="s">
        <v>693</v>
      </c>
      <c r="F36" s="14">
        <v>46298.543981481482</v>
      </c>
      <c r="G36" s="13" t="s">
        <v>694</v>
      </c>
      <c r="H36" s="13" t="s">
        <v>1579</v>
      </c>
      <c r="I36" s="15">
        <v>340</v>
      </c>
      <c r="J36" s="13" t="s">
        <v>22</v>
      </c>
      <c r="K36" s="13" t="s">
        <v>23</v>
      </c>
      <c r="L36" s="15">
        <v>544</v>
      </c>
      <c r="M36" s="13" t="s">
        <v>123</v>
      </c>
      <c r="N36" s="14">
        <v>46298.572337962964</v>
      </c>
      <c r="O36" s="15">
        <v>360</v>
      </c>
      <c r="P36" s="13" t="s">
        <v>25</v>
      </c>
      <c r="Q36" s="15">
        <v>190</v>
      </c>
      <c r="R36" s="3" t="str">
        <f>IF(OR(G36="12R",G36="12L"),_xlfn.XLOOKUP(C36,Tabla42[ADEP],Tabla42[SID 12R],""),IF(OR(G36="30L",G36="30R"),_xlfn.XLOOKUP(C36,Tabla42[ADEP],Tabla42[SID 30L],""),""))</f>
        <v>NOSUG</v>
      </c>
      <c r="S36" s="3">
        <f t="shared" si="0"/>
        <v>13</v>
      </c>
      <c r="T36" s="3" t="str">
        <f>_xlfn.XLOOKUP(C36,Tabla42[ADEP],Tabla42[Sector],"")</f>
        <v>Sector 3</v>
      </c>
    </row>
    <row r="37" spans="1:20" x14ac:dyDescent="0.2">
      <c r="A37" s="13" t="s">
        <v>125</v>
      </c>
      <c r="B37" s="13" t="s">
        <v>18</v>
      </c>
      <c r="C37" s="13" t="s">
        <v>126</v>
      </c>
      <c r="D37" s="13" t="s">
        <v>122</v>
      </c>
      <c r="E37" s="13" t="s">
        <v>1580</v>
      </c>
      <c r="F37" s="14">
        <v>46298.547581018516</v>
      </c>
      <c r="G37" s="13" t="s">
        <v>694</v>
      </c>
      <c r="H37" s="13" t="s">
        <v>1581</v>
      </c>
      <c r="I37" s="15">
        <v>350</v>
      </c>
      <c r="J37" s="13" t="s">
        <v>22</v>
      </c>
      <c r="K37" s="13" t="s">
        <v>23</v>
      </c>
      <c r="L37" s="15">
        <v>154</v>
      </c>
      <c r="M37" s="13" t="s">
        <v>1060</v>
      </c>
      <c r="N37" s="14">
        <v>46298.557534722218</v>
      </c>
      <c r="O37" s="15">
        <v>265</v>
      </c>
      <c r="P37" s="13" t="s">
        <v>25</v>
      </c>
      <c r="Q37" s="15">
        <v>40</v>
      </c>
      <c r="R37" s="3" t="str">
        <f>IF(OR(G37="12R",G37="12L"),_xlfn.XLOOKUP(C37,Tabla42[ADEP],Tabla42[SID 12R],""),IF(OR(G37="30L",G37="30R"),_xlfn.XLOOKUP(C37,Tabla42[ADEP],Tabla42[SID 30L],""),""))</f>
        <v>NOSUG</v>
      </c>
      <c r="S37" s="3">
        <f t="shared" si="0"/>
        <v>13</v>
      </c>
      <c r="T37" s="3" t="str">
        <f>_xlfn.XLOOKUP(C37,Tabla42[ADEP],Tabla42[Sector],"")</f>
        <v>Sector 3</v>
      </c>
    </row>
    <row r="38" spans="1:20" x14ac:dyDescent="0.2">
      <c r="A38" s="13" t="s">
        <v>119</v>
      </c>
      <c r="B38" s="13" t="s">
        <v>18</v>
      </c>
      <c r="C38" s="13" t="s">
        <v>42</v>
      </c>
      <c r="D38" s="13" t="s">
        <v>43</v>
      </c>
      <c r="E38" s="13" t="s">
        <v>450</v>
      </c>
      <c r="F38" s="14">
        <v>46298.55023148148</v>
      </c>
      <c r="G38" s="13" t="s">
        <v>694</v>
      </c>
      <c r="H38" s="13" t="s">
        <v>1582</v>
      </c>
      <c r="I38" s="15">
        <v>360</v>
      </c>
      <c r="J38" s="13" t="s">
        <v>22</v>
      </c>
      <c r="K38" s="13" t="s">
        <v>23</v>
      </c>
      <c r="L38" s="15">
        <v>847</v>
      </c>
      <c r="M38" s="13" t="s">
        <v>45</v>
      </c>
      <c r="N38" s="14">
        <v>46298.593680555554</v>
      </c>
      <c r="O38" s="15">
        <v>360</v>
      </c>
      <c r="P38" s="13" t="s">
        <v>25</v>
      </c>
      <c r="Q38" s="15">
        <v>190</v>
      </c>
      <c r="R38" s="3" t="str">
        <f>IF(OR(G38="12R",G38="12L"),_xlfn.XLOOKUP(C38,Tabla42[ADEP],Tabla42[SID 12R],""),IF(OR(G38="30L",G38="30R"),_xlfn.XLOOKUP(C38,Tabla42[ADEP],Tabla42[SID 30L],""),""))</f>
        <v>UDGUV</v>
      </c>
      <c r="S38" s="3">
        <f t="shared" si="0"/>
        <v>13</v>
      </c>
      <c r="T38" s="3" t="str">
        <f>_xlfn.XLOOKUP(C38,Tabla42[ADEP],Tabla42[Sector],"")</f>
        <v>Sector 2</v>
      </c>
    </row>
    <row r="39" spans="1:20" x14ac:dyDescent="0.2">
      <c r="A39" s="13" t="s">
        <v>131</v>
      </c>
      <c r="B39" s="13" t="s">
        <v>18</v>
      </c>
      <c r="C39" s="13" t="s">
        <v>42</v>
      </c>
      <c r="D39" s="13" t="s">
        <v>43</v>
      </c>
      <c r="E39" s="13" t="s">
        <v>411</v>
      </c>
      <c r="F39" s="14">
        <v>46298.60261574074</v>
      </c>
      <c r="G39" s="13" t="s">
        <v>21</v>
      </c>
      <c r="H39" s="13" t="s">
        <v>1583</v>
      </c>
      <c r="I39" s="15">
        <v>360</v>
      </c>
      <c r="J39" s="13" t="s">
        <v>22</v>
      </c>
      <c r="K39" s="13" t="s">
        <v>23</v>
      </c>
      <c r="L39" s="15">
        <v>885</v>
      </c>
      <c r="M39" s="13" t="s">
        <v>45</v>
      </c>
      <c r="N39" s="14">
        <v>46298.648495370369</v>
      </c>
      <c r="O39" s="15">
        <v>360</v>
      </c>
      <c r="P39" s="13" t="s">
        <v>25</v>
      </c>
      <c r="Q39" s="15">
        <v>190</v>
      </c>
      <c r="R39" s="3" t="str">
        <f>IF(OR(G39="12R",G39="12L"),_xlfn.XLOOKUP(C39,Tabla42[ADEP],Tabla42[SID 12R],""),IF(OR(G39="30L",G39="30R"),_xlfn.XLOOKUP(C39,Tabla42[ADEP],Tabla42[SID 30L],""),""))</f>
        <v>UDGUV</v>
      </c>
      <c r="S39" s="3">
        <f t="shared" si="0"/>
        <v>14</v>
      </c>
      <c r="T39" s="3" t="str">
        <f>_xlfn.XLOOKUP(C39,Tabla42[ADEP],Tabla42[Sector],"")</f>
        <v>Sector 2</v>
      </c>
    </row>
    <row r="40" spans="1:20" x14ac:dyDescent="0.2">
      <c r="A40" s="13" t="s">
        <v>135</v>
      </c>
      <c r="B40" s="13" t="s">
        <v>18</v>
      </c>
      <c r="C40" s="13" t="s">
        <v>32</v>
      </c>
      <c r="D40" s="13" t="s">
        <v>33</v>
      </c>
      <c r="E40" s="13" t="s">
        <v>554</v>
      </c>
      <c r="F40" s="14">
        <v>46298.634155092594</v>
      </c>
      <c r="G40" s="13" t="s">
        <v>21</v>
      </c>
      <c r="H40" s="13" t="s">
        <v>34</v>
      </c>
      <c r="I40" s="15">
        <v>360</v>
      </c>
      <c r="J40" s="13" t="s">
        <v>22</v>
      </c>
      <c r="K40" s="13" t="s">
        <v>23</v>
      </c>
      <c r="L40" s="15">
        <v>878</v>
      </c>
      <c r="M40" s="13" t="s">
        <v>35</v>
      </c>
      <c r="N40" s="14">
        <v>46298.679155092592</v>
      </c>
      <c r="O40" s="15">
        <v>340</v>
      </c>
      <c r="P40" s="13" t="s">
        <v>25</v>
      </c>
      <c r="Q40" s="15">
        <v>190</v>
      </c>
      <c r="R40" s="3" t="str">
        <f>IF(OR(G40="12R",G40="12L"),_xlfn.XLOOKUP(C40,Tabla42[ADEP],Tabla42[SID 12R],""),IF(OR(G40="30L",G40="30R"),_xlfn.XLOOKUP(C40,Tabla42[ADEP],Tabla42[SID 30L],""),""))</f>
        <v>UDGUV</v>
      </c>
      <c r="S40" s="3">
        <f t="shared" si="0"/>
        <v>15</v>
      </c>
      <c r="T40" s="3" t="str">
        <f>_xlfn.XLOOKUP(C40,Tabla42[ADEP],Tabla42[Sector],"")</f>
        <v>Sector 2</v>
      </c>
    </row>
    <row r="41" spans="1:20" x14ac:dyDescent="0.2">
      <c r="A41" s="13" t="s">
        <v>1584</v>
      </c>
      <c r="B41" s="13" t="s">
        <v>18</v>
      </c>
      <c r="C41" s="13" t="s">
        <v>436</v>
      </c>
      <c r="D41" s="13" t="s">
        <v>124</v>
      </c>
      <c r="E41" s="13"/>
      <c r="F41" s="14">
        <v>46298.63653935185</v>
      </c>
      <c r="G41" s="13" t="s">
        <v>21</v>
      </c>
      <c r="H41" s="13" t="s">
        <v>1585</v>
      </c>
      <c r="I41" s="15">
        <v>280</v>
      </c>
      <c r="J41" s="13" t="s">
        <v>22</v>
      </c>
      <c r="K41" s="13" t="s">
        <v>50</v>
      </c>
      <c r="L41" s="15">
        <v>873</v>
      </c>
      <c r="M41" s="13" t="s">
        <v>35</v>
      </c>
      <c r="N41" s="14">
        <v>46298.686342592591</v>
      </c>
      <c r="O41" s="15">
        <v>280</v>
      </c>
      <c r="P41" s="13" t="s">
        <v>25</v>
      </c>
      <c r="Q41" s="15">
        <v>30</v>
      </c>
      <c r="R41" s="3" t="str">
        <f>IF(OR(G41="12R",G41="12L"),_xlfn.XLOOKUP(C41,Tabla42[ADEP],Tabla42[SID 12R],""),IF(OR(G41="30L",G41="30R"),_xlfn.XLOOKUP(C41,Tabla42[ADEP],Tabla42[SID 30L],""),""))</f>
        <v>UDGUV</v>
      </c>
      <c r="S41" s="3">
        <f t="shared" si="0"/>
        <v>15</v>
      </c>
      <c r="T41" s="3" t="str">
        <f>_xlfn.XLOOKUP(C41,Tabla42[ADEP],Tabla42[Sector],"")</f>
        <v>Sector 2</v>
      </c>
    </row>
    <row r="42" spans="1:20" x14ac:dyDescent="0.2">
      <c r="A42" s="13" t="s">
        <v>142</v>
      </c>
      <c r="B42" s="13" t="s">
        <v>18</v>
      </c>
      <c r="C42" s="13" t="s">
        <v>42</v>
      </c>
      <c r="D42" s="13" t="s">
        <v>20</v>
      </c>
      <c r="E42" s="13" t="s">
        <v>562</v>
      </c>
      <c r="F42" s="14">
        <v>46298.649201388893</v>
      </c>
      <c r="G42" s="13" t="s">
        <v>21</v>
      </c>
      <c r="H42" s="13" t="s">
        <v>1586</v>
      </c>
      <c r="I42" s="15">
        <v>360</v>
      </c>
      <c r="J42" s="13" t="s">
        <v>22</v>
      </c>
      <c r="K42" s="13" t="s">
        <v>23</v>
      </c>
      <c r="L42" s="15">
        <v>864</v>
      </c>
      <c r="M42" s="13" t="s">
        <v>45</v>
      </c>
      <c r="N42" s="14">
        <v>46298.693356481483</v>
      </c>
      <c r="O42" s="15">
        <v>360</v>
      </c>
      <c r="P42" s="13" t="s">
        <v>25</v>
      </c>
      <c r="Q42" s="15">
        <v>190</v>
      </c>
      <c r="R42" s="3" t="str">
        <f>IF(OR(G42="12R",G42="12L"),_xlfn.XLOOKUP(C42,Tabla42[ADEP],Tabla42[SID 12R],""),IF(OR(G42="30L",G42="30R"),_xlfn.XLOOKUP(C42,Tabla42[ADEP],Tabla42[SID 30L],""),""))</f>
        <v>UDGUV</v>
      </c>
      <c r="S42" s="3">
        <f t="shared" si="0"/>
        <v>15</v>
      </c>
      <c r="T42" s="3" t="str">
        <f>_xlfn.XLOOKUP(C42,Tabla42[ADEP],Tabla42[Sector],"")</f>
        <v>Sector 2</v>
      </c>
    </row>
    <row r="43" spans="1:20" x14ac:dyDescent="0.2">
      <c r="A43" s="13" t="s">
        <v>146</v>
      </c>
      <c r="B43" s="13" t="s">
        <v>18</v>
      </c>
      <c r="C43" s="13" t="s">
        <v>96</v>
      </c>
      <c r="D43" s="13" t="s">
        <v>33</v>
      </c>
      <c r="E43" s="13" t="s">
        <v>573</v>
      </c>
      <c r="F43" s="14">
        <v>46298.652083333334</v>
      </c>
      <c r="G43" s="13" t="s">
        <v>21</v>
      </c>
      <c r="H43" s="13" t="s">
        <v>1587</v>
      </c>
      <c r="I43" s="15">
        <v>380</v>
      </c>
      <c r="J43" s="13" t="s">
        <v>22</v>
      </c>
      <c r="K43" s="13" t="s">
        <v>23</v>
      </c>
      <c r="L43" s="15">
        <v>867</v>
      </c>
      <c r="M43" s="13" t="s">
        <v>45</v>
      </c>
      <c r="N43" s="14">
        <v>46298.696481481486</v>
      </c>
      <c r="O43" s="15">
        <v>380</v>
      </c>
      <c r="P43" s="13" t="s">
        <v>25</v>
      </c>
      <c r="Q43" s="15">
        <v>190</v>
      </c>
      <c r="R43" s="3" t="str">
        <f>IF(OR(G43="12R",G43="12L"),_xlfn.XLOOKUP(C43,Tabla42[ADEP],Tabla42[SID 12R],""),IF(OR(G43="30L",G43="30R"),_xlfn.XLOOKUP(C43,Tabla42[ADEP],Tabla42[SID 30L],""),""))</f>
        <v>UDGUV</v>
      </c>
      <c r="S43" s="3">
        <f t="shared" si="0"/>
        <v>15</v>
      </c>
      <c r="T43" s="3" t="str">
        <f>_xlfn.XLOOKUP(C43,Tabla42[ADEP],Tabla42[Sector],"")</f>
        <v>Sector 2</v>
      </c>
    </row>
    <row r="44" spans="1:20" x14ac:dyDescent="0.2">
      <c r="A44" s="13" t="s">
        <v>139</v>
      </c>
      <c r="B44" s="13" t="s">
        <v>18</v>
      </c>
      <c r="C44" s="13" t="s">
        <v>49</v>
      </c>
      <c r="D44" s="13" t="s">
        <v>33</v>
      </c>
      <c r="E44" s="13" t="s">
        <v>472</v>
      </c>
      <c r="F44" s="14">
        <v>46298.653807870374</v>
      </c>
      <c r="G44" s="13" t="s">
        <v>21</v>
      </c>
      <c r="H44" s="13" t="s">
        <v>1588</v>
      </c>
      <c r="I44" s="15">
        <v>360</v>
      </c>
      <c r="J44" s="13" t="s">
        <v>22</v>
      </c>
      <c r="K44" s="13" t="s">
        <v>141</v>
      </c>
      <c r="L44" s="15">
        <v>866</v>
      </c>
      <c r="M44" s="13" t="s">
        <v>45</v>
      </c>
      <c r="N44" s="14">
        <v>46298.697696759264</v>
      </c>
      <c r="O44" s="15">
        <v>360</v>
      </c>
      <c r="P44" s="13" t="s">
        <v>25</v>
      </c>
      <c r="Q44" s="15">
        <v>190</v>
      </c>
      <c r="R44" s="3" t="str">
        <f>IF(OR(G44="12R",G44="12L"),_xlfn.XLOOKUP(C44,Tabla42[ADEP],Tabla42[SID 12R],""),IF(OR(G44="30L",G44="30R"),_xlfn.XLOOKUP(C44,Tabla42[ADEP],Tabla42[SID 30L],""),""))</f>
        <v>UDGUV</v>
      </c>
      <c r="S44" s="3">
        <f t="shared" si="0"/>
        <v>15</v>
      </c>
      <c r="T44" s="3" t="str">
        <f>_xlfn.XLOOKUP(C44,Tabla42[ADEP],Tabla42[Sector],"")</f>
        <v>Sector 2</v>
      </c>
    </row>
    <row r="45" spans="1:20" x14ac:dyDescent="0.2">
      <c r="A45" s="13" t="s">
        <v>145</v>
      </c>
      <c r="B45" s="13" t="s">
        <v>18</v>
      </c>
      <c r="C45" s="13" t="s">
        <v>19</v>
      </c>
      <c r="D45" s="13" t="s">
        <v>33</v>
      </c>
      <c r="E45" s="13" t="s">
        <v>558</v>
      </c>
      <c r="F45" s="14">
        <v>46298.657361111109</v>
      </c>
      <c r="G45" s="13" t="s">
        <v>21</v>
      </c>
      <c r="H45" s="13" t="s">
        <v>1589</v>
      </c>
      <c r="I45" s="15">
        <v>360</v>
      </c>
      <c r="J45" s="13" t="s">
        <v>22</v>
      </c>
      <c r="K45" s="13" t="s">
        <v>23</v>
      </c>
      <c r="L45" s="15">
        <v>869</v>
      </c>
      <c r="M45" s="13" t="s">
        <v>24</v>
      </c>
      <c r="N45" s="14">
        <v>46298.701956018514</v>
      </c>
      <c r="O45" s="15">
        <v>360</v>
      </c>
      <c r="P45" s="13" t="s">
        <v>25</v>
      </c>
      <c r="Q45" s="15">
        <v>190</v>
      </c>
      <c r="R45" s="3" t="str">
        <f>IF(OR(G45="12R",G45="12L"),_xlfn.XLOOKUP(C45,Tabla42[ADEP],Tabla42[SID 12R],""),IF(OR(G45="30L",G45="30R"),_xlfn.XLOOKUP(C45,Tabla42[ADEP],Tabla42[SID 30L],""),""))</f>
        <v>UDGUV</v>
      </c>
      <c r="S45" s="3">
        <f t="shared" si="0"/>
        <v>15</v>
      </c>
      <c r="T45" s="3" t="str">
        <f>_xlfn.XLOOKUP(C45,Tabla42[ADEP],Tabla42[Sector],"")</f>
        <v>Sector 2</v>
      </c>
    </row>
    <row r="46" spans="1:20" x14ac:dyDescent="0.2">
      <c r="A46" s="13" t="s">
        <v>151</v>
      </c>
      <c r="B46" s="13" t="s">
        <v>18</v>
      </c>
      <c r="C46" s="13" t="s">
        <v>96</v>
      </c>
      <c r="D46" s="13" t="s">
        <v>122</v>
      </c>
      <c r="E46" s="13" t="s">
        <v>361</v>
      </c>
      <c r="F46" s="14">
        <v>46298.659004629633</v>
      </c>
      <c r="G46" s="13" t="s">
        <v>21</v>
      </c>
      <c r="H46" s="13" t="s">
        <v>1590</v>
      </c>
      <c r="I46" s="15">
        <v>360</v>
      </c>
      <c r="J46" s="13" t="s">
        <v>22</v>
      </c>
      <c r="K46" s="13" t="s">
        <v>23</v>
      </c>
      <c r="L46" s="15">
        <v>872</v>
      </c>
      <c r="M46" s="13" t="s">
        <v>45</v>
      </c>
      <c r="N46" s="14">
        <v>46298.704456018517</v>
      </c>
      <c r="O46" s="15">
        <v>360</v>
      </c>
      <c r="P46" s="13" t="s">
        <v>25</v>
      </c>
      <c r="Q46" s="15">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3" t="s">
        <v>443</v>
      </c>
      <c r="B47" s="13" t="s">
        <v>18</v>
      </c>
      <c r="C47" s="13" t="s">
        <v>444</v>
      </c>
      <c r="D47" s="13" t="s">
        <v>28</v>
      </c>
      <c r="E47" s="13" t="s">
        <v>983</v>
      </c>
      <c r="F47" s="14">
        <v>46298.660138888888</v>
      </c>
      <c r="G47" s="13" t="s">
        <v>21</v>
      </c>
      <c r="H47" s="13" t="s">
        <v>1591</v>
      </c>
      <c r="I47" s="15">
        <v>380</v>
      </c>
      <c r="J47" s="13" t="s">
        <v>22</v>
      </c>
      <c r="K47" s="13" t="s">
        <v>23</v>
      </c>
      <c r="L47" s="15">
        <v>442</v>
      </c>
      <c r="M47" s="13" t="s">
        <v>189</v>
      </c>
      <c r="N47" s="14">
        <v>46298.683287037042</v>
      </c>
      <c r="O47" s="15">
        <v>380</v>
      </c>
      <c r="P47" s="13" t="s">
        <v>25</v>
      </c>
      <c r="Q47" s="15">
        <v>40</v>
      </c>
      <c r="R47" s="3" t="str">
        <f>IF(OR(G47="12R",G47="12L"),_xlfn.XLOOKUP(C47,Tabla42[ADEP],Tabla42[SID 12R],""),IF(OR(G47="30L",G47="30R"),_xlfn.XLOOKUP(C47,Tabla42[ADEP],Tabla42[SID 30L],""),""))</f>
        <v>ENEBA</v>
      </c>
      <c r="S47" s="3">
        <f t="shared" si="0"/>
        <v>15</v>
      </c>
      <c r="T47" s="3" t="str">
        <f>_xlfn.XLOOKUP(C47,Tabla42[ADEP],Tabla42[Sector],"")</f>
        <v>Sector 3</v>
      </c>
    </row>
    <row r="48" spans="1:20" x14ac:dyDescent="0.2">
      <c r="A48" s="13" t="s">
        <v>143</v>
      </c>
      <c r="B48" s="13" t="s">
        <v>18</v>
      </c>
      <c r="C48" s="13" t="s">
        <v>32</v>
      </c>
      <c r="D48" s="13" t="s">
        <v>53</v>
      </c>
      <c r="E48" s="13" t="s">
        <v>575</v>
      </c>
      <c r="F48" s="14">
        <v>46298.66133101852</v>
      </c>
      <c r="G48" s="13" t="s">
        <v>21</v>
      </c>
      <c r="H48" s="13" t="s">
        <v>1592</v>
      </c>
      <c r="I48" s="15">
        <v>360</v>
      </c>
      <c r="J48" s="13" t="s">
        <v>22</v>
      </c>
      <c r="K48" s="13" t="s">
        <v>23</v>
      </c>
      <c r="L48" s="15">
        <v>901</v>
      </c>
      <c r="M48" s="13" t="s">
        <v>35</v>
      </c>
      <c r="N48" s="14">
        <v>46298.706180555557</v>
      </c>
      <c r="O48" s="15">
        <v>360</v>
      </c>
      <c r="P48" s="13" t="s">
        <v>25</v>
      </c>
      <c r="Q48" s="15">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3" t="s">
        <v>370</v>
      </c>
      <c r="B49" s="13" t="s">
        <v>18</v>
      </c>
      <c r="C49" s="13" t="s">
        <v>798</v>
      </c>
      <c r="D49" s="13" t="s">
        <v>372</v>
      </c>
      <c r="E49" s="13"/>
      <c r="F49" s="14">
        <v>46298.663854166662</v>
      </c>
      <c r="G49" s="13" t="s">
        <v>21</v>
      </c>
      <c r="H49" s="13" t="s">
        <v>155</v>
      </c>
      <c r="I49" s="15">
        <v>65</v>
      </c>
      <c r="J49" s="13" t="s">
        <v>130</v>
      </c>
      <c r="K49" s="13" t="s">
        <v>50</v>
      </c>
      <c r="L49" s="15">
        <v>168</v>
      </c>
      <c r="M49" s="13" t="s">
        <v>798</v>
      </c>
      <c r="N49" s="14">
        <v>46298.691666666666</v>
      </c>
      <c r="O49" s="15">
        <v>0</v>
      </c>
      <c r="P49" s="13" t="s">
        <v>129</v>
      </c>
      <c r="Q49" s="15">
        <v>927</v>
      </c>
      <c r="R49" s="3" t="str">
        <f>IF(OR(G49="12R",G49="12L"),_xlfn.XLOOKUP(C49,Tabla42[ADEP],Tabla42[SID 12R],""),IF(OR(G49="30L",G49="30R"),_xlfn.XLOOKUP(C49,Tabla42[ADEP],Tabla42[SID 30L],""),""))</f>
        <v/>
      </c>
      <c r="S49" s="3">
        <f t="shared" si="0"/>
        <v>15</v>
      </c>
      <c r="T49" s="3" t="str">
        <f>_xlfn.XLOOKUP(C49,Tabla42[ADEP],Tabla42[Sector],"")</f>
        <v/>
      </c>
    </row>
    <row r="50" spans="1:20" x14ac:dyDescent="0.2">
      <c r="A50" s="13" t="s">
        <v>654</v>
      </c>
      <c r="B50" s="13" t="s">
        <v>18</v>
      </c>
      <c r="C50" s="13" t="s">
        <v>49</v>
      </c>
      <c r="D50" s="13" t="s">
        <v>655</v>
      </c>
      <c r="E50" s="13" t="s">
        <v>654</v>
      </c>
      <c r="F50" s="14">
        <v>46298.66684027778</v>
      </c>
      <c r="G50" s="13" t="s">
        <v>21</v>
      </c>
      <c r="H50" s="13" t="s">
        <v>1593</v>
      </c>
      <c r="I50" s="15">
        <v>400</v>
      </c>
      <c r="J50" s="13" t="s">
        <v>22</v>
      </c>
      <c r="K50" s="13" t="s">
        <v>50</v>
      </c>
      <c r="L50" s="15">
        <v>859</v>
      </c>
      <c r="M50" s="13" t="s">
        <v>45</v>
      </c>
      <c r="N50" s="14">
        <v>46298.709085648152</v>
      </c>
      <c r="O50" s="15">
        <v>400</v>
      </c>
      <c r="P50" s="13" t="s">
        <v>25</v>
      </c>
      <c r="Q50" s="15">
        <v>30</v>
      </c>
      <c r="R50" s="3" t="str">
        <f>IF(OR(G50="12R",G50="12L"),_xlfn.XLOOKUP(C50,Tabla42[ADEP],Tabla42[SID 12R],""),IF(OR(G50="30L",G50="30R"),_xlfn.XLOOKUP(C50,Tabla42[ADEP],Tabla42[SID 30L],""),""))</f>
        <v>UDGUV</v>
      </c>
      <c r="S50" s="3">
        <f t="shared" si="0"/>
        <v>16</v>
      </c>
      <c r="T50" s="3" t="str">
        <f>_xlfn.XLOOKUP(C50,Tabla42[ADEP],Tabla42[Sector],"")</f>
        <v>Sector 2</v>
      </c>
    </row>
    <row r="51" spans="1:20" x14ac:dyDescent="0.2">
      <c r="A51" s="13" t="s">
        <v>148</v>
      </c>
      <c r="B51" s="13" t="s">
        <v>18</v>
      </c>
      <c r="C51" s="13" t="s">
        <v>42</v>
      </c>
      <c r="D51" s="13" t="s">
        <v>60</v>
      </c>
      <c r="E51" s="13" t="s">
        <v>670</v>
      </c>
      <c r="F51" s="14">
        <v>46298.669432870374</v>
      </c>
      <c r="G51" s="13" t="s">
        <v>21</v>
      </c>
      <c r="H51" s="13" t="s">
        <v>1594</v>
      </c>
      <c r="I51" s="15">
        <v>360</v>
      </c>
      <c r="J51" s="13" t="s">
        <v>22</v>
      </c>
      <c r="K51" s="13" t="s">
        <v>23</v>
      </c>
      <c r="L51" s="15">
        <v>877</v>
      </c>
      <c r="M51" s="13" t="s">
        <v>45</v>
      </c>
      <c r="N51" s="14">
        <v>46298.714513888888</v>
      </c>
      <c r="O51" s="15">
        <v>360</v>
      </c>
      <c r="P51" s="13" t="s">
        <v>25</v>
      </c>
      <c r="Q51" s="15">
        <v>190</v>
      </c>
      <c r="R51" s="3" t="str">
        <f>IF(OR(G51="12R",G51="12L"),_xlfn.XLOOKUP(C51,Tabla42[ADEP],Tabla42[SID 12R],""),IF(OR(G51="30L",G51="30R"),_xlfn.XLOOKUP(C51,Tabla42[ADEP],Tabla42[SID 30L],""),""))</f>
        <v>UDGUV</v>
      </c>
      <c r="S51" s="3">
        <f t="shared" si="0"/>
        <v>16</v>
      </c>
      <c r="T51" s="3" t="str">
        <f>_xlfn.XLOOKUP(C51,Tabla42[ADEP],Tabla42[Sector],"")</f>
        <v>Sector 2</v>
      </c>
    </row>
    <row r="52" spans="1:20" x14ac:dyDescent="0.2">
      <c r="A52" s="13" t="s">
        <v>168</v>
      </c>
      <c r="B52" s="13" t="s">
        <v>18</v>
      </c>
      <c r="C52" s="13" t="s">
        <v>96</v>
      </c>
      <c r="D52" s="13" t="s">
        <v>53</v>
      </c>
      <c r="E52" s="13" t="s">
        <v>103</v>
      </c>
      <c r="F52" s="14">
        <v>46298.675439814819</v>
      </c>
      <c r="G52" s="13" t="s">
        <v>21</v>
      </c>
      <c r="H52" s="13" t="s">
        <v>1595</v>
      </c>
      <c r="I52" s="15">
        <v>380</v>
      </c>
      <c r="J52" s="13" t="s">
        <v>22</v>
      </c>
      <c r="K52" s="13" t="s">
        <v>23</v>
      </c>
      <c r="L52" s="15">
        <v>888</v>
      </c>
      <c r="M52" s="13" t="s">
        <v>45</v>
      </c>
      <c r="N52" s="14">
        <v>46298.720439814817</v>
      </c>
      <c r="O52" s="15">
        <v>380</v>
      </c>
      <c r="P52" s="13" t="s">
        <v>25</v>
      </c>
      <c r="Q52" s="15">
        <v>190</v>
      </c>
      <c r="R52" s="3" t="str">
        <f>IF(OR(G52="12R",G52="12L"),_xlfn.XLOOKUP(C52,Tabla42[ADEP],Tabla42[SID 12R],""),IF(OR(G52="30L",G52="30R"),_xlfn.XLOOKUP(C52,Tabla42[ADEP],Tabla42[SID 30L],""),""))</f>
        <v>UDGUV</v>
      </c>
      <c r="S52" s="3">
        <f t="shared" si="0"/>
        <v>16</v>
      </c>
      <c r="T52" s="3" t="str">
        <f>_xlfn.XLOOKUP(C52,Tabla42[ADEP],Tabla42[Sector],"")</f>
        <v>Sector 2</v>
      </c>
    </row>
    <row r="53" spans="1:20" x14ac:dyDescent="0.2">
      <c r="A53" s="13" t="s">
        <v>569</v>
      </c>
      <c r="B53" s="13" t="s">
        <v>18</v>
      </c>
      <c r="C53" s="13" t="s">
        <v>126</v>
      </c>
      <c r="D53" s="13" t="s">
        <v>117</v>
      </c>
      <c r="E53" s="13" t="s">
        <v>1596</v>
      </c>
      <c r="F53" s="14">
        <v>46298.676550925928</v>
      </c>
      <c r="G53" s="13" t="s">
        <v>21</v>
      </c>
      <c r="H53" s="13" t="s">
        <v>1597</v>
      </c>
      <c r="I53" s="15">
        <v>340</v>
      </c>
      <c r="J53" s="13" t="s">
        <v>22</v>
      </c>
      <c r="K53" s="13" t="s">
        <v>23</v>
      </c>
      <c r="L53" s="15">
        <v>433</v>
      </c>
      <c r="M53" s="13" t="s">
        <v>189</v>
      </c>
      <c r="N53" s="14">
        <v>46298.699525462958</v>
      </c>
      <c r="O53" s="15">
        <v>340</v>
      </c>
      <c r="P53" s="13" t="s">
        <v>25</v>
      </c>
      <c r="Q53" s="15">
        <v>40</v>
      </c>
      <c r="R53" s="3" t="str">
        <f>IF(OR(G53="12R",G53="12L"),_xlfn.XLOOKUP(C53,Tabla42[ADEP],Tabla42[SID 12R],""),IF(OR(G53="30L",G53="30R"),_xlfn.XLOOKUP(C53,Tabla42[ADEP],Tabla42[SID 30L],""),""))</f>
        <v>ENEBA</v>
      </c>
      <c r="S53" s="3">
        <f t="shared" si="0"/>
        <v>16</v>
      </c>
      <c r="T53" s="3" t="str">
        <f>_xlfn.XLOOKUP(C53,Tabla42[ADEP],Tabla42[Sector],"")</f>
        <v>Sector 3</v>
      </c>
    </row>
    <row r="54" spans="1:20" x14ac:dyDescent="0.2">
      <c r="A54" s="13" t="s">
        <v>161</v>
      </c>
      <c r="B54" s="13" t="s">
        <v>18</v>
      </c>
      <c r="C54" s="13" t="s">
        <v>27</v>
      </c>
      <c r="D54" s="13" t="s">
        <v>60</v>
      </c>
      <c r="E54" s="13" t="s">
        <v>803</v>
      </c>
      <c r="F54" s="14">
        <v>46298.680578703701</v>
      </c>
      <c r="G54" s="13" t="s">
        <v>21</v>
      </c>
      <c r="H54" s="13" t="s">
        <v>1598</v>
      </c>
      <c r="I54" s="15">
        <v>310</v>
      </c>
      <c r="J54" s="13" t="s">
        <v>22</v>
      </c>
      <c r="K54" s="13" t="s">
        <v>23</v>
      </c>
      <c r="L54" s="15">
        <v>136</v>
      </c>
      <c r="M54" s="13" t="s">
        <v>39</v>
      </c>
      <c r="N54" s="14">
        <v>46298.691458333335</v>
      </c>
      <c r="O54" s="15">
        <v>203</v>
      </c>
      <c r="P54" s="13" t="s">
        <v>25</v>
      </c>
      <c r="Q54" s="15">
        <v>190</v>
      </c>
      <c r="R54" s="3" t="str">
        <f>IF(OR(G54="12R",G54="12L"),_xlfn.XLOOKUP(C54,Tabla42[ADEP],Tabla42[SID 12R],""),IF(OR(G54="30L",G54="30R"),_xlfn.XLOOKUP(C54,Tabla42[ADEP],Tabla42[SID 30L],""),""))</f>
        <v>OMSUK</v>
      </c>
      <c r="S54" s="3">
        <f t="shared" si="0"/>
        <v>16</v>
      </c>
      <c r="T54" s="3" t="str">
        <f>_xlfn.XLOOKUP(C54,Tabla42[ADEP],Tabla42[Sector],"")</f>
        <v>Sector 3</v>
      </c>
    </row>
    <row r="55" spans="1:20" x14ac:dyDescent="0.2">
      <c r="A55" s="13" t="s">
        <v>156</v>
      </c>
      <c r="B55" s="13" t="s">
        <v>18</v>
      </c>
      <c r="C55" s="13" t="s">
        <v>109</v>
      </c>
      <c r="D55" s="13" t="s">
        <v>122</v>
      </c>
      <c r="E55" s="13" t="s">
        <v>826</v>
      </c>
      <c r="F55" s="14">
        <v>46298.683576388888</v>
      </c>
      <c r="G55" s="13" t="s">
        <v>21</v>
      </c>
      <c r="H55" s="13" t="s">
        <v>1599</v>
      </c>
      <c r="I55" s="15">
        <v>370</v>
      </c>
      <c r="J55" s="13" t="s">
        <v>22</v>
      </c>
      <c r="K55" s="13" t="s">
        <v>23</v>
      </c>
      <c r="L55" s="15">
        <v>150</v>
      </c>
      <c r="M55" s="13" t="s">
        <v>111</v>
      </c>
      <c r="N55" s="14">
        <v>46298.694120370375</v>
      </c>
      <c r="O55" s="15">
        <v>290</v>
      </c>
      <c r="P55" s="13" t="s">
        <v>25</v>
      </c>
      <c r="Q55" s="15">
        <v>190</v>
      </c>
      <c r="R55" s="3" t="str">
        <f>IF(OR(G55="12R",G55="12L"),_xlfn.XLOOKUP(C55,Tabla42[ADEP],Tabla42[SID 12R],""),IF(OR(G55="30L",G55="30R"),_xlfn.XLOOKUP(C55,Tabla42[ADEP],Tabla42[SID 30L],""),""))</f>
        <v>TAKUX</v>
      </c>
      <c r="S55" s="3">
        <f t="shared" si="0"/>
        <v>16</v>
      </c>
      <c r="T55" s="3" t="str">
        <f>_xlfn.XLOOKUP(C55,Tabla42[ADEP],Tabla42[Sector],"")</f>
        <v>Sector 7</v>
      </c>
    </row>
    <row r="56" spans="1:20" x14ac:dyDescent="0.2">
      <c r="A56" s="13" t="s">
        <v>152</v>
      </c>
      <c r="B56" s="13" t="s">
        <v>18</v>
      </c>
      <c r="C56" s="13" t="s">
        <v>153</v>
      </c>
      <c r="D56" s="13" t="s">
        <v>33</v>
      </c>
      <c r="E56" s="13" t="s">
        <v>147</v>
      </c>
      <c r="F56" s="14">
        <v>46298.684699074074</v>
      </c>
      <c r="G56" s="13" t="s">
        <v>21</v>
      </c>
      <c r="H56" s="13" t="s">
        <v>1600</v>
      </c>
      <c r="I56" s="15">
        <v>360</v>
      </c>
      <c r="J56" s="13" t="s">
        <v>22</v>
      </c>
      <c r="K56" s="13" t="s">
        <v>23</v>
      </c>
      <c r="L56" s="15">
        <v>875</v>
      </c>
      <c r="M56" s="13" t="s">
        <v>35</v>
      </c>
      <c r="N56" s="14">
        <v>46298.729004629626</v>
      </c>
      <c r="O56" s="15">
        <v>360</v>
      </c>
      <c r="P56" s="13" t="s">
        <v>25</v>
      </c>
      <c r="Q56" s="15">
        <v>190</v>
      </c>
      <c r="R56" s="3" t="str">
        <f>IF(OR(G56="12R",G56="12L"),_xlfn.XLOOKUP(C56,Tabla42[ADEP],Tabla42[SID 12R],""),IF(OR(G56="30L",G56="30R"),_xlfn.XLOOKUP(C56,Tabla42[ADEP],Tabla42[SID 30L],""),""))</f>
        <v>UDGUV</v>
      </c>
      <c r="S56" s="3">
        <f t="shared" si="0"/>
        <v>16</v>
      </c>
      <c r="T56" s="3" t="str">
        <f>_xlfn.XLOOKUP(C56,Tabla42[ADEP],Tabla42[Sector],"")</f>
        <v>Sector 2</v>
      </c>
    </row>
    <row r="57" spans="1:20" x14ac:dyDescent="0.2">
      <c r="A57" s="13" t="s">
        <v>159</v>
      </c>
      <c r="B57" s="13" t="s">
        <v>18</v>
      </c>
      <c r="C57" s="13" t="s">
        <v>160</v>
      </c>
      <c r="D57" s="13" t="s">
        <v>33</v>
      </c>
      <c r="E57" s="13" t="s">
        <v>275</v>
      </c>
      <c r="F57" s="14">
        <v>46298.685937499999</v>
      </c>
      <c r="G57" s="13" t="s">
        <v>21</v>
      </c>
      <c r="H57" s="13" t="s">
        <v>1601</v>
      </c>
      <c r="I57" s="15">
        <v>320</v>
      </c>
      <c r="J57" s="13" t="s">
        <v>22</v>
      </c>
      <c r="K57" s="13" t="s">
        <v>23</v>
      </c>
      <c r="L57" s="15">
        <v>343</v>
      </c>
      <c r="M57" s="13" t="s">
        <v>538</v>
      </c>
      <c r="N57" s="14">
        <v>46298.708692129629</v>
      </c>
      <c r="O57" s="15">
        <v>340</v>
      </c>
      <c r="P57" s="13" t="s">
        <v>25</v>
      </c>
      <c r="Q57" s="15">
        <v>190</v>
      </c>
      <c r="R57" s="3" t="str">
        <f>IF(OR(G57="12R",G57="12L"),_xlfn.XLOOKUP(C57,Tabla42[ADEP],Tabla42[SID 12R],""),IF(OR(G57="30L",G57="30R"),_xlfn.XLOOKUP(C57,Tabla42[ADEP],Tabla42[SID 30L],""),""))</f>
        <v>CZM</v>
      </c>
      <c r="S57" s="3">
        <f t="shared" si="0"/>
        <v>16</v>
      </c>
      <c r="T57" s="3" t="str">
        <f>_xlfn.XLOOKUP(C57,Tabla42[ADEP],Tabla42[Sector],"")</f>
        <v>Sector 7</v>
      </c>
    </row>
    <row r="58" spans="1:20" x14ac:dyDescent="0.2">
      <c r="A58" s="13" t="s">
        <v>150</v>
      </c>
      <c r="B58" s="13" t="s">
        <v>18</v>
      </c>
      <c r="C58" s="13" t="s">
        <v>32</v>
      </c>
      <c r="D58" s="13" t="s">
        <v>53</v>
      </c>
      <c r="E58" s="13" t="s">
        <v>463</v>
      </c>
      <c r="F58" s="14">
        <v>46298.687164351853</v>
      </c>
      <c r="G58" s="13" t="s">
        <v>21</v>
      </c>
      <c r="H58" s="13" t="s">
        <v>1602</v>
      </c>
      <c r="I58" s="15">
        <v>340</v>
      </c>
      <c r="J58" s="13" t="s">
        <v>22</v>
      </c>
      <c r="K58" s="13" t="s">
        <v>23</v>
      </c>
      <c r="L58" s="15">
        <v>883</v>
      </c>
      <c r="M58" s="13" t="s">
        <v>35</v>
      </c>
      <c r="N58" s="14">
        <v>46298.730787037042</v>
      </c>
      <c r="O58" s="15">
        <v>340</v>
      </c>
      <c r="P58" s="13" t="s">
        <v>25</v>
      </c>
      <c r="Q58" s="15">
        <v>190</v>
      </c>
      <c r="R58" s="3" t="str">
        <f>IF(OR(G58="12R",G58="12L"),_xlfn.XLOOKUP(C58,Tabla42[ADEP],Tabla42[SID 12R],""),IF(OR(G58="30L",G58="30R"),_xlfn.XLOOKUP(C58,Tabla42[ADEP],Tabla42[SID 30L],""),""))</f>
        <v>UDGUV</v>
      </c>
      <c r="S58" s="3">
        <f t="shared" si="0"/>
        <v>16</v>
      </c>
      <c r="T58" s="3" t="str">
        <f>_xlfn.XLOOKUP(C58,Tabla42[ADEP],Tabla42[Sector],"")</f>
        <v>Sector 2</v>
      </c>
    </row>
    <row r="59" spans="1:20" x14ac:dyDescent="0.2">
      <c r="A59" s="13" t="s">
        <v>430</v>
      </c>
      <c r="B59" s="13" t="s">
        <v>18</v>
      </c>
      <c r="C59" s="13" t="s">
        <v>265</v>
      </c>
      <c r="D59" s="13" t="s">
        <v>33</v>
      </c>
      <c r="E59" s="13" t="s">
        <v>310</v>
      </c>
      <c r="F59" s="14">
        <v>46298.688657407409</v>
      </c>
      <c r="G59" s="13" t="s">
        <v>21</v>
      </c>
      <c r="H59" s="13" t="s">
        <v>1603</v>
      </c>
      <c r="I59" s="15">
        <v>380</v>
      </c>
      <c r="J59" s="13" t="s">
        <v>22</v>
      </c>
      <c r="K59" s="13" t="s">
        <v>23</v>
      </c>
      <c r="L59" s="15">
        <v>870</v>
      </c>
      <c r="M59" s="13" t="s">
        <v>167</v>
      </c>
      <c r="N59" s="14">
        <v>46298.732881944445</v>
      </c>
      <c r="O59" s="15">
        <v>380</v>
      </c>
      <c r="P59" s="13" t="s">
        <v>25</v>
      </c>
      <c r="Q59" s="15">
        <v>190</v>
      </c>
      <c r="R59" s="3" t="str">
        <f>IF(OR(G59="12R",G59="12L"),_xlfn.XLOOKUP(C59,Tabla42[ADEP],Tabla42[SID 12R],""),IF(OR(G59="30L",G59="30R"),_xlfn.XLOOKUP(C59,Tabla42[ADEP],Tabla42[SID 30L],""),""))</f>
        <v>UDGUV</v>
      </c>
      <c r="S59" s="3">
        <f t="shared" si="0"/>
        <v>16</v>
      </c>
      <c r="T59" s="3" t="str">
        <f>_xlfn.XLOOKUP(C59,Tabla42[ADEP],Tabla42[Sector],"")</f>
        <v>Sector 2</v>
      </c>
    </row>
    <row r="60" spans="1:20" x14ac:dyDescent="0.2">
      <c r="A60" s="13" t="s">
        <v>830</v>
      </c>
      <c r="B60" s="13" t="s">
        <v>18</v>
      </c>
      <c r="C60" s="13" t="s">
        <v>49</v>
      </c>
      <c r="D60" s="13" t="s">
        <v>541</v>
      </c>
      <c r="E60" s="13"/>
      <c r="F60" s="14">
        <v>46298.690312499995</v>
      </c>
      <c r="G60" s="13" t="s">
        <v>21</v>
      </c>
      <c r="H60" s="13" t="s">
        <v>1604</v>
      </c>
      <c r="I60" s="15">
        <v>430</v>
      </c>
      <c r="J60" s="13" t="s">
        <v>22</v>
      </c>
      <c r="K60" s="13" t="s">
        <v>50</v>
      </c>
      <c r="L60" s="15">
        <v>859</v>
      </c>
      <c r="M60" s="13" t="s">
        <v>45</v>
      </c>
      <c r="N60" s="14">
        <v>46298.73841435185</v>
      </c>
      <c r="O60" s="15">
        <v>430</v>
      </c>
      <c r="P60" s="13" t="s">
        <v>25</v>
      </c>
      <c r="Q60" s="15">
        <v>30</v>
      </c>
      <c r="R60" s="3" t="str">
        <f>IF(OR(G60="12R",G60="12L"),_xlfn.XLOOKUP(C60,Tabla42[ADEP],Tabla42[SID 12R],""),IF(OR(G60="30L",G60="30R"),_xlfn.XLOOKUP(C60,Tabla42[ADEP],Tabla42[SID 30L],""),""))</f>
        <v>UDGUV</v>
      </c>
      <c r="S60" s="3">
        <f t="shared" si="0"/>
        <v>16</v>
      </c>
      <c r="T60" s="3" t="str">
        <f>_xlfn.XLOOKUP(C60,Tabla42[ADEP],Tabla42[Sector],"")</f>
        <v>Sector 2</v>
      </c>
    </row>
    <row r="61" spans="1:20" x14ac:dyDescent="0.2">
      <c r="A61" s="13" t="s">
        <v>163</v>
      </c>
      <c r="B61" s="13" t="s">
        <v>18</v>
      </c>
      <c r="C61" s="13" t="s">
        <v>164</v>
      </c>
      <c r="D61" s="13" t="s">
        <v>43</v>
      </c>
      <c r="E61" s="13" t="s">
        <v>1605</v>
      </c>
      <c r="F61" s="14">
        <v>46298.691412037035</v>
      </c>
      <c r="G61" s="13" t="s">
        <v>21</v>
      </c>
      <c r="H61" s="13" t="s">
        <v>1606</v>
      </c>
      <c r="I61" s="15">
        <v>310</v>
      </c>
      <c r="J61" s="13" t="s">
        <v>22</v>
      </c>
      <c r="K61" s="13" t="s">
        <v>23</v>
      </c>
      <c r="L61" s="15">
        <v>219</v>
      </c>
      <c r="M61" s="13" t="s">
        <v>355</v>
      </c>
      <c r="N61" s="14">
        <v>46298.704710648148</v>
      </c>
      <c r="O61" s="15">
        <v>261</v>
      </c>
      <c r="P61" s="13" t="s">
        <v>25</v>
      </c>
      <c r="Q61" s="15">
        <v>40</v>
      </c>
      <c r="R61" s="3" t="str">
        <f>IF(OR(G61="12R",G61="12L"),_xlfn.XLOOKUP(C61,Tabla42[ADEP],Tabla42[SID 12R],""),IF(OR(G61="30L",G61="30R"),_xlfn.XLOOKUP(C61,Tabla42[ADEP],Tabla42[SID 30L],""),""))</f>
        <v>OMSUK</v>
      </c>
      <c r="S61" s="3">
        <f t="shared" si="0"/>
        <v>16</v>
      </c>
      <c r="T61" s="3" t="str">
        <f>_xlfn.XLOOKUP(C61,Tabla42[ADEP],Tabla42[Sector],"")</f>
        <v>Sector 3</v>
      </c>
    </row>
    <row r="62" spans="1:20" x14ac:dyDescent="0.2">
      <c r="A62" s="13" t="s">
        <v>432</v>
      </c>
      <c r="B62" s="13" t="s">
        <v>18</v>
      </c>
      <c r="C62" s="13" t="s">
        <v>233</v>
      </c>
      <c r="D62" s="13" t="s">
        <v>122</v>
      </c>
      <c r="E62" s="13" t="s">
        <v>1607</v>
      </c>
      <c r="F62" s="14">
        <v>46298.692928240736</v>
      </c>
      <c r="G62" s="13" t="s">
        <v>21</v>
      </c>
      <c r="H62" s="13" t="s">
        <v>1608</v>
      </c>
      <c r="I62" s="15">
        <v>380</v>
      </c>
      <c r="J62" s="13" t="s">
        <v>22</v>
      </c>
      <c r="K62" s="13" t="s">
        <v>23</v>
      </c>
      <c r="L62" s="15">
        <v>410</v>
      </c>
      <c r="M62" s="13" t="s">
        <v>691</v>
      </c>
      <c r="N62" s="14">
        <v>46298.714270833334</v>
      </c>
      <c r="O62" s="15">
        <v>380</v>
      </c>
      <c r="P62" s="13" t="s">
        <v>25</v>
      </c>
      <c r="Q62" s="15">
        <v>40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13" t="s">
        <v>199</v>
      </c>
      <c r="B63" s="13" t="s">
        <v>18</v>
      </c>
      <c r="C63" s="13" t="s">
        <v>200</v>
      </c>
      <c r="D63" s="13" t="s">
        <v>28</v>
      </c>
      <c r="E63" s="13" t="s">
        <v>1260</v>
      </c>
      <c r="F63" s="14">
        <v>46298.69530092593</v>
      </c>
      <c r="G63" s="13" t="s">
        <v>21</v>
      </c>
      <c r="H63" s="13" t="s">
        <v>1609</v>
      </c>
      <c r="I63" s="15">
        <v>360</v>
      </c>
      <c r="J63" s="13" t="s">
        <v>22</v>
      </c>
      <c r="K63" s="13" t="s">
        <v>23</v>
      </c>
      <c r="L63" s="15">
        <v>446</v>
      </c>
      <c r="M63" s="13" t="s">
        <v>189</v>
      </c>
      <c r="N63" s="14">
        <v>46298.71947916667</v>
      </c>
      <c r="O63" s="15">
        <v>360</v>
      </c>
      <c r="P63" s="13" t="s">
        <v>25</v>
      </c>
      <c r="Q63" s="15">
        <v>40</v>
      </c>
      <c r="R63" s="3" t="str">
        <f>IF(OR(G63="12R",G63="12L"),_xlfn.XLOOKUP(C63,Tabla42[ADEP],Tabla42[SID 12R],""),IF(OR(G63="30L",G63="30R"),_xlfn.XLOOKUP(C63,Tabla42[ADEP],Tabla42[SID 30L],""),""))</f>
        <v>OMSUK</v>
      </c>
      <c r="S63" s="3">
        <f t="shared" si="0"/>
        <v>16</v>
      </c>
      <c r="T63" s="3" t="str">
        <f>_xlfn.XLOOKUP(C63,Tabla42[ADEP],Tabla42[Sector],"")</f>
        <v>Sector 3</v>
      </c>
    </row>
    <row r="64" spans="1:20" x14ac:dyDescent="0.2">
      <c r="A64" s="13" t="s">
        <v>523</v>
      </c>
      <c r="B64" s="13" t="s">
        <v>18</v>
      </c>
      <c r="C64" s="13" t="s">
        <v>109</v>
      </c>
      <c r="D64" s="13" t="s">
        <v>28</v>
      </c>
      <c r="E64" s="13" t="s">
        <v>785</v>
      </c>
      <c r="F64" s="14">
        <v>46298.696724537032</v>
      </c>
      <c r="G64" s="13" t="s">
        <v>21</v>
      </c>
      <c r="H64" s="13" t="s">
        <v>1610</v>
      </c>
      <c r="I64" s="15">
        <v>370</v>
      </c>
      <c r="J64" s="13" t="s">
        <v>22</v>
      </c>
      <c r="K64" s="13" t="s">
        <v>23</v>
      </c>
      <c r="L64" s="15">
        <v>150</v>
      </c>
      <c r="M64" s="13" t="s">
        <v>111</v>
      </c>
      <c r="N64" s="14">
        <v>46298.707523148143</v>
      </c>
      <c r="O64" s="15">
        <v>290</v>
      </c>
      <c r="P64" s="13" t="s">
        <v>25</v>
      </c>
      <c r="Q64" s="15">
        <v>190</v>
      </c>
      <c r="R64" s="3" t="str">
        <f>IF(OR(G64="12R",G64="12L"),_xlfn.XLOOKUP(C64,Tabla42[ADEP],Tabla42[SID 12R],""),IF(OR(G64="30L",G64="30R"),_xlfn.XLOOKUP(C64,Tabla42[ADEP],Tabla42[SID 30L],""),""))</f>
        <v>TAKUX</v>
      </c>
      <c r="S64" s="3">
        <f t="shared" si="0"/>
        <v>16</v>
      </c>
      <c r="T64" s="3" t="str">
        <f>_xlfn.XLOOKUP(C64,Tabla42[ADEP],Tabla42[Sector],"")</f>
        <v>Sector 7</v>
      </c>
    </row>
    <row r="65" spans="1:20" x14ac:dyDescent="0.2">
      <c r="A65" s="13" t="s">
        <v>181</v>
      </c>
      <c r="B65" s="13" t="s">
        <v>18</v>
      </c>
      <c r="C65" s="13" t="s">
        <v>42</v>
      </c>
      <c r="D65" s="13" t="s">
        <v>28</v>
      </c>
      <c r="E65" s="13" t="s">
        <v>1034</v>
      </c>
      <c r="F65" s="14">
        <v>46298.697766203702</v>
      </c>
      <c r="G65" s="13" t="s">
        <v>21</v>
      </c>
      <c r="H65" s="13" t="s">
        <v>1019</v>
      </c>
      <c r="I65" s="15">
        <v>380</v>
      </c>
      <c r="J65" s="13" t="s">
        <v>22</v>
      </c>
      <c r="K65" s="13" t="s">
        <v>23</v>
      </c>
      <c r="L65" s="15">
        <v>859</v>
      </c>
      <c r="M65" s="13" t="s">
        <v>45</v>
      </c>
      <c r="N65" s="14">
        <v>46298.742094907408</v>
      </c>
      <c r="O65" s="15">
        <v>380</v>
      </c>
      <c r="P65" s="13" t="s">
        <v>25</v>
      </c>
      <c r="Q65" s="15">
        <v>190</v>
      </c>
      <c r="R65" s="3" t="str">
        <f>IF(OR(G65="12R",G65="12L"),_xlfn.XLOOKUP(C65,Tabla42[ADEP],Tabla42[SID 12R],""),IF(OR(G65="30L",G65="30R"),_xlfn.XLOOKUP(C65,Tabla42[ADEP],Tabla42[SID 30L],""),""))</f>
        <v>UDGUV</v>
      </c>
      <c r="S65" s="3">
        <f t="shared" si="0"/>
        <v>16</v>
      </c>
      <c r="T65" s="3" t="str">
        <f>_xlfn.XLOOKUP(C65,Tabla42[ADEP],Tabla42[Sector],"")</f>
        <v>Sector 2</v>
      </c>
    </row>
    <row r="66" spans="1:20" x14ac:dyDescent="0.2">
      <c r="A66" s="13" t="s">
        <v>364</v>
      </c>
      <c r="B66" s="13" t="s">
        <v>18</v>
      </c>
      <c r="C66" s="13" t="s">
        <v>27</v>
      </c>
      <c r="D66" s="13" t="s">
        <v>28</v>
      </c>
      <c r="E66" s="13" t="s">
        <v>769</v>
      </c>
      <c r="F66" s="14">
        <v>46298.698946759258</v>
      </c>
      <c r="G66" s="13" t="s">
        <v>21</v>
      </c>
      <c r="H66" s="13" t="s">
        <v>1611</v>
      </c>
      <c r="I66" s="15">
        <v>330</v>
      </c>
      <c r="J66" s="13" t="s">
        <v>22</v>
      </c>
      <c r="K66" s="13" t="s">
        <v>23</v>
      </c>
      <c r="L66" s="15">
        <v>225</v>
      </c>
      <c r="M66" s="13" t="s">
        <v>355</v>
      </c>
      <c r="N66" s="14">
        <v>46298.712430555555</v>
      </c>
      <c r="O66" s="15">
        <v>260</v>
      </c>
      <c r="P66" s="13" t="s">
        <v>25</v>
      </c>
      <c r="Q66" s="15">
        <v>40</v>
      </c>
      <c r="R66" s="3" t="str">
        <f>IF(OR(G66="12R",G66="12L"),_xlfn.XLOOKUP(C66,Tabla42[ADEP],Tabla42[SID 12R],""),IF(OR(G66="30L",G66="30R"),_xlfn.XLOOKUP(C66,Tabla42[ADEP],Tabla42[SID 30L],""),""))</f>
        <v>OMSUK</v>
      </c>
      <c r="S66" s="3">
        <f t="shared" si="0"/>
        <v>16</v>
      </c>
      <c r="T66" s="3" t="str">
        <f>_xlfn.XLOOKUP(C66,Tabla42[ADEP],Tabla42[Sector],"")</f>
        <v>Sector 3</v>
      </c>
    </row>
    <row r="67" spans="1:20" x14ac:dyDescent="0.2">
      <c r="A67" s="13" t="s">
        <v>177</v>
      </c>
      <c r="B67" s="13" t="s">
        <v>18</v>
      </c>
      <c r="C67" s="13" t="s">
        <v>109</v>
      </c>
      <c r="D67" s="13" t="s">
        <v>122</v>
      </c>
      <c r="E67" s="13" t="s">
        <v>686</v>
      </c>
      <c r="F67" s="14">
        <v>46298.702164351853</v>
      </c>
      <c r="G67" s="13" t="s">
        <v>21</v>
      </c>
      <c r="H67" s="13" t="s">
        <v>1612</v>
      </c>
      <c r="I67" s="15">
        <v>350</v>
      </c>
      <c r="J67" s="13" t="s">
        <v>22</v>
      </c>
      <c r="K67" s="13" t="s">
        <v>23</v>
      </c>
      <c r="L67" s="15">
        <v>149</v>
      </c>
      <c r="M67" s="13" t="s">
        <v>111</v>
      </c>
      <c r="N67" s="14">
        <v>46298.712418981479</v>
      </c>
      <c r="O67" s="15">
        <v>282</v>
      </c>
      <c r="P67" s="13" t="s">
        <v>25</v>
      </c>
      <c r="Q67" s="15">
        <v>190</v>
      </c>
      <c r="R67" s="3" t="str">
        <f>IF(OR(G67="12R",G67="12L"),_xlfn.XLOOKUP(C67,Tabla42[ADEP],Tabla42[SID 12R],""),IF(OR(G67="30L",G67="30R"),_xlfn.XLOOKUP(C67,Tabla42[ADEP],Tabla42[SID 30L],""),""))</f>
        <v>TAKUX</v>
      </c>
      <c r="S67" s="3">
        <f t="shared" ref="S67:S130" si="1">HOUR(F67)</f>
        <v>16</v>
      </c>
      <c r="T67" s="3" t="str">
        <f>_xlfn.XLOOKUP(C67,Tabla42[ADEP],Tabla42[Sector],"")</f>
        <v>Sector 7</v>
      </c>
    </row>
    <row r="68" spans="1:20" x14ac:dyDescent="0.2">
      <c r="A68" s="13" t="s">
        <v>176</v>
      </c>
      <c r="B68" s="13" t="s">
        <v>18</v>
      </c>
      <c r="C68" s="13" t="s">
        <v>19</v>
      </c>
      <c r="D68" s="13" t="s">
        <v>53</v>
      </c>
      <c r="E68" s="13" t="s">
        <v>1613</v>
      </c>
      <c r="F68" s="14">
        <v>46298.703217592592</v>
      </c>
      <c r="G68" s="13" t="s">
        <v>21</v>
      </c>
      <c r="H68" s="13" t="s">
        <v>1614</v>
      </c>
      <c r="I68" s="15">
        <v>360</v>
      </c>
      <c r="J68" s="13" t="s">
        <v>22</v>
      </c>
      <c r="K68" s="13" t="s">
        <v>23</v>
      </c>
      <c r="L68" s="15">
        <v>869</v>
      </c>
      <c r="M68" s="13" t="s">
        <v>167</v>
      </c>
      <c r="N68" s="14">
        <v>46298.747060185182</v>
      </c>
      <c r="O68" s="15">
        <v>360</v>
      </c>
      <c r="P68" s="13" t="s">
        <v>25</v>
      </c>
      <c r="Q68" s="15">
        <v>190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13" t="s">
        <v>475</v>
      </c>
      <c r="B69" s="13" t="s">
        <v>18</v>
      </c>
      <c r="C69" s="13" t="s">
        <v>293</v>
      </c>
      <c r="D69" s="13" t="s">
        <v>28</v>
      </c>
      <c r="E69" s="13" t="s">
        <v>1169</v>
      </c>
      <c r="F69" s="14">
        <v>46298.706504629634</v>
      </c>
      <c r="G69" s="13" t="s">
        <v>21</v>
      </c>
      <c r="H69" s="13" t="s">
        <v>1615</v>
      </c>
      <c r="I69" s="15">
        <v>380</v>
      </c>
      <c r="J69" s="13" t="s">
        <v>22</v>
      </c>
      <c r="K69" s="13" t="s">
        <v>23</v>
      </c>
      <c r="L69" s="15">
        <v>531</v>
      </c>
      <c r="M69" s="13" t="s">
        <v>1616</v>
      </c>
      <c r="N69" s="14">
        <v>46298.733229166668</v>
      </c>
      <c r="O69" s="15">
        <v>380</v>
      </c>
      <c r="P69" s="13" t="s">
        <v>25</v>
      </c>
      <c r="Q69" s="15">
        <v>40</v>
      </c>
      <c r="R69" s="3" t="str">
        <f>IF(OR(G69="12R",G69="12L"),_xlfn.XLOOKUP(C69,Tabla42[ADEP],Tabla42[SID 12R],""),IF(OR(G69="30L",G69="30R"),_xlfn.XLOOKUP(C69,Tabla42[ADEP],Tabla42[SID 30L],""),""))</f>
        <v>UDGUV</v>
      </c>
      <c r="S69" s="3">
        <f t="shared" si="1"/>
        <v>16</v>
      </c>
      <c r="T69" s="3" t="str">
        <f>_xlfn.XLOOKUP(C69,Tabla42[ADEP],Tabla42[Sector],"")</f>
        <v>Sector 2</v>
      </c>
    </row>
    <row r="70" spans="1:20" x14ac:dyDescent="0.2">
      <c r="A70" s="13" t="s">
        <v>180</v>
      </c>
      <c r="B70" s="13" t="s">
        <v>18</v>
      </c>
      <c r="C70" s="13" t="s">
        <v>133</v>
      </c>
      <c r="D70" s="13" t="s">
        <v>60</v>
      </c>
      <c r="E70" s="13" t="s">
        <v>162</v>
      </c>
      <c r="F70" s="14">
        <v>46298.707789351851</v>
      </c>
      <c r="G70" s="13" t="s">
        <v>21</v>
      </c>
      <c r="H70" s="13" t="s">
        <v>1617</v>
      </c>
      <c r="I70" s="15">
        <v>330</v>
      </c>
      <c r="J70" s="13" t="s">
        <v>22</v>
      </c>
      <c r="K70" s="13" t="s">
        <v>23</v>
      </c>
      <c r="L70" s="15">
        <v>137</v>
      </c>
      <c r="M70" s="13" t="s">
        <v>678</v>
      </c>
      <c r="N70" s="14">
        <v>46298.718229166669</v>
      </c>
      <c r="O70" s="15">
        <v>215</v>
      </c>
      <c r="P70" s="13" t="s">
        <v>25</v>
      </c>
      <c r="Q70" s="15">
        <v>190</v>
      </c>
      <c r="R70" s="3" t="str">
        <f>IF(OR(G70="12R",G70="12L"),_xlfn.XLOOKUP(C70,Tabla42[ADEP],Tabla42[SID 12R],""),IF(OR(G70="30L",G70="30R"),_xlfn.XLOOKUP(C70,Tabla42[ADEP],Tabla42[SID 30L],""),""))</f>
        <v>OMSUK</v>
      </c>
      <c r="S70" s="3">
        <f t="shared" si="1"/>
        <v>16</v>
      </c>
      <c r="T70" s="3" t="str">
        <f>_xlfn.XLOOKUP(C70,Tabla42[ADEP],Tabla42[Sector],"")</f>
        <v>Sector 3</v>
      </c>
    </row>
    <row r="71" spans="1:20" x14ac:dyDescent="0.2">
      <c r="A71" s="13" t="s">
        <v>378</v>
      </c>
      <c r="B71" s="13" t="s">
        <v>18</v>
      </c>
      <c r="C71" s="13" t="s">
        <v>62</v>
      </c>
      <c r="D71" s="13" t="s">
        <v>53</v>
      </c>
      <c r="E71" s="13" t="s">
        <v>770</v>
      </c>
      <c r="F71" s="14">
        <v>46298.713090277779</v>
      </c>
      <c r="G71" s="13" t="s">
        <v>21</v>
      </c>
      <c r="H71" s="13" t="s">
        <v>1618</v>
      </c>
      <c r="I71" s="15">
        <v>360</v>
      </c>
      <c r="J71" s="13" t="s">
        <v>22</v>
      </c>
      <c r="K71" s="13" t="s">
        <v>23</v>
      </c>
      <c r="L71" s="15">
        <v>871</v>
      </c>
      <c r="M71" s="13" t="s">
        <v>1081</v>
      </c>
      <c r="N71" s="14">
        <v>46298.759606481486</v>
      </c>
      <c r="O71" s="15">
        <v>360</v>
      </c>
      <c r="P71" s="13" t="s">
        <v>25</v>
      </c>
      <c r="Q71" s="15">
        <v>190</v>
      </c>
      <c r="R71" s="3" t="str">
        <f>IF(OR(G71="12R",G71="12L"),_xlfn.XLOOKUP(C71,Tabla42[ADEP],Tabla42[SID 12R],""),IF(OR(G71="30L",G71="30R"),_xlfn.XLOOKUP(C71,Tabla42[ADEP],Tabla42[SID 30L],""),""))</f>
        <v>UDGUV</v>
      </c>
      <c r="S71" s="3">
        <f t="shared" si="1"/>
        <v>17</v>
      </c>
      <c r="T71" s="3" t="str">
        <f>_xlfn.XLOOKUP(C71,Tabla42[ADEP],Tabla42[Sector],"")</f>
        <v>Sector 2</v>
      </c>
    </row>
    <row r="72" spans="1:20" x14ac:dyDescent="0.2">
      <c r="A72" s="13" t="s">
        <v>208</v>
      </c>
      <c r="B72" s="13" t="s">
        <v>18</v>
      </c>
      <c r="C72" s="13" t="s">
        <v>209</v>
      </c>
      <c r="D72" s="13" t="s">
        <v>110</v>
      </c>
      <c r="E72" s="13" t="s">
        <v>390</v>
      </c>
      <c r="F72" s="14">
        <v>46298.716157407413</v>
      </c>
      <c r="G72" s="13" t="s">
        <v>21</v>
      </c>
      <c r="H72" s="13" t="s">
        <v>1619</v>
      </c>
      <c r="I72" s="15">
        <v>400</v>
      </c>
      <c r="J72" s="13" t="s">
        <v>22</v>
      </c>
      <c r="K72" s="13" t="s">
        <v>23</v>
      </c>
      <c r="L72" s="15">
        <v>540</v>
      </c>
      <c r="M72" s="13" t="s">
        <v>1620</v>
      </c>
      <c r="N72" s="14">
        <v>46298.742719907408</v>
      </c>
      <c r="O72" s="15">
        <v>380</v>
      </c>
      <c r="P72" s="13" t="s">
        <v>25</v>
      </c>
      <c r="Q72" s="15">
        <v>40</v>
      </c>
      <c r="R72" s="3" t="str">
        <f>IF(OR(G72="12R",G72="12L"),_xlfn.XLOOKUP(C72,Tabla42[ADEP],Tabla42[SID 12R],""),IF(OR(G72="30L",G72="30R"),_xlfn.XLOOKUP(C72,Tabla42[ADEP],Tabla42[SID 30L],""),""))</f>
        <v>ENEBA</v>
      </c>
      <c r="S72" s="3">
        <f t="shared" si="1"/>
        <v>17</v>
      </c>
      <c r="T72" s="3" t="str">
        <f>_xlfn.XLOOKUP(C72,Tabla42[ADEP],Tabla42[Sector],"")</f>
        <v>Sector 3</v>
      </c>
    </row>
    <row r="73" spans="1:20" x14ac:dyDescent="0.2">
      <c r="A73" s="13" t="s">
        <v>187</v>
      </c>
      <c r="B73" s="13" t="s">
        <v>18</v>
      </c>
      <c r="C73" s="13" t="s">
        <v>188</v>
      </c>
      <c r="D73" s="13" t="s">
        <v>117</v>
      </c>
      <c r="E73" s="13" t="s">
        <v>822</v>
      </c>
      <c r="F73" s="14">
        <v>46298.719189814816</v>
      </c>
      <c r="G73" s="13" t="s">
        <v>21</v>
      </c>
      <c r="H73" s="13" t="s">
        <v>1621</v>
      </c>
      <c r="I73" s="15">
        <v>300</v>
      </c>
      <c r="J73" s="13" t="s">
        <v>22</v>
      </c>
      <c r="K73" s="13" t="s">
        <v>23</v>
      </c>
      <c r="L73" s="15">
        <v>499</v>
      </c>
      <c r="M73" s="13" t="s">
        <v>706</v>
      </c>
      <c r="N73" s="14">
        <v>46298.743425925924</v>
      </c>
      <c r="O73" s="15">
        <v>300</v>
      </c>
      <c r="P73" s="13" t="s">
        <v>25</v>
      </c>
      <c r="Q73" s="15">
        <v>40</v>
      </c>
      <c r="R73" s="3" t="str">
        <f>IF(OR(G73="12R",G73="12L"),_xlfn.XLOOKUP(C73,Tabla42[ADEP],Tabla42[SID 12R],""),IF(OR(G73="30L",G73="30R"),_xlfn.XLOOKUP(C73,Tabla42[ADEP],Tabla42[SID 30L],""),""))</f>
        <v>ENEBA</v>
      </c>
      <c r="S73" s="3">
        <f t="shared" si="1"/>
        <v>17</v>
      </c>
      <c r="T73" s="3" t="str">
        <f>_xlfn.XLOOKUP(C73,Tabla42[ADEP],Tabla42[Sector],"")</f>
        <v>Sector 3</v>
      </c>
    </row>
    <row r="74" spans="1:20" x14ac:dyDescent="0.2">
      <c r="A74" s="13" t="s">
        <v>183</v>
      </c>
      <c r="B74" s="13" t="s">
        <v>18</v>
      </c>
      <c r="C74" s="13" t="s">
        <v>184</v>
      </c>
      <c r="D74" s="13" t="s">
        <v>60</v>
      </c>
      <c r="E74" s="13" t="s">
        <v>1054</v>
      </c>
      <c r="F74" s="14">
        <v>46298.7265625</v>
      </c>
      <c r="G74" s="13" t="s">
        <v>21</v>
      </c>
      <c r="H74" s="13" t="s">
        <v>1622</v>
      </c>
      <c r="I74" s="15">
        <v>330</v>
      </c>
      <c r="J74" s="13" t="s">
        <v>22</v>
      </c>
      <c r="K74" s="13" t="s">
        <v>23</v>
      </c>
      <c r="L74" s="15">
        <v>136</v>
      </c>
      <c r="M74" s="13" t="s">
        <v>612</v>
      </c>
      <c r="N74" s="14">
        <v>46298.736620370371</v>
      </c>
      <c r="O74" s="15">
        <v>237</v>
      </c>
      <c r="P74" s="13" t="s">
        <v>25</v>
      </c>
      <c r="Q74" s="15">
        <v>190</v>
      </c>
      <c r="R74" s="3" t="str">
        <f>IF(OR(G74="12R",G74="12L"),_xlfn.XLOOKUP(C74,Tabla42[ADEP],Tabla42[SID 12R],""),IF(OR(G74="30L",G74="30R"),_xlfn.XLOOKUP(C74,Tabla42[ADEP],Tabla42[SID 30L],""),""))</f>
        <v>OMSUK</v>
      </c>
      <c r="S74" s="3">
        <f t="shared" si="1"/>
        <v>17</v>
      </c>
      <c r="T74" s="3" t="str">
        <f>_xlfn.XLOOKUP(C74,Tabla42[ADEP],Tabla42[Sector],"")</f>
        <v>Sector 3</v>
      </c>
    </row>
    <row r="75" spans="1:20" x14ac:dyDescent="0.2">
      <c r="A75" s="13" t="s">
        <v>178</v>
      </c>
      <c r="B75" s="13" t="s">
        <v>18</v>
      </c>
      <c r="C75" s="13" t="s">
        <v>179</v>
      </c>
      <c r="D75" s="13" t="s">
        <v>53</v>
      </c>
      <c r="E75" s="13" t="s">
        <v>106</v>
      </c>
      <c r="F75" s="14">
        <v>46298.728819444441</v>
      </c>
      <c r="G75" s="13" t="s">
        <v>21</v>
      </c>
      <c r="H75" s="13" t="s">
        <v>1623</v>
      </c>
      <c r="I75" s="15">
        <v>380</v>
      </c>
      <c r="J75" s="13" t="s">
        <v>22</v>
      </c>
      <c r="K75" s="13" t="s">
        <v>23</v>
      </c>
      <c r="L75" s="15">
        <v>831</v>
      </c>
      <c r="M75" s="13" t="s">
        <v>179</v>
      </c>
      <c r="N75" s="14">
        <v>46298.775763888887</v>
      </c>
      <c r="O75" s="15">
        <v>15</v>
      </c>
      <c r="P75" s="13" t="s">
        <v>25</v>
      </c>
      <c r="Q75" s="15">
        <v>190</v>
      </c>
      <c r="R75" s="3" t="str">
        <f>IF(OR(G75="12R",G75="12L"),_xlfn.XLOOKUP(C75,Tabla42[ADEP],Tabla42[SID 12R],""),IF(OR(G75="30L",G75="30R"),_xlfn.XLOOKUP(C75,Tabla42[ADEP],Tabla42[SID 30L],""),""))</f>
        <v>UDGUV</v>
      </c>
      <c r="S75" s="3">
        <f t="shared" si="1"/>
        <v>17</v>
      </c>
      <c r="T75" s="3" t="str">
        <f>_xlfn.XLOOKUP(C75,Tabla42[ADEP],Tabla42[Sector],"")</f>
        <v>Sector 2</v>
      </c>
    </row>
    <row r="76" spans="1:20" x14ac:dyDescent="0.2">
      <c r="A76" s="13" t="s">
        <v>380</v>
      </c>
      <c r="B76" s="13" t="s">
        <v>18</v>
      </c>
      <c r="C76" s="13" t="s">
        <v>133</v>
      </c>
      <c r="D76" s="13" t="s">
        <v>28</v>
      </c>
      <c r="E76" s="13" t="s">
        <v>447</v>
      </c>
      <c r="F76" s="14">
        <v>46298.729953703703</v>
      </c>
      <c r="G76" s="13" t="s">
        <v>21</v>
      </c>
      <c r="H76" s="13" t="s">
        <v>1624</v>
      </c>
      <c r="I76" s="15">
        <v>370</v>
      </c>
      <c r="J76" s="13" t="s">
        <v>22</v>
      </c>
      <c r="K76" s="13" t="s">
        <v>23</v>
      </c>
      <c r="L76" s="15">
        <v>234</v>
      </c>
      <c r="M76" s="13" t="s">
        <v>355</v>
      </c>
      <c r="N76" s="14">
        <v>46298.745347222226</v>
      </c>
      <c r="O76" s="15">
        <v>291</v>
      </c>
      <c r="P76" s="13" t="s">
        <v>25</v>
      </c>
      <c r="Q76" s="15">
        <v>40</v>
      </c>
      <c r="R76" s="3" t="str">
        <f>IF(OR(G76="12R",G76="12L"),_xlfn.XLOOKUP(C76,Tabla42[ADEP],Tabla42[SID 12R],""),IF(OR(G76="30L",G76="30R"),_xlfn.XLOOKUP(C76,Tabla42[ADEP],Tabla42[SID 30L],""),""))</f>
        <v>OMSUK</v>
      </c>
      <c r="S76" s="3">
        <f t="shared" si="1"/>
        <v>17</v>
      </c>
      <c r="T76" s="3" t="str">
        <f>_xlfn.XLOOKUP(C76,Tabla42[ADEP],Tabla42[Sector],"")</f>
        <v>Sector 3</v>
      </c>
    </row>
    <row r="77" spans="1:20" x14ac:dyDescent="0.2">
      <c r="A77" s="13" t="s">
        <v>284</v>
      </c>
      <c r="B77" s="13" t="s">
        <v>18</v>
      </c>
      <c r="C77" s="13" t="s">
        <v>137</v>
      </c>
      <c r="D77" s="13" t="s">
        <v>60</v>
      </c>
      <c r="E77" s="13" t="s">
        <v>973</v>
      </c>
      <c r="F77" s="14">
        <v>46298.73332175926</v>
      </c>
      <c r="G77" s="13" t="s">
        <v>21</v>
      </c>
      <c r="H77" s="13" t="s">
        <v>1032</v>
      </c>
      <c r="I77" s="15">
        <v>370</v>
      </c>
      <c r="J77" s="13" t="s">
        <v>22</v>
      </c>
      <c r="K77" s="13" t="s">
        <v>23</v>
      </c>
      <c r="L77" s="15">
        <v>136</v>
      </c>
      <c r="M77" s="13" t="s">
        <v>39</v>
      </c>
      <c r="N77" s="14">
        <v>46298.742939814816</v>
      </c>
      <c r="O77" s="15">
        <v>248</v>
      </c>
      <c r="P77" s="13" t="s">
        <v>25</v>
      </c>
      <c r="Q77" s="15">
        <v>190</v>
      </c>
      <c r="R77" s="3" t="str">
        <f>IF(OR(G77="12R",G77="12L"),_xlfn.XLOOKUP(C77,Tabla42[ADEP],Tabla42[SID 12R],""),IF(OR(G77="30L",G77="30R"),_xlfn.XLOOKUP(C77,Tabla42[ADEP],Tabla42[SID 30L],""),""))</f>
        <v>NUDAL</v>
      </c>
      <c r="S77" s="3">
        <f t="shared" si="1"/>
        <v>17</v>
      </c>
      <c r="T77" s="3" t="str">
        <f>_xlfn.XLOOKUP(C77,Tabla42[ADEP],Tabla42[Sector],"")</f>
        <v>Sector 3</v>
      </c>
    </row>
    <row r="78" spans="1:20" x14ac:dyDescent="0.2">
      <c r="A78" s="13" t="s">
        <v>202</v>
      </c>
      <c r="B78" s="13" t="s">
        <v>18</v>
      </c>
      <c r="C78" s="13" t="s">
        <v>32</v>
      </c>
      <c r="D78" s="13" t="s">
        <v>53</v>
      </c>
      <c r="E78" s="13" t="s">
        <v>363</v>
      </c>
      <c r="F78" s="14">
        <v>46298.734513888892</v>
      </c>
      <c r="G78" s="13" t="s">
        <v>21</v>
      </c>
      <c r="H78" s="13" t="s">
        <v>1625</v>
      </c>
      <c r="I78" s="15">
        <v>360</v>
      </c>
      <c r="J78" s="13" t="s">
        <v>22</v>
      </c>
      <c r="K78" s="13" t="s">
        <v>23</v>
      </c>
      <c r="L78" s="15">
        <v>861</v>
      </c>
      <c r="M78" s="13" t="s">
        <v>35</v>
      </c>
      <c r="N78" s="14">
        <v>46298.778194444443</v>
      </c>
      <c r="O78" s="15">
        <v>360</v>
      </c>
      <c r="P78" s="13" t="s">
        <v>25</v>
      </c>
      <c r="Q78" s="15">
        <v>190</v>
      </c>
      <c r="R78" s="3" t="str">
        <f>IF(OR(G78="12R",G78="12L"),_xlfn.XLOOKUP(C78,Tabla42[ADEP],Tabla42[SID 12R],""),IF(OR(G78="30L",G78="30R"),_xlfn.XLOOKUP(C78,Tabla42[ADEP],Tabla42[SID 30L],""),""))</f>
        <v>UDGUV</v>
      </c>
      <c r="S78" s="3">
        <f t="shared" si="1"/>
        <v>17</v>
      </c>
      <c r="T78" s="3" t="str">
        <f>_xlfn.XLOOKUP(C78,Tabla42[ADEP],Tabla42[Sector],"")</f>
        <v>Sector 2</v>
      </c>
    </row>
    <row r="79" spans="1:20" x14ac:dyDescent="0.2">
      <c r="A79" s="13" t="s">
        <v>186</v>
      </c>
      <c r="B79" s="13" t="s">
        <v>18</v>
      </c>
      <c r="C79" s="13" t="s">
        <v>121</v>
      </c>
      <c r="D79" s="13" t="s">
        <v>60</v>
      </c>
      <c r="E79" s="13" t="s">
        <v>1071</v>
      </c>
      <c r="F79" s="14">
        <v>46298.735474537039</v>
      </c>
      <c r="G79" s="13" t="s">
        <v>21</v>
      </c>
      <c r="H79" s="13" t="s">
        <v>1626</v>
      </c>
      <c r="I79" s="15">
        <v>340</v>
      </c>
      <c r="J79" s="13" t="s">
        <v>22</v>
      </c>
      <c r="K79" s="13" t="s">
        <v>23</v>
      </c>
      <c r="L79" s="15">
        <v>466</v>
      </c>
      <c r="M79" s="13" t="s">
        <v>1627</v>
      </c>
      <c r="N79" s="14">
        <v>46298.760879629626</v>
      </c>
      <c r="O79" s="15">
        <v>340</v>
      </c>
      <c r="P79" s="13" t="s">
        <v>25</v>
      </c>
      <c r="Q79" s="15">
        <v>40</v>
      </c>
      <c r="R79" s="3" t="str">
        <f>IF(OR(G79="12R",G79="12L"),_xlfn.XLOOKUP(C79,Tabla42[ADEP],Tabla42[SID 12R],""),IF(OR(G79="30L",G79="30R"),_xlfn.XLOOKUP(C79,Tabla42[ADEP],Tabla42[SID 30L],""),""))</f>
        <v>ENEBA</v>
      </c>
      <c r="S79" s="3">
        <f t="shared" si="1"/>
        <v>17</v>
      </c>
      <c r="T79" s="3" t="str">
        <f>_xlfn.XLOOKUP(C79,Tabla42[ADEP],Tabla42[Sector],"")</f>
        <v>Sector 3</v>
      </c>
    </row>
    <row r="80" spans="1:20" x14ac:dyDescent="0.2">
      <c r="A80" s="13" t="s">
        <v>1628</v>
      </c>
      <c r="B80" s="13" t="s">
        <v>18</v>
      </c>
      <c r="C80" s="13" t="s">
        <v>197</v>
      </c>
      <c r="D80" s="13" t="s">
        <v>427</v>
      </c>
      <c r="E80" s="13" t="s">
        <v>1628</v>
      </c>
      <c r="F80" s="14">
        <v>46298.73646990741</v>
      </c>
      <c r="G80" s="13" t="s">
        <v>21</v>
      </c>
      <c r="H80" s="13" t="s">
        <v>1629</v>
      </c>
      <c r="I80" s="15">
        <v>380</v>
      </c>
      <c r="J80" s="13" t="s">
        <v>22</v>
      </c>
      <c r="K80" s="13" t="s">
        <v>50</v>
      </c>
      <c r="L80" s="15">
        <v>870</v>
      </c>
      <c r="M80" s="13" t="s">
        <v>35</v>
      </c>
      <c r="N80" s="14">
        <v>46298.780428240745</v>
      </c>
      <c r="O80" s="15">
        <v>380</v>
      </c>
      <c r="P80" s="13" t="s">
        <v>25</v>
      </c>
      <c r="Q80" s="15">
        <v>190</v>
      </c>
      <c r="R80" s="3" t="str">
        <f>IF(OR(G80="12R",G80="12L"),_xlfn.XLOOKUP(C80,Tabla42[ADEP],Tabla42[SID 12R],""),IF(OR(G80="30L",G80="30R"),_xlfn.XLOOKUP(C80,Tabla42[ADEP],Tabla42[SID 30L],""),""))</f>
        <v>UDGUV</v>
      </c>
      <c r="S80" s="3">
        <f t="shared" si="1"/>
        <v>17</v>
      </c>
      <c r="T80" s="3" t="str">
        <f>_xlfn.XLOOKUP(C80,Tabla42[ADEP],Tabla42[Sector],"")</f>
        <v>Sector 2</v>
      </c>
    </row>
    <row r="81" spans="1:20" x14ac:dyDescent="0.2">
      <c r="A81" s="13" t="s">
        <v>244</v>
      </c>
      <c r="B81" s="13" t="s">
        <v>18</v>
      </c>
      <c r="C81" s="13" t="s">
        <v>126</v>
      </c>
      <c r="D81" s="13" t="s">
        <v>60</v>
      </c>
      <c r="E81" s="13" t="s">
        <v>580</v>
      </c>
      <c r="F81" s="14">
        <v>46298.737476851849</v>
      </c>
      <c r="G81" s="13" t="s">
        <v>21</v>
      </c>
      <c r="H81" s="13" t="s">
        <v>1630</v>
      </c>
      <c r="I81" s="15">
        <v>350</v>
      </c>
      <c r="J81" s="13" t="s">
        <v>22</v>
      </c>
      <c r="K81" s="13" t="s">
        <v>23</v>
      </c>
      <c r="L81" s="15">
        <v>136</v>
      </c>
      <c r="M81" s="13" t="s">
        <v>39</v>
      </c>
      <c r="N81" s="14">
        <v>46298.747673611113</v>
      </c>
      <c r="O81" s="15">
        <v>200</v>
      </c>
      <c r="P81" s="13" t="s">
        <v>25</v>
      </c>
      <c r="Q81" s="15">
        <v>190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13" t="s">
        <v>1631</v>
      </c>
      <c r="B82" s="13" t="s">
        <v>18</v>
      </c>
      <c r="C82" s="13" t="s">
        <v>444</v>
      </c>
      <c r="D82" s="13" t="s">
        <v>110</v>
      </c>
      <c r="E82" s="13" t="s">
        <v>652</v>
      </c>
      <c r="F82" s="14">
        <v>46298.739270833335</v>
      </c>
      <c r="G82" s="13" t="s">
        <v>21</v>
      </c>
      <c r="H82" s="13" t="s">
        <v>1632</v>
      </c>
      <c r="I82" s="15">
        <v>400</v>
      </c>
      <c r="J82" s="13" t="s">
        <v>22</v>
      </c>
      <c r="K82" s="13" t="s">
        <v>23</v>
      </c>
      <c r="L82" s="15">
        <v>446</v>
      </c>
      <c r="M82" s="13" t="s">
        <v>189</v>
      </c>
      <c r="N82" s="14">
        <v>46298.762962962966</v>
      </c>
      <c r="O82" s="15">
        <v>400</v>
      </c>
      <c r="P82" s="13" t="s">
        <v>25</v>
      </c>
      <c r="Q82" s="15">
        <v>40</v>
      </c>
      <c r="R82" s="3" t="str">
        <f>IF(OR(G82="12R",G82="12L"),_xlfn.XLOOKUP(C82,Tabla42[ADEP],Tabla42[SID 12R],""),IF(OR(G82="30L",G82="30R"),_xlfn.XLOOKUP(C82,Tabla42[ADEP],Tabla42[SID 30L],""),""))</f>
        <v>ENEBA</v>
      </c>
      <c r="S82" s="3">
        <f t="shared" si="1"/>
        <v>17</v>
      </c>
      <c r="T82" s="3" t="str">
        <f>_xlfn.XLOOKUP(C82,Tabla42[ADEP],Tabla42[Sector],"")</f>
        <v>Sector 3</v>
      </c>
    </row>
    <row r="83" spans="1:20" x14ac:dyDescent="0.2">
      <c r="A83" s="13" t="s">
        <v>437</v>
      </c>
      <c r="B83" s="13" t="s">
        <v>18</v>
      </c>
      <c r="C83" s="13" t="s">
        <v>438</v>
      </c>
      <c r="D83" s="13" t="s">
        <v>53</v>
      </c>
      <c r="E83" s="13" t="s">
        <v>674</v>
      </c>
      <c r="F83" s="14">
        <v>46298.742326388892</v>
      </c>
      <c r="G83" s="13" t="s">
        <v>21</v>
      </c>
      <c r="H83" s="13" t="s">
        <v>1633</v>
      </c>
      <c r="I83" s="15">
        <v>240</v>
      </c>
      <c r="J83" s="13" t="s">
        <v>22</v>
      </c>
      <c r="K83" s="13" t="s">
        <v>23</v>
      </c>
      <c r="L83" s="15">
        <v>1039</v>
      </c>
      <c r="M83" s="13" t="s">
        <v>439</v>
      </c>
      <c r="N83" s="14">
        <v>46298.797916666663</v>
      </c>
      <c r="O83" s="15">
        <v>228</v>
      </c>
      <c r="P83" s="13" t="s">
        <v>25</v>
      </c>
      <c r="Q83" s="15">
        <v>190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13" t="s">
        <v>194</v>
      </c>
      <c r="B84" s="13" t="s">
        <v>18</v>
      </c>
      <c r="C84" s="13" t="s">
        <v>195</v>
      </c>
      <c r="D84" s="13" t="s">
        <v>28</v>
      </c>
      <c r="E84" s="13" t="s">
        <v>196</v>
      </c>
      <c r="F84" s="14">
        <v>46298.743761574078</v>
      </c>
      <c r="G84" s="13" t="s">
        <v>21</v>
      </c>
      <c r="H84" s="13" t="s">
        <v>1634</v>
      </c>
      <c r="I84" s="15">
        <v>390</v>
      </c>
      <c r="J84" s="13" t="s">
        <v>22</v>
      </c>
      <c r="K84" s="13" t="s">
        <v>23</v>
      </c>
      <c r="L84" s="15">
        <v>188</v>
      </c>
      <c r="M84" s="13" t="s">
        <v>1039</v>
      </c>
      <c r="N84" s="14">
        <v>46298.75645833333</v>
      </c>
      <c r="O84" s="15">
        <v>297</v>
      </c>
      <c r="P84" s="13" t="s">
        <v>25</v>
      </c>
      <c r="Q84" s="15">
        <v>190</v>
      </c>
      <c r="R84" s="3" t="str">
        <f>IF(OR(G84="12R",G84="12L"),_xlfn.XLOOKUP(C84,Tabla42[ADEP],Tabla42[SID 12R],""),IF(OR(G84="30L",G84="30R"),_xlfn.XLOOKUP(C84,Tabla42[ADEP],Tabla42[SID 30L],""),""))</f>
        <v>HECAT</v>
      </c>
      <c r="S84" s="3">
        <f t="shared" si="1"/>
        <v>17</v>
      </c>
      <c r="T84" s="3" t="str">
        <f>_xlfn.XLOOKUP(C84,Tabla42[ADEP],Tabla42[Sector],"")</f>
        <v>Sector 7</v>
      </c>
    </row>
    <row r="85" spans="1:20" x14ac:dyDescent="0.2">
      <c r="A85" s="13" t="s">
        <v>221</v>
      </c>
      <c r="B85" s="13" t="s">
        <v>18</v>
      </c>
      <c r="C85" s="13" t="s">
        <v>42</v>
      </c>
      <c r="D85" s="13" t="s">
        <v>122</v>
      </c>
      <c r="E85" s="13" t="s">
        <v>1040</v>
      </c>
      <c r="F85" s="14">
        <v>46298.745601851857</v>
      </c>
      <c r="G85" s="13" t="s">
        <v>21</v>
      </c>
      <c r="H85" s="13" t="s">
        <v>1635</v>
      </c>
      <c r="I85" s="15">
        <v>380</v>
      </c>
      <c r="J85" s="13" t="s">
        <v>22</v>
      </c>
      <c r="K85" s="13" t="s">
        <v>23</v>
      </c>
      <c r="L85" s="15">
        <v>861</v>
      </c>
      <c r="M85" s="13" t="s">
        <v>45</v>
      </c>
      <c r="N85" s="14">
        <v>46298.790347222224</v>
      </c>
      <c r="O85" s="15">
        <v>380</v>
      </c>
      <c r="P85" s="13" t="s">
        <v>25</v>
      </c>
      <c r="Q85" s="15">
        <v>190</v>
      </c>
      <c r="R85" s="3" t="str">
        <f>IF(OR(G85="12R",G85="12L"),_xlfn.XLOOKUP(C85,Tabla42[ADEP],Tabla42[SID 12R],""),IF(OR(G85="30L",G85="30R"),_xlfn.XLOOKUP(C85,Tabla42[ADEP],Tabla42[SID 30L],""),""))</f>
        <v>UDGUV</v>
      </c>
      <c r="S85" s="3">
        <f t="shared" si="1"/>
        <v>17</v>
      </c>
      <c r="T85" s="3" t="str">
        <f>_xlfn.XLOOKUP(C85,Tabla42[ADEP],Tabla42[Sector],"")</f>
        <v>Sector 2</v>
      </c>
    </row>
    <row r="86" spans="1:20" x14ac:dyDescent="0.2">
      <c r="A86" s="13" t="s">
        <v>214</v>
      </c>
      <c r="B86" s="13" t="s">
        <v>18</v>
      </c>
      <c r="C86" s="13" t="s">
        <v>215</v>
      </c>
      <c r="D86" s="13" t="s">
        <v>60</v>
      </c>
      <c r="E86" s="13" t="s">
        <v>1636</v>
      </c>
      <c r="F86" s="14">
        <v>46298.74690972222</v>
      </c>
      <c r="G86" s="13" t="s">
        <v>21</v>
      </c>
      <c r="H86" s="13" t="s">
        <v>1637</v>
      </c>
      <c r="I86" s="15">
        <v>330</v>
      </c>
      <c r="J86" s="13" t="s">
        <v>22</v>
      </c>
      <c r="K86" s="13" t="s">
        <v>23</v>
      </c>
      <c r="L86" s="15">
        <v>235</v>
      </c>
      <c r="M86" s="13" t="s">
        <v>355</v>
      </c>
      <c r="N86" s="14">
        <v>46298.760937500003</v>
      </c>
      <c r="O86" s="15">
        <v>249</v>
      </c>
      <c r="P86" s="13" t="s">
        <v>25</v>
      </c>
      <c r="Q86" s="15">
        <v>40</v>
      </c>
      <c r="R86" s="3" t="str">
        <f>IF(OR(G86="12R",G86="12L"),_xlfn.XLOOKUP(C86,Tabla42[ADEP],Tabla42[SID 12R],""),IF(OR(G86="30L",G86="30R"),_xlfn.XLOOKUP(C86,Tabla42[ADEP],Tabla42[SID 30L],""),""))</f>
        <v>OMSUK</v>
      </c>
      <c r="S86" s="3">
        <f t="shared" si="1"/>
        <v>17</v>
      </c>
      <c r="T86" s="3" t="str">
        <f>_xlfn.XLOOKUP(C86,Tabla42[ADEP],Tabla42[Sector],"")</f>
        <v>Sector 3</v>
      </c>
    </row>
    <row r="87" spans="1:20" x14ac:dyDescent="0.2">
      <c r="A87" s="13" t="s">
        <v>429</v>
      </c>
      <c r="B87" s="13" t="s">
        <v>18</v>
      </c>
      <c r="C87" s="13" t="s">
        <v>121</v>
      </c>
      <c r="D87" s="13" t="s">
        <v>122</v>
      </c>
      <c r="E87" s="13" t="s">
        <v>1638</v>
      </c>
      <c r="F87" s="14">
        <v>46298.74827546296</v>
      </c>
      <c r="G87" s="13" t="s">
        <v>21</v>
      </c>
      <c r="H87" s="13" t="s">
        <v>1639</v>
      </c>
      <c r="I87" s="15">
        <v>360</v>
      </c>
      <c r="J87" s="13" t="s">
        <v>22</v>
      </c>
      <c r="K87" s="13" t="s">
        <v>23</v>
      </c>
      <c r="L87" s="15">
        <v>708</v>
      </c>
      <c r="M87" s="13" t="s">
        <v>1640</v>
      </c>
      <c r="N87" s="14">
        <v>46298.784363425926</v>
      </c>
      <c r="O87" s="15">
        <v>360</v>
      </c>
      <c r="P87" s="13" t="s">
        <v>25</v>
      </c>
      <c r="Q87" s="15">
        <v>40</v>
      </c>
      <c r="R87" s="3" t="str">
        <f>IF(OR(G87="12R",G87="12L"),_xlfn.XLOOKUP(C87,Tabla42[ADEP],Tabla42[SID 12R],""),IF(OR(G87="30L",G87="30R"),_xlfn.XLOOKUP(C87,Tabla42[ADEP],Tabla42[SID 30L],""),""))</f>
        <v>ENEBA</v>
      </c>
      <c r="S87" s="3">
        <f t="shared" si="1"/>
        <v>17</v>
      </c>
      <c r="T87" s="3" t="str">
        <f>_xlfn.XLOOKUP(C87,Tabla42[ADEP],Tabla42[Sector],"")</f>
        <v>Sector 3</v>
      </c>
    </row>
    <row r="88" spans="1:20" x14ac:dyDescent="0.2">
      <c r="A88" s="13" t="s">
        <v>582</v>
      </c>
      <c r="B88" s="13" t="s">
        <v>18</v>
      </c>
      <c r="C88" s="13" t="s">
        <v>583</v>
      </c>
      <c r="D88" s="13" t="s">
        <v>117</v>
      </c>
      <c r="E88" s="13" t="s">
        <v>740</v>
      </c>
      <c r="F88" s="14">
        <v>46298.749525462961</v>
      </c>
      <c r="G88" s="13" t="s">
        <v>21</v>
      </c>
      <c r="H88" s="13" t="s">
        <v>1641</v>
      </c>
      <c r="I88" s="15">
        <v>310</v>
      </c>
      <c r="J88" s="13" t="s">
        <v>22</v>
      </c>
      <c r="K88" s="13" t="s">
        <v>23</v>
      </c>
      <c r="L88" s="15">
        <v>235</v>
      </c>
      <c r="M88" s="13" t="s">
        <v>355</v>
      </c>
      <c r="N88" s="14">
        <v>46298.763043981482</v>
      </c>
      <c r="O88" s="15">
        <v>293</v>
      </c>
      <c r="P88" s="13" t="s">
        <v>25</v>
      </c>
      <c r="Q88" s="15">
        <v>40</v>
      </c>
      <c r="R88" s="3" t="str">
        <f>IF(OR(G88="12R",G88="12L"),_xlfn.XLOOKUP(C88,Tabla42[ADEP],Tabla42[SID 12R],""),IF(OR(G88="30L",G88="30R"),_xlfn.XLOOKUP(C88,Tabla42[ADEP],Tabla42[SID 30L],""),""))</f>
        <v>ENEBA</v>
      </c>
      <c r="S88" s="3">
        <f t="shared" si="1"/>
        <v>17</v>
      </c>
      <c r="T88" s="3" t="str">
        <f>_xlfn.XLOOKUP(C88,Tabla42[ADEP],Tabla42[Sector],"")</f>
        <v>Sector 3</v>
      </c>
    </row>
    <row r="89" spans="1:20" x14ac:dyDescent="0.2">
      <c r="A89" s="13" t="s">
        <v>203</v>
      </c>
      <c r="B89" s="13" t="s">
        <v>18</v>
      </c>
      <c r="C89" s="13" t="s">
        <v>204</v>
      </c>
      <c r="D89" s="13" t="s">
        <v>53</v>
      </c>
      <c r="E89" s="13" t="s">
        <v>415</v>
      </c>
      <c r="F89" s="14">
        <v>46298.750856481478</v>
      </c>
      <c r="G89" s="13" t="s">
        <v>21</v>
      </c>
      <c r="H89" s="13" t="s">
        <v>1642</v>
      </c>
      <c r="I89" s="15">
        <v>390</v>
      </c>
      <c r="J89" s="13" t="s">
        <v>22</v>
      </c>
      <c r="K89" s="13" t="s">
        <v>23</v>
      </c>
      <c r="L89" s="15">
        <v>151</v>
      </c>
      <c r="M89" s="13" t="s">
        <v>111</v>
      </c>
      <c r="N89" s="14">
        <v>46298.761006944449</v>
      </c>
      <c r="O89" s="15">
        <v>287</v>
      </c>
      <c r="P89" s="13" t="s">
        <v>25</v>
      </c>
      <c r="Q89" s="15">
        <v>190</v>
      </c>
      <c r="R89" s="3" t="str">
        <f>IF(OR(G89="12R",G89="12L"),_xlfn.XLOOKUP(C89,Tabla42[ADEP],Tabla42[SID 12R],""),IF(OR(G89="30L",G89="30R"),_xlfn.XLOOKUP(C89,Tabla42[ADEP],Tabla42[SID 30L],""),""))</f>
        <v>TAKUX</v>
      </c>
      <c r="S89" s="3">
        <f t="shared" si="1"/>
        <v>18</v>
      </c>
      <c r="T89" s="3" t="str">
        <f>_xlfn.XLOOKUP(C89,Tabla42[ADEP],Tabla42[Sector],"")</f>
        <v>Sector 7</v>
      </c>
    </row>
    <row r="90" spans="1:20" x14ac:dyDescent="0.2">
      <c r="A90" s="13" t="s">
        <v>211</v>
      </c>
      <c r="B90" s="13" t="s">
        <v>18</v>
      </c>
      <c r="C90" s="13" t="s">
        <v>212</v>
      </c>
      <c r="D90" s="13" t="s">
        <v>53</v>
      </c>
      <c r="E90" s="13" t="s">
        <v>1643</v>
      </c>
      <c r="F90" s="14">
        <v>46298.75472222222</v>
      </c>
      <c r="G90" s="13" t="s">
        <v>21</v>
      </c>
      <c r="H90" s="13" t="s">
        <v>1644</v>
      </c>
      <c r="I90" s="15">
        <v>370</v>
      </c>
      <c r="J90" s="13" t="s">
        <v>22</v>
      </c>
      <c r="K90" s="13" t="s">
        <v>23</v>
      </c>
      <c r="L90" s="15">
        <v>151</v>
      </c>
      <c r="M90" s="13" t="s">
        <v>111</v>
      </c>
      <c r="N90" s="14">
        <v>46298.76489583333</v>
      </c>
      <c r="O90" s="15">
        <v>297</v>
      </c>
      <c r="P90" s="13" t="s">
        <v>25</v>
      </c>
      <c r="Q90" s="15">
        <v>190</v>
      </c>
      <c r="R90" s="3" t="str">
        <f>IF(OR(G90="12R",G90="12L"),_xlfn.XLOOKUP(C90,Tabla42[ADEP],Tabla42[SID 12R],""),IF(OR(G90="30L",G90="30R"),_xlfn.XLOOKUP(C90,Tabla42[ADEP],Tabla42[SID 30L],""),""))</f>
        <v>TAKUX</v>
      </c>
      <c r="S90" s="3">
        <f t="shared" si="1"/>
        <v>18</v>
      </c>
      <c r="T90" s="3" t="str">
        <f>_xlfn.XLOOKUP(C90,Tabla42[ADEP],Tabla42[Sector],"")</f>
        <v>Sector 7</v>
      </c>
    </row>
    <row r="91" spans="1:20" x14ac:dyDescent="0.2">
      <c r="A91" s="13" t="s">
        <v>222</v>
      </c>
      <c r="B91" s="13" t="s">
        <v>18</v>
      </c>
      <c r="C91" s="13" t="s">
        <v>223</v>
      </c>
      <c r="D91" s="13" t="s">
        <v>28</v>
      </c>
      <c r="E91" s="13" t="s">
        <v>1645</v>
      </c>
      <c r="F91" s="14">
        <v>46298.756030092598</v>
      </c>
      <c r="G91" s="13" t="s">
        <v>21</v>
      </c>
      <c r="H91" s="13" t="s">
        <v>1646</v>
      </c>
      <c r="I91" s="15">
        <v>370</v>
      </c>
      <c r="J91" s="13" t="s">
        <v>22</v>
      </c>
      <c r="K91" s="13" t="s">
        <v>23</v>
      </c>
      <c r="L91" s="15">
        <v>131</v>
      </c>
      <c r="M91" s="13" t="s">
        <v>39</v>
      </c>
      <c r="N91" s="14">
        <v>46298.765104166669</v>
      </c>
      <c r="O91" s="15">
        <v>258</v>
      </c>
      <c r="P91" s="13" t="s">
        <v>25</v>
      </c>
      <c r="Q91" s="15">
        <v>190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13" t="s">
        <v>218</v>
      </c>
      <c r="B92" s="13" t="s">
        <v>18</v>
      </c>
      <c r="C92" s="13" t="s">
        <v>219</v>
      </c>
      <c r="D92" s="13" t="s">
        <v>43</v>
      </c>
      <c r="E92" s="13" t="s">
        <v>1647</v>
      </c>
      <c r="F92" s="14">
        <v>46298.757106481484</v>
      </c>
      <c r="G92" s="13" t="s">
        <v>21</v>
      </c>
      <c r="H92" s="13" t="s">
        <v>1648</v>
      </c>
      <c r="I92" s="15">
        <v>320</v>
      </c>
      <c r="J92" s="13" t="s">
        <v>22</v>
      </c>
      <c r="K92" s="13" t="s">
        <v>23</v>
      </c>
      <c r="L92" s="15">
        <v>864</v>
      </c>
      <c r="M92" s="13" t="s">
        <v>35</v>
      </c>
      <c r="N92" s="14">
        <v>46298.801469907412</v>
      </c>
      <c r="O92" s="15">
        <v>320</v>
      </c>
      <c r="P92" s="13" t="s">
        <v>25</v>
      </c>
      <c r="Q92" s="15">
        <v>190</v>
      </c>
      <c r="R92" s="3" t="str">
        <f>IF(OR(G92="12R",G92="12L"),_xlfn.XLOOKUP(C92,Tabla42[ADEP],Tabla42[SID 12R],""),IF(OR(G92="30L",G92="30R"),_xlfn.XLOOKUP(C92,Tabla42[ADEP],Tabla42[SID 30L],""),""))</f>
        <v>UDGUV</v>
      </c>
      <c r="S92" s="3">
        <f t="shared" si="1"/>
        <v>18</v>
      </c>
      <c r="T92" s="3" t="str">
        <f>_xlfn.XLOOKUP(C92,Tabla42[ADEP],Tabla42[Sector],"")</f>
        <v>Sector 2</v>
      </c>
    </row>
    <row r="93" spans="1:20" x14ac:dyDescent="0.2">
      <c r="A93" s="13" t="s">
        <v>358</v>
      </c>
      <c r="B93" s="13" t="s">
        <v>18</v>
      </c>
      <c r="C93" s="13" t="s">
        <v>359</v>
      </c>
      <c r="D93" s="13" t="s">
        <v>33</v>
      </c>
      <c r="E93" s="13" t="s">
        <v>1649</v>
      </c>
      <c r="F93" s="14">
        <v>46298.758356481485</v>
      </c>
      <c r="G93" s="13" t="s">
        <v>21</v>
      </c>
      <c r="H93" s="13" t="s">
        <v>1650</v>
      </c>
      <c r="I93" s="15">
        <v>350</v>
      </c>
      <c r="J93" s="13" t="s">
        <v>22</v>
      </c>
      <c r="K93" s="13" t="s">
        <v>23</v>
      </c>
      <c r="L93" s="15">
        <v>219</v>
      </c>
      <c r="M93" s="13" t="s">
        <v>355</v>
      </c>
      <c r="N93" s="14">
        <v>46298.771828703699</v>
      </c>
      <c r="O93" s="15">
        <v>310</v>
      </c>
      <c r="P93" s="13" t="s">
        <v>25</v>
      </c>
      <c r="Q93" s="15">
        <v>40</v>
      </c>
      <c r="R93" s="3" t="str">
        <f>IF(OR(G93="12R",G93="12L"),_xlfn.XLOOKUP(C93,Tabla42[ADEP],Tabla42[SID 12R],""),IF(OR(G93="30L",G93="30R"),_xlfn.XLOOKUP(C93,Tabla42[ADEP],Tabla42[SID 30L],""),""))</f>
        <v>OMSUK</v>
      </c>
      <c r="S93" s="3">
        <f t="shared" si="1"/>
        <v>18</v>
      </c>
      <c r="T93" s="3" t="str">
        <f>_xlfn.XLOOKUP(C93,Tabla42[ADEP],Tabla42[Sector],"")</f>
        <v>Sector 3</v>
      </c>
    </row>
    <row r="94" spans="1:20" x14ac:dyDescent="0.2">
      <c r="A94" s="13" t="s">
        <v>1651</v>
      </c>
      <c r="B94" s="13" t="s">
        <v>18</v>
      </c>
      <c r="C94" s="13" t="s">
        <v>263</v>
      </c>
      <c r="D94" s="13" t="s">
        <v>122</v>
      </c>
      <c r="E94" s="13" t="s">
        <v>1652</v>
      </c>
      <c r="F94" s="14">
        <v>46298.759722222225</v>
      </c>
      <c r="G94" s="13" t="s">
        <v>21</v>
      </c>
      <c r="H94" s="13" t="s">
        <v>1653</v>
      </c>
      <c r="I94" s="15">
        <v>410</v>
      </c>
      <c r="J94" s="13" t="s">
        <v>22</v>
      </c>
      <c r="K94" s="13" t="s">
        <v>141</v>
      </c>
      <c r="L94" s="15">
        <v>384</v>
      </c>
      <c r="M94" s="13" t="s">
        <v>250</v>
      </c>
      <c r="N94" s="14">
        <v>46298.779780092591</v>
      </c>
      <c r="O94" s="15">
        <v>390</v>
      </c>
      <c r="P94" s="13" t="s">
        <v>25</v>
      </c>
      <c r="Q94" s="15">
        <v>40</v>
      </c>
      <c r="R94" s="3" t="str">
        <f>IF(OR(G94="12R",G94="12L"),_xlfn.XLOOKUP(C94,Tabla42[ADEP],Tabla42[SID 12R],""),IF(OR(G94="30L",G94="30R"),_xlfn.XLOOKUP(C94,Tabla42[ADEP],Tabla42[SID 30L],""),""))</f>
        <v>OMSUK</v>
      </c>
      <c r="S94" s="3">
        <f t="shared" si="1"/>
        <v>18</v>
      </c>
      <c r="T94" s="3" t="str">
        <f>_xlfn.XLOOKUP(C94,Tabla42[ADEP],Tabla42[Sector],"")</f>
        <v>Sector 3</v>
      </c>
    </row>
    <row r="95" spans="1:20" x14ac:dyDescent="0.2">
      <c r="A95" s="13" t="s">
        <v>165</v>
      </c>
      <c r="B95" s="13" t="s">
        <v>18</v>
      </c>
      <c r="C95" s="13" t="s">
        <v>166</v>
      </c>
      <c r="D95" s="13" t="s">
        <v>20</v>
      </c>
      <c r="E95" s="13" t="s">
        <v>484</v>
      </c>
      <c r="F95" s="14">
        <v>46298.760648148149</v>
      </c>
      <c r="G95" s="13" t="s">
        <v>21</v>
      </c>
      <c r="H95" s="13" t="s">
        <v>1654</v>
      </c>
      <c r="I95" s="15">
        <v>360</v>
      </c>
      <c r="J95" s="13" t="s">
        <v>22</v>
      </c>
      <c r="K95" s="13" t="s">
        <v>23</v>
      </c>
      <c r="L95" s="15">
        <v>863</v>
      </c>
      <c r="M95" s="13" t="s">
        <v>167</v>
      </c>
      <c r="N95" s="14">
        <v>46298.803668981476</v>
      </c>
      <c r="O95" s="15">
        <v>360</v>
      </c>
      <c r="P95" s="13" t="s">
        <v>25</v>
      </c>
      <c r="Q95" s="15">
        <v>190</v>
      </c>
      <c r="R95" s="3" t="str">
        <f>IF(OR(G95="12R",G95="12L"),_xlfn.XLOOKUP(C95,Tabla42[ADEP],Tabla42[SID 12R],""),IF(OR(G95="30L",G95="30R"),_xlfn.XLOOKUP(C95,Tabla42[ADEP],Tabla42[SID 30L],""),""))</f>
        <v>UDGUV</v>
      </c>
      <c r="S95" s="3">
        <f t="shared" si="1"/>
        <v>18</v>
      </c>
      <c r="T95" s="3" t="str">
        <f>_xlfn.XLOOKUP(C95,Tabla42[ADEP],Tabla42[Sector],"")</f>
        <v>Sector 2</v>
      </c>
    </row>
    <row r="96" spans="1:20" x14ac:dyDescent="0.2">
      <c r="A96" s="13" t="s">
        <v>217</v>
      </c>
      <c r="B96" s="13" t="s">
        <v>18</v>
      </c>
      <c r="C96" s="13" t="s">
        <v>158</v>
      </c>
      <c r="D96" s="13" t="s">
        <v>20</v>
      </c>
      <c r="E96" s="13" t="s">
        <v>587</v>
      </c>
      <c r="F96" s="14">
        <v>46298.761666666665</v>
      </c>
      <c r="G96" s="13" t="s">
        <v>21</v>
      </c>
      <c r="H96" s="13" t="s">
        <v>1655</v>
      </c>
      <c r="I96" s="15">
        <v>330</v>
      </c>
      <c r="J96" s="13" t="s">
        <v>22</v>
      </c>
      <c r="K96" s="13" t="s">
        <v>23</v>
      </c>
      <c r="L96" s="15">
        <v>136</v>
      </c>
      <c r="M96" s="13" t="s">
        <v>39</v>
      </c>
      <c r="N96" s="14">
        <v>46298.770983796298</v>
      </c>
      <c r="O96" s="15">
        <v>228</v>
      </c>
      <c r="P96" s="13" t="s">
        <v>25</v>
      </c>
      <c r="Q96" s="15">
        <v>190</v>
      </c>
      <c r="R96" s="3" t="str">
        <f>IF(OR(G96="12R",G96="12L"),_xlfn.XLOOKUP(C96,Tabla42[ADEP],Tabla42[SID 12R],""),IF(OR(G96="30L",G96="30R"),_xlfn.XLOOKUP(C96,Tabla42[ADEP],Tabla42[SID 30L],""),""))</f>
        <v>OMSUK</v>
      </c>
      <c r="S96" s="3">
        <f t="shared" si="1"/>
        <v>18</v>
      </c>
      <c r="T96" s="3" t="str">
        <f>_xlfn.XLOOKUP(C96,Tabla42[ADEP],Tabla42[Sector],"")</f>
        <v>Sector 3</v>
      </c>
    </row>
    <row r="97" spans="1:20" x14ac:dyDescent="0.2">
      <c r="A97" s="13" t="s">
        <v>213</v>
      </c>
      <c r="B97" s="13" t="s">
        <v>18</v>
      </c>
      <c r="C97" s="13" t="s">
        <v>19</v>
      </c>
      <c r="D97" s="13" t="s">
        <v>33</v>
      </c>
      <c r="E97" s="13" t="s">
        <v>491</v>
      </c>
      <c r="F97" s="14">
        <v>46298.764004629629</v>
      </c>
      <c r="G97" s="13" t="s">
        <v>21</v>
      </c>
      <c r="H97" s="13" t="s">
        <v>1656</v>
      </c>
      <c r="I97" s="15">
        <v>360</v>
      </c>
      <c r="J97" s="13" t="s">
        <v>22</v>
      </c>
      <c r="K97" s="13" t="s">
        <v>23</v>
      </c>
      <c r="L97" s="15">
        <v>864</v>
      </c>
      <c r="M97" s="13" t="s">
        <v>24</v>
      </c>
      <c r="N97" s="14">
        <v>46298.808379629627</v>
      </c>
      <c r="O97" s="15">
        <v>360</v>
      </c>
      <c r="P97" s="13" t="s">
        <v>25</v>
      </c>
      <c r="Q97" s="15">
        <v>190</v>
      </c>
      <c r="R97" s="3" t="str">
        <f>IF(OR(G97="12R",G97="12L"),_xlfn.XLOOKUP(C97,Tabla42[ADEP],Tabla42[SID 12R],""),IF(OR(G97="30L",G97="30R"),_xlfn.XLOOKUP(C97,Tabla42[ADEP],Tabla42[SID 30L],""),""))</f>
        <v>UDGUV</v>
      </c>
      <c r="S97" s="3">
        <f t="shared" si="1"/>
        <v>18</v>
      </c>
      <c r="T97" s="3" t="str">
        <f>_xlfn.XLOOKUP(C97,Tabla42[ADEP],Tabla42[Sector],"")</f>
        <v>Sector 2</v>
      </c>
    </row>
    <row r="98" spans="1:20" x14ac:dyDescent="0.2">
      <c r="A98" s="13" t="s">
        <v>1280</v>
      </c>
      <c r="B98" s="13" t="s">
        <v>18</v>
      </c>
      <c r="C98" s="13" t="s">
        <v>742</v>
      </c>
      <c r="D98" s="13" t="s">
        <v>110</v>
      </c>
      <c r="E98" s="13" t="s">
        <v>663</v>
      </c>
      <c r="F98" s="14">
        <v>46298.765416666662</v>
      </c>
      <c r="G98" s="13" t="s">
        <v>21</v>
      </c>
      <c r="H98" s="13" t="s">
        <v>1657</v>
      </c>
      <c r="I98" s="15">
        <v>400</v>
      </c>
      <c r="J98" s="13" t="s">
        <v>22</v>
      </c>
      <c r="K98" s="13" t="s">
        <v>23</v>
      </c>
      <c r="L98" s="15">
        <v>581</v>
      </c>
      <c r="M98" s="13" t="s">
        <v>1658</v>
      </c>
      <c r="N98" s="14">
        <v>46298.795624999999</v>
      </c>
      <c r="O98" s="15">
        <v>400</v>
      </c>
      <c r="P98" s="13" t="s">
        <v>25</v>
      </c>
      <c r="Q98" s="15">
        <v>40</v>
      </c>
      <c r="R98" s="3" t="str">
        <f>IF(OR(G98="12R",G98="12L"),_xlfn.XLOOKUP(C98,Tabla42[ADEP],Tabla42[SID 12R],""),IF(OR(G98="30L",G98="30R"),_xlfn.XLOOKUP(C98,Tabla42[ADEP],Tabla42[SID 30L],""),""))</f>
        <v>UDGUV</v>
      </c>
      <c r="S98" s="3">
        <f t="shared" si="1"/>
        <v>18</v>
      </c>
      <c r="T98" s="3" t="str">
        <f>_xlfn.XLOOKUP(C98,Tabla42[ADEP],Tabla42[Sector],"")</f>
        <v>Sector 2</v>
      </c>
    </row>
    <row r="99" spans="1:20" x14ac:dyDescent="0.2">
      <c r="A99" s="13" t="s">
        <v>216</v>
      </c>
      <c r="B99" s="13" t="s">
        <v>18</v>
      </c>
      <c r="C99" s="13" t="s">
        <v>32</v>
      </c>
      <c r="D99" s="13" t="s">
        <v>20</v>
      </c>
      <c r="E99" s="13" t="s">
        <v>57</v>
      </c>
      <c r="F99" s="14">
        <v>46298.768726851849</v>
      </c>
      <c r="G99" s="13" t="s">
        <v>21</v>
      </c>
      <c r="H99" s="13" t="s">
        <v>1659</v>
      </c>
      <c r="I99" s="15">
        <v>360</v>
      </c>
      <c r="J99" s="13" t="s">
        <v>22</v>
      </c>
      <c r="K99" s="13" t="s">
        <v>23</v>
      </c>
      <c r="L99" s="15">
        <v>870</v>
      </c>
      <c r="M99" s="13" t="s">
        <v>35</v>
      </c>
      <c r="N99" s="14">
        <v>46298.812986111108</v>
      </c>
      <c r="O99" s="15">
        <v>360</v>
      </c>
      <c r="P99" s="13" t="s">
        <v>25</v>
      </c>
      <c r="Q99" s="15">
        <v>190</v>
      </c>
      <c r="R99" s="3" t="str">
        <f>IF(OR(G99="12R",G99="12L"),_xlfn.XLOOKUP(C99,Tabla42[ADEP],Tabla42[SID 12R],""),IF(OR(G99="30L",G99="30R"),_xlfn.XLOOKUP(C99,Tabla42[ADEP],Tabla42[SID 30L],""),""))</f>
        <v>UDGUV</v>
      </c>
      <c r="S99" s="3">
        <f t="shared" si="1"/>
        <v>18</v>
      </c>
      <c r="T99" s="3" t="str">
        <f>_xlfn.XLOOKUP(C99,Tabla42[ADEP],Tabla42[Sector],"")</f>
        <v>Sector 2</v>
      </c>
    </row>
    <row r="100" spans="1:20" x14ac:dyDescent="0.2">
      <c r="A100" s="13" t="s">
        <v>205</v>
      </c>
      <c r="B100" s="13" t="s">
        <v>18</v>
      </c>
      <c r="C100" s="13" t="s">
        <v>206</v>
      </c>
      <c r="D100" s="13" t="s">
        <v>20</v>
      </c>
      <c r="E100" s="13" t="s">
        <v>169</v>
      </c>
      <c r="F100" s="14">
        <v>46298.770138888889</v>
      </c>
      <c r="G100" s="13" t="s">
        <v>21</v>
      </c>
      <c r="H100" s="13" t="s">
        <v>1660</v>
      </c>
      <c r="I100" s="15">
        <v>360</v>
      </c>
      <c r="J100" s="13" t="s">
        <v>22</v>
      </c>
      <c r="K100" s="13" t="s">
        <v>23</v>
      </c>
      <c r="L100" s="15">
        <v>858</v>
      </c>
      <c r="M100" s="13" t="s">
        <v>45</v>
      </c>
      <c r="N100" s="14">
        <v>46298.814942129626</v>
      </c>
      <c r="O100" s="15">
        <v>360</v>
      </c>
      <c r="P100" s="13" t="s">
        <v>25</v>
      </c>
      <c r="Q100" s="15">
        <v>190</v>
      </c>
      <c r="R100" s="3" t="str">
        <f>IF(OR(G100="12R",G100="12L"),_xlfn.XLOOKUP(C100,Tabla42[ADEP],Tabla42[SID 12R],""),IF(OR(G100="30L",G100="30R"),_xlfn.XLOOKUP(C100,Tabla42[ADEP],Tabla42[SID 30L],""),""))</f>
        <v>UDGUV</v>
      </c>
      <c r="S100" s="3">
        <f t="shared" si="1"/>
        <v>18</v>
      </c>
      <c r="T100" s="3" t="str">
        <f>_xlfn.XLOOKUP(C100,Tabla42[ADEP],Tabla42[Sector],"")</f>
        <v>Sector 2</v>
      </c>
    </row>
    <row r="101" spans="1:20" x14ac:dyDescent="0.2">
      <c r="A101" s="13" t="s">
        <v>192</v>
      </c>
      <c r="B101" s="13" t="s">
        <v>18</v>
      </c>
      <c r="C101" s="13" t="s">
        <v>193</v>
      </c>
      <c r="D101" s="13" t="s">
        <v>60</v>
      </c>
      <c r="E101" s="13" t="s">
        <v>1661</v>
      </c>
      <c r="F101" s="14">
        <v>46298.770902777775</v>
      </c>
      <c r="G101" s="13" t="s">
        <v>21</v>
      </c>
      <c r="H101" s="13" t="s">
        <v>1662</v>
      </c>
      <c r="I101" s="15">
        <v>330</v>
      </c>
      <c r="J101" s="13" t="s">
        <v>22</v>
      </c>
      <c r="K101" s="13" t="s">
        <v>23</v>
      </c>
      <c r="L101" s="15">
        <v>136</v>
      </c>
      <c r="M101" s="13" t="s">
        <v>39</v>
      </c>
      <c r="N101" s="14">
        <v>46298.780914351853</v>
      </c>
      <c r="O101" s="15">
        <v>205</v>
      </c>
      <c r="P101" s="13" t="s">
        <v>25</v>
      </c>
      <c r="Q101" s="15">
        <v>190</v>
      </c>
      <c r="R101" s="3" t="str">
        <f>IF(OR(G101="12R",G101="12L"),_xlfn.XLOOKUP(C101,Tabla42[ADEP],Tabla42[SID 12R],""),IF(OR(G101="30L",G101="30R"),_xlfn.XLOOKUP(C101,Tabla42[ADEP],Tabla42[SID 30L],""),""))</f>
        <v>ENEBA</v>
      </c>
      <c r="S101" s="3">
        <f t="shared" si="1"/>
        <v>18</v>
      </c>
      <c r="T101" s="3" t="str">
        <f>_xlfn.XLOOKUP(C101,Tabla42[ADEP],Tabla42[Sector],"")</f>
        <v>Sector 3</v>
      </c>
    </row>
    <row r="102" spans="1:20" x14ac:dyDescent="0.2">
      <c r="A102" s="13" t="s">
        <v>227</v>
      </c>
      <c r="B102" s="13" t="s">
        <v>18</v>
      </c>
      <c r="C102" s="13" t="s">
        <v>133</v>
      </c>
      <c r="D102" s="13" t="s">
        <v>60</v>
      </c>
      <c r="E102" s="13" t="s">
        <v>567</v>
      </c>
      <c r="F102" s="14">
        <v>46298.774305555555</v>
      </c>
      <c r="G102" s="13" t="s">
        <v>21</v>
      </c>
      <c r="H102" s="13" t="s">
        <v>1663</v>
      </c>
      <c r="I102" s="15">
        <v>310</v>
      </c>
      <c r="J102" s="13" t="s">
        <v>22</v>
      </c>
      <c r="K102" s="13" t="s">
        <v>23</v>
      </c>
      <c r="L102" s="15">
        <v>222</v>
      </c>
      <c r="M102" s="13" t="s">
        <v>355</v>
      </c>
      <c r="N102" s="14">
        <v>46298.788391203707</v>
      </c>
      <c r="O102" s="15">
        <v>221</v>
      </c>
      <c r="P102" s="13" t="s">
        <v>25</v>
      </c>
      <c r="Q102" s="15">
        <v>40</v>
      </c>
      <c r="R102" s="3" t="str">
        <f>IF(OR(G102="12R",G102="12L"),_xlfn.XLOOKUP(C102,Tabla42[ADEP],Tabla42[SID 12R],""),IF(OR(G102="30L",G102="30R"),_xlfn.XLOOKUP(C102,Tabla42[ADEP],Tabla42[SID 30L],""),""))</f>
        <v>OMSUK</v>
      </c>
      <c r="S102" s="3">
        <f t="shared" si="1"/>
        <v>18</v>
      </c>
      <c r="T102" s="3" t="str">
        <f>_xlfn.XLOOKUP(C102,Tabla42[ADEP],Tabla42[Sector],"")</f>
        <v>Sector 3</v>
      </c>
    </row>
    <row r="103" spans="1:20" x14ac:dyDescent="0.2">
      <c r="A103" s="13" t="s">
        <v>237</v>
      </c>
      <c r="B103" s="13" t="s">
        <v>18</v>
      </c>
      <c r="C103" s="13" t="s">
        <v>116</v>
      </c>
      <c r="D103" s="13" t="s">
        <v>43</v>
      </c>
      <c r="E103" s="13" t="s">
        <v>549</v>
      </c>
      <c r="F103" s="14">
        <v>46298.775925925926</v>
      </c>
      <c r="G103" s="13" t="s">
        <v>21</v>
      </c>
      <c r="H103" s="13" t="s">
        <v>1664</v>
      </c>
      <c r="I103" s="15">
        <v>340</v>
      </c>
      <c r="J103" s="13" t="s">
        <v>22</v>
      </c>
      <c r="K103" s="13" t="s">
        <v>23</v>
      </c>
      <c r="L103" s="15">
        <v>715</v>
      </c>
      <c r="M103" s="13" t="s">
        <v>118</v>
      </c>
      <c r="N103" s="14">
        <v>46298.813564814816</v>
      </c>
      <c r="O103" s="15">
        <v>340</v>
      </c>
      <c r="P103" s="13" t="s">
        <v>25</v>
      </c>
      <c r="Q103" s="15">
        <v>40</v>
      </c>
      <c r="R103" s="3" t="str">
        <f>IF(OR(G103="12R",G103="12L"),_xlfn.XLOOKUP(C103,Tabla42[ADEP],Tabla42[SID 12R],""),IF(OR(G103="30L",G103="30R"),_xlfn.XLOOKUP(C103,Tabla42[ADEP],Tabla42[SID 30L],""),""))</f>
        <v>ENEBA</v>
      </c>
      <c r="S103" s="3">
        <f t="shared" si="1"/>
        <v>18</v>
      </c>
      <c r="T103" s="3" t="str">
        <f>_xlfn.XLOOKUP(C103,Tabla42[ADEP],Tabla42[Sector],"")</f>
        <v>Sector 3</v>
      </c>
    </row>
    <row r="104" spans="1:20" x14ac:dyDescent="0.2">
      <c r="A104" s="13" t="s">
        <v>228</v>
      </c>
      <c r="B104" s="13" t="s">
        <v>18</v>
      </c>
      <c r="C104" s="13" t="s">
        <v>27</v>
      </c>
      <c r="D104" s="13" t="s">
        <v>28</v>
      </c>
      <c r="E104" s="13" t="s">
        <v>29</v>
      </c>
      <c r="F104" s="14">
        <v>46298.777291666665</v>
      </c>
      <c r="G104" s="13" t="s">
        <v>21</v>
      </c>
      <c r="H104" s="13" t="s">
        <v>1665</v>
      </c>
      <c r="I104" s="15">
        <v>370</v>
      </c>
      <c r="J104" s="13" t="s">
        <v>22</v>
      </c>
      <c r="K104" s="13" t="s">
        <v>23</v>
      </c>
      <c r="L104" s="15">
        <v>219</v>
      </c>
      <c r="M104" s="13" t="s">
        <v>355</v>
      </c>
      <c r="N104" s="14">
        <v>46298.791458333333</v>
      </c>
      <c r="O104" s="15">
        <v>279</v>
      </c>
      <c r="P104" s="13" t="s">
        <v>25</v>
      </c>
      <c r="Q104" s="15">
        <v>40</v>
      </c>
      <c r="R104" s="3" t="str">
        <f>IF(OR(G104="12R",G104="12L"),_xlfn.XLOOKUP(C104,Tabla42[ADEP],Tabla42[SID 12R],""),IF(OR(G104="30L",G104="30R"),_xlfn.XLOOKUP(C104,Tabla42[ADEP],Tabla42[SID 30L],""),""))</f>
        <v>OMSUK</v>
      </c>
      <c r="S104" s="3">
        <f t="shared" si="1"/>
        <v>18</v>
      </c>
      <c r="T104" s="3" t="str">
        <f>_xlfn.XLOOKUP(C104,Tabla42[ADEP],Tabla42[Sector],"")</f>
        <v>Sector 3</v>
      </c>
    </row>
    <row r="105" spans="1:20" x14ac:dyDescent="0.2">
      <c r="A105" s="13" t="s">
        <v>238</v>
      </c>
      <c r="B105" s="13" t="s">
        <v>18</v>
      </c>
      <c r="C105" s="13" t="s">
        <v>239</v>
      </c>
      <c r="D105" s="13" t="s">
        <v>20</v>
      </c>
      <c r="E105" s="13" t="s">
        <v>712</v>
      </c>
      <c r="F105" s="14">
        <v>46298.778634259259</v>
      </c>
      <c r="G105" s="13" t="s">
        <v>21</v>
      </c>
      <c r="H105" s="13" t="s">
        <v>1666</v>
      </c>
      <c r="I105" s="15">
        <v>360</v>
      </c>
      <c r="J105" s="13" t="s">
        <v>22</v>
      </c>
      <c r="K105" s="13" t="s">
        <v>23</v>
      </c>
      <c r="L105" s="15">
        <v>855</v>
      </c>
      <c r="M105" s="13" t="s">
        <v>35</v>
      </c>
      <c r="N105" s="14">
        <v>46298.82240740741</v>
      </c>
      <c r="O105" s="15">
        <v>360</v>
      </c>
      <c r="P105" s="13" t="s">
        <v>25</v>
      </c>
      <c r="Q105" s="15">
        <v>190</v>
      </c>
      <c r="R105" s="3" t="str">
        <f>IF(OR(G105="12R",G105="12L"),_xlfn.XLOOKUP(C105,Tabla42[ADEP],Tabla42[SID 12R],""),IF(OR(G105="30L",G105="30R"),_xlfn.XLOOKUP(C105,Tabla42[ADEP],Tabla42[SID 30L],""),""))</f>
        <v>UDGUV</v>
      </c>
      <c r="S105" s="3">
        <f t="shared" si="1"/>
        <v>18</v>
      </c>
      <c r="T105" s="3" t="str">
        <f>_xlfn.XLOOKUP(C105,Tabla42[ADEP],Tabla42[Sector],"")</f>
        <v>Sector 2</v>
      </c>
    </row>
    <row r="106" spans="1:20" x14ac:dyDescent="0.2">
      <c r="A106" s="13" t="s">
        <v>1667</v>
      </c>
      <c r="B106" s="13" t="s">
        <v>18</v>
      </c>
      <c r="C106" s="13" t="s">
        <v>200</v>
      </c>
      <c r="D106" s="13" t="s">
        <v>110</v>
      </c>
      <c r="E106" s="13" t="s">
        <v>566</v>
      </c>
      <c r="F106" s="14">
        <v>46298.78225694444</v>
      </c>
      <c r="G106" s="13" t="s">
        <v>21</v>
      </c>
      <c r="H106" s="13" t="s">
        <v>1668</v>
      </c>
      <c r="I106" s="15">
        <v>380</v>
      </c>
      <c r="J106" s="13" t="s">
        <v>22</v>
      </c>
      <c r="K106" s="13" t="s">
        <v>23</v>
      </c>
      <c r="L106" s="15">
        <v>433</v>
      </c>
      <c r="M106" s="13" t="s">
        <v>189</v>
      </c>
      <c r="N106" s="14">
        <v>46298.805069444439</v>
      </c>
      <c r="O106" s="15">
        <v>360</v>
      </c>
      <c r="P106" s="13" t="s">
        <v>25</v>
      </c>
      <c r="Q106" s="15">
        <v>40</v>
      </c>
      <c r="R106" s="3" t="str">
        <f>IF(OR(G106="12R",G106="12L"),_xlfn.XLOOKUP(C106,Tabla42[ADEP],Tabla42[SID 12R],""),IF(OR(G106="30L",G106="30R"),_xlfn.XLOOKUP(C106,Tabla42[ADEP],Tabla42[SID 30L],""),""))</f>
        <v>OMSUK</v>
      </c>
      <c r="S106" s="3">
        <f t="shared" si="1"/>
        <v>18</v>
      </c>
      <c r="T106" s="3" t="str">
        <f>_xlfn.XLOOKUP(C106,Tabla42[ADEP],Tabla42[Sector],"")</f>
        <v>Sector 3</v>
      </c>
    </row>
    <row r="107" spans="1:20" x14ac:dyDescent="0.2">
      <c r="A107" s="13" t="s">
        <v>246</v>
      </c>
      <c r="B107" s="13" t="s">
        <v>18</v>
      </c>
      <c r="C107" s="13" t="s">
        <v>209</v>
      </c>
      <c r="D107" s="13" t="s">
        <v>110</v>
      </c>
      <c r="E107" s="13" t="s">
        <v>224</v>
      </c>
      <c r="F107" s="14">
        <v>46298.785625000004</v>
      </c>
      <c r="G107" s="13" t="s">
        <v>21</v>
      </c>
      <c r="H107" s="13" t="s">
        <v>1669</v>
      </c>
      <c r="I107" s="15">
        <v>400</v>
      </c>
      <c r="J107" s="13" t="s">
        <v>22</v>
      </c>
      <c r="K107" s="13" t="s">
        <v>23</v>
      </c>
      <c r="L107" s="15">
        <v>634</v>
      </c>
      <c r="M107" s="13" t="s">
        <v>1670</v>
      </c>
      <c r="N107" s="14">
        <v>46298.817442129628</v>
      </c>
      <c r="O107" s="15">
        <v>400</v>
      </c>
      <c r="P107" s="13" t="s">
        <v>25</v>
      </c>
      <c r="Q107" s="15">
        <v>40</v>
      </c>
      <c r="R107" s="3" t="str">
        <f>IF(OR(G107="12R",G107="12L"),_xlfn.XLOOKUP(C107,Tabla42[ADEP],Tabla42[SID 12R],""),IF(OR(G107="30L",G107="30R"),_xlfn.XLOOKUP(C107,Tabla42[ADEP],Tabla42[SID 30L],""),""))</f>
        <v>ENEBA</v>
      </c>
      <c r="S107" s="3">
        <f t="shared" si="1"/>
        <v>18</v>
      </c>
      <c r="T107" s="3" t="str">
        <f>_xlfn.XLOOKUP(C107,Tabla42[ADEP],Tabla42[Sector],"")</f>
        <v>Sector 3</v>
      </c>
    </row>
    <row r="108" spans="1:20" x14ac:dyDescent="0.2">
      <c r="A108" s="13" t="s">
        <v>235</v>
      </c>
      <c r="B108" s="13" t="s">
        <v>18</v>
      </c>
      <c r="C108" s="13" t="s">
        <v>62</v>
      </c>
      <c r="D108" s="13" t="s">
        <v>33</v>
      </c>
      <c r="E108" s="13" t="s">
        <v>532</v>
      </c>
      <c r="F108" s="14">
        <v>46298.788113425922</v>
      </c>
      <c r="G108" s="13" t="s">
        <v>21</v>
      </c>
      <c r="H108" s="13" t="s">
        <v>1671</v>
      </c>
      <c r="I108" s="15">
        <v>360</v>
      </c>
      <c r="J108" s="13" t="s">
        <v>22</v>
      </c>
      <c r="K108" s="13" t="s">
        <v>23</v>
      </c>
      <c r="L108" s="15">
        <v>866</v>
      </c>
      <c r="M108" s="13" t="s">
        <v>167</v>
      </c>
      <c r="N108" s="14">
        <v>46298.832465277781</v>
      </c>
      <c r="O108" s="15">
        <v>360</v>
      </c>
      <c r="P108" s="13" t="s">
        <v>25</v>
      </c>
      <c r="Q108" s="15">
        <v>190</v>
      </c>
      <c r="R108" s="3" t="str">
        <f>IF(OR(G108="12R",G108="12L"),_xlfn.XLOOKUP(C108,Tabla42[ADEP],Tabla42[SID 12R],""),IF(OR(G108="30L",G108="30R"),_xlfn.XLOOKUP(C108,Tabla42[ADEP],Tabla42[SID 30L],""),""))</f>
        <v>UDGUV</v>
      </c>
      <c r="S108" s="3">
        <f t="shared" si="1"/>
        <v>18</v>
      </c>
      <c r="T108" s="3" t="str">
        <f>_xlfn.XLOOKUP(C108,Tabla42[ADEP],Tabla42[Sector],"")</f>
        <v>Sector 2</v>
      </c>
    </row>
    <row r="109" spans="1:20" x14ac:dyDescent="0.2">
      <c r="A109" s="13" t="s">
        <v>1672</v>
      </c>
      <c r="B109" s="13" t="s">
        <v>18</v>
      </c>
      <c r="C109" s="13" t="s">
        <v>96</v>
      </c>
      <c r="D109" s="13" t="s">
        <v>53</v>
      </c>
      <c r="E109" s="13" t="s">
        <v>393</v>
      </c>
      <c r="F109" s="14">
        <v>46298.790555555555</v>
      </c>
      <c r="G109" s="13" t="s">
        <v>21</v>
      </c>
      <c r="H109" s="13" t="s">
        <v>1673</v>
      </c>
      <c r="I109" s="15">
        <v>380</v>
      </c>
      <c r="J109" s="13" t="s">
        <v>22</v>
      </c>
      <c r="K109" s="13" t="s">
        <v>23</v>
      </c>
      <c r="L109" s="15">
        <v>856</v>
      </c>
      <c r="M109" s="13" t="s">
        <v>45</v>
      </c>
      <c r="N109" s="14">
        <v>46298.834120370375</v>
      </c>
      <c r="O109" s="15">
        <v>380</v>
      </c>
      <c r="P109" s="13" t="s">
        <v>25</v>
      </c>
      <c r="Q109" s="15">
        <v>190</v>
      </c>
      <c r="R109" s="3" t="str">
        <f>IF(OR(G109="12R",G109="12L"),_xlfn.XLOOKUP(C109,Tabla42[ADEP],Tabla42[SID 12R],""),IF(OR(G109="30L",G109="30R"),_xlfn.XLOOKUP(C109,Tabla42[ADEP],Tabla42[SID 30L],""),""))</f>
        <v>UDGUV</v>
      </c>
      <c r="S109" s="3">
        <f t="shared" si="1"/>
        <v>18</v>
      </c>
      <c r="T109" s="3" t="str">
        <f>_xlfn.XLOOKUP(C109,Tabla42[ADEP],Tabla42[Sector],"")</f>
        <v>Sector 2</v>
      </c>
    </row>
    <row r="110" spans="1:20" x14ac:dyDescent="0.2">
      <c r="A110" s="13" t="s">
        <v>460</v>
      </c>
      <c r="B110" s="13" t="s">
        <v>18</v>
      </c>
      <c r="C110" s="13" t="s">
        <v>126</v>
      </c>
      <c r="D110" s="13" t="s">
        <v>20</v>
      </c>
      <c r="E110" s="13" t="s">
        <v>1432</v>
      </c>
      <c r="F110" s="14">
        <v>46298.79184027778</v>
      </c>
      <c r="G110" s="13" t="s">
        <v>21</v>
      </c>
      <c r="H110" s="13" t="s">
        <v>1674</v>
      </c>
      <c r="I110" s="15">
        <v>360</v>
      </c>
      <c r="J110" s="13" t="s">
        <v>22</v>
      </c>
      <c r="K110" s="13" t="s">
        <v>23</v>
      </c>
      <c r="L110" s="15">
        <v>437</v>
      </c>
      <c r="M110" s="13" t="s">
        <v>189</v>
      </c>
      <c r="N110" s="14">
        <v>46298.814780092594</v>
      </c>
      <c r="O110" s="15">
        <v>360</v>
      </c>
      <c r="P110" s="13" t="s">
        <v>25</v>
      </c>
      <c r="Q110" s="15">
        <v>40</v>
      </c>
      <c r="R110" s="3" t="str">
        <f>IF(OR(G110="12R",G110="12L"),_xlfn.XLOOKUP(C110,Tabla42[ADEP],Tabla42[SID 12R],""),IF(OR(G110="30L",G110="30R"),_xlfn.XLOOKUP(C110,Tabla42[ADEP],Tabla42[SID 30L],""),""))</f>
        <v>ENEBA</v>
      </c>
      <c r="S110" s="3">
        <f t="shared" si="1"/>
        <v>19</v>
      </c>
      <c r="T110" s="3" t="str">
        <f>_xlfn.XLOOKUP(C110,Tabla42[ADEP],Tabla42[Sector],"")</f>
        <v>Sector 3</v>
      </c>
    </row>
    <row r="111" spans="1:20" x14ac:dyDescent="0.2">
      <c r="A111" s="13" t="s">
        <v>445</v>
      </c>
      <c r="B111" s="13" t="s">
        <v>18</v>
      </c>
      <c r="C111" s="13" t="s">
        <v>263</v>
      </c>
      <c r="D111" s="13" t="s">
        <v>110</v>
      </c>
      <c r="E111" s="13" t="s">
        <v>201</v>
      </c>
      <c r="F111" s="14">
        <v>46298.795104166667</v>
      </c>
      <c r="G111" s="13" t="s">
        <v>21</v>
      </c>
      <c r="H111" s="13" t="s">
        <v>820</v>
      </c>
      <c r="I111" s="15">
        <v>350</v>
      </c>
      <c r="J111" s="13" t="s">
        <v>22</v>
      </c>
      <c r="K111" s="13" t="s">
        <v>23</v>
      </c>
      <c r="L111" s="15">
        <v>134</v>
      </c>
      <c r="M111" s="13" t="s">
        <v>39</v>
      </c>
      <c r="N111" s="14">
        <v>46298.803842592592</v>
      </c>
      <c r="O111" s="15">
        <v>269</v>
      </c>
      <c r="P111" s="13" t="s">
        <v>25</v>
      </c>
      <c r="Q111" s="15">
        <v>190</v>
      </c>
      <c r="R111" s="3" t="str">
        <f>IF(OR(G111="12R",G111="12L"),_xlfn.XLOOKUP(C111,Tabla42[ADEP],Tabla42[SID 12R],""),IF(OR(G111="30L",G111="30R"),_xlfn.XLOOKUP(C111,Tabla42[ADEP],Tabla42[SID 30L],""),""))</f>
        <v>OMSUK</v>
      </c>
      <c r="S111" s="3">
        <f t="shared" si="1"/>
        <v>19</v>
      </c>
      <c r="T111" s="3" t="str">
        <f>_xlfn.XLOOKUP(C111,Tabla42[ADEP],Tabla42[Sector],"")</f>
        <v>Sector 3</v>
      </c>
    </row>
    <row r="112" spans="1:20" x14ac:dyDescent="0.2">
      <c r="A112" s="13" t="s">
        <v>245</v>
      </c>
      <c r="B112" s="13" t="s">
        <v>18</v>
      </c>
      <c r="C112" s="13" t="s">
        <v>109</v>
      </c>
      <c r="D112" s="13" t="s">
        <v>43</v>
      </c>
      <c r="E112" s="13" t="s">
        <v>1675</v>
      </c>
      <c r="F112" s="14">
        <v>46298.797025462962</v>
      </c>
      <c r="G112" s="13" t="s">
        <v>21</v>
      </c>
      <c r="H112" s="13" t="s">
        <v>1676</v>
      </c>
      <c r="I112" s="15">
        <v>350</v>
      </c>
      <c r="J112" s="13" t="s">
        <v>22</v>
      </c>
      <c r="K112" s="13" t="s">
        <v>23</v>
      </c>
      <c r="L112" s="15">
        <v>149</v>
      </c>
      <c r="M112" s="13" t="s">
        <v>111</v>
      </c>
      <c r="N112" s="14">
        <v>46298.807743055557</v>
      </c>
      <c r="O112" s="15">
        <v>275</v>
      </c>
      <c r="P112" s="13" t="s">
        <v>25</v>
      </c>
      <c r="Q112" s="15">
        <v>190</v>
      </c>
      <c r="R112" s="3" t="str">
        <f>IF(OR(G112="12R",G112="12L"),_xlfn.XLOOKUP(C112,Tabla42[ADEP],Tabla42[SID 12R],""),IF(OR(G112="30L",G112="30R"),_xlfn.XLOOKUP(C112,Tabla42[ADEP],Tabla42[SID 30L],""),""))</f>
        <v>TAKUX</v>
      </c>
      <c r="S112" s="3">
        <f t="shared" si="1"/>
        <v>19</v>
      </c>
      <c r="T112" s="3" t="str">
        <f>_xlfn.XLOOKUP(C112,Tabla42[ADEP],Tabla42[Sector],"")</f>
        <v>Sector 7</v>
      </c>
    </row>
    <row r="113" spans="1:20" x14ac:dyDescent="0.2">
      <c r="A113" s="13" t="s">
        <v>595</v>
      </c>
      <c r="B113" s="13" t="s">
        <v>18</v>
      </c>
      <c r="C113" s="13" t="s">
        <v>596</v>
      </c>
      <c r="D113" s="13" t="s">
        <v>122</v>
      </c>
      <c r="E113" s="13" t="s">
        <v>658</v>
      </c>
      <c r="F113" s="14">
        <v>46298.798287037032</v>
      </c>
      <c r="G113" s="13" t="s">
        <v>21</v>
      </c>
      <c r="H113" s="13" t="s">
        <v>1677</v>
      </c>
      <c r="I113" s="15">
        <v>360</v>
      </c>
      <c r="J113" s="13" t="s">
        <v>22</v>
      </c>
      <c r="K113" s="13" t="s">
        <v>23</v>
      </c>
      <c r="L113" s="15">
        <v>436</v>
      </c>
      <c r="M113" s="13" t="s">
        <v>189</v>
      </c>
      <c r="N113" s="14">
        <v>46298.821655092594</v>
      </c>
      <c r="O113" s="15">
        <v>360</v>
      </c>
      <c r="P113" s="13" t="s">
        <v>25</v>
      </c>
      <c r="Q113" s="15">
        <v>40</v>
      </c>
      <c r="R113" s="3" t="str">
        <f>IF(OR(G113="12R",G113="12L"),_xlfn.XLOOKUP(C113,Tabla42[ADEP],Tabla42[SID 12R],""),IF(OR(G113="30L",G113="30R"),_xlfn.XLOOKUP(C113,Tabla42[ADEP],Tabla42[SID 30L],""),""))</f>
        <v>OMSUK</v>
      </c>
      <c r="S113" s="3">
        <f t="shared" si="1"/>
        <v>19</v>
      </c>
      <c r="T113" s="3" t="str">
        <f>_xlfn.XLOOKUP(C113,Tabla42[ADEP],Tabla42[Sector],"")</f>
        <v>Sector 3</v>
      </c>
    </row>
    <row r="114" spans="1:20" x14ac:dyDescent="0.2">
      <c r="A114" s="13" t="s">
        <v>248</v>
      </c>
      <c r="B114" s="13" t="s">
        <v>18</v>
      </c>
      <c r="C114" s="13" t="s">
        <v>215</v>
      </c>
      <c r="D114" s="13" t="s">
        <v>117</v>
      </c>
      <c r="E114" s="13" t="s">
        <v>1072</v>
      </c>
      <c r="F114" s="14">
        <v>46298.799664351856</v>
      </c>
      <c r="G114" s="13" t="s">
        <v>21</v>
      </c>
      <c r="H114" s="13" t="s">
        <v>1678</v>
      </c>
      <c r="I114" s="15">
        <v>320</v>
      </c>
      <c r="J114" s="13" t="s">
        <v>22</v>
      </c>
      <c r="K114" s="13" t="s">
        <v>23</v>
      </c>
      <c r="L114" s="15">
        <v>371</v>
      </c>
      <c r="M114" s="13" t="s">
        <v>585</v>
      </c>
      <c r="N114" s="14">
        <v>46298.819571759261</v>
      </c>
      <c r="O114" s="15">
        <v>330</v>
      </c>
      <c r="P114" s="13" t="s">
        <v>25</v>
      </c>
      <c r="Q114" s="15">
        <v>40</v>
      </c>
      <c r="R114" s="3" t="str">
        <f>IF(OR(G114="12R",G114="12L"),_xlfn.XLOOKUP(C114,Tabla42[ADEP],Tabla42[SID 12R],""),IF(OR(G114="30L",G114="30R"),_xlfn.XLOOKUP(C114,Tabla42[ADEP],Tabla42[SID 30L],""),""))</f>
        <v>OMSUK</v>
      </c>
      <c r="S114" s="3">
        <f t="shared" si="1"/>
        <v>19</v>
      </c>
      <c r="T114" s="3" t="str">
        <f>_xlfn.XLOOKUP(C114,Tabla42[ADEP],Tabla42[Sector],"")</f>
        <v>Sector 3</v>
      </c>
    </row>
    <row r="115" spans="1:20" x14ac:dyDescent="0.2">
      <c r="A115" s="13" t="s">
        <v>229</v>
      </c>
      <c r="B115" s="13" t="s">
        <v>18</v>
      </c>
      <c r="C115" s="13" t="s">
        <v>230</v>
      </c>
      <c r="D115" s="13" t="s">
        <v>231</v>
      </c>
      <c r="E115" s="13" t="s">
        <v>591</v>
      </c>
      <c r="F115" s="14">
        <v>46298.801446759258</v>
      </c>
      <c r="G115" s="13" t="s">
        <v>21</v>
      </c>
      <c r="H115" s="13" t="s">
        <v>1679</v>
      </c>
      <c r="I115" s="15">
        <v>100</v>
      </c>
      <c r="J115" s="13" t="s">
        <v>22</v>
      </c>
      <c r="K115" s="13" t="s">
        <v>23</v>
      </c>
      <c r="L115" s="15">
        <v>345</v>
      </c>
      <c r="M115" s="13" t="s">
        <v>230</v>
      </c>
      <c r="N115" s="14">
        <v>46298.872523148151</v>
      </c>
      <c r="O115" s="15">
        <v>0</v>
      </c>
      <c r="P115" s="13" t="s">
        <v>129</v>
      </c>
      <c r="Q115" s="15">
        <v>40</v>
      </c>
      <c r="R115" s="3" t="str">
        <f>IF(OR(G115="12R",G115="12L"),_xlfn.XLOOKUP(C115,Tabla42[ADEP],Tabla42[SID 12R],""),IF(OR(G115="30L",G115="30R"),_xlfn.XLOOKUP(C115,Tabla42[ADEP],Tabla42[SID 30L],""),""))</f>
        <v>CZM</v>
      </c>
      <c r="S115" s="3">
        <f t="shared" si="1"/>
        <v>19</v>
      </c>
      <c r="T115" s="3" t="str">
        <f>_xlfn.XLOOKUP(C115,Tabla42[ADEP],Tabla42[Sector],"")</f>
        <v>Sector 7</v>
      </c>
    </row>
    <row r="116" spans="1:20" x14ac:dyDescent="0.2">
      <c r="A116" s="13" t="s">
        <v>387</v>
      </c>
      <c r="B116" s="13" t="s">
        <v>18</v>
      </c>
      <c r="C116" s="13" t="s">
        <v>388</v>
      </c>
      <c r="D116" s="13" t="s">
        <v>60</v>
      </c>
      <c r="E116" s="13" t="s">
        <v>1002</v>
      </c>
      <c r="F116" s="14">
        <v>46298.803530092591</v>
      </c>
      <c r="G116" s="13" t="s">
        <v>21</v>
      </c>
      <c r="H116" s="13" t="s">
        <v>1680</v>
      </c>
      <c r="I116" s="15">
        <v>340</v>
      </c>
      <c r="J116" s="13" t="s">
        <v>22</v>
      </c>
      <c r="K116" s="13" t="s">
        <v>23</v>
      </c>
      <c r="L116" s="15">
        <v>546</v>
      </c>
      <c r="M116" s="13" t="s">
        <v>1681</v>
      </c>
      <c r="N116" s="14">
        <v>46298.832557870366</v>
      </c>
      <c r="O116" s="15">
        <v>320</v>
      </c>
      <c r="P116" s="13" t="s">
        <v>25</v>
      </c>
      <c r="Q116" s="15">
        <v>40</v>
      </c>
      <c r="R116" s="3" t="str">
        <f>IF(OR(G116="12R",G116="12L"),_xlfn.XLOOKUP(C116,Tabla42[ADEP],Tabla42[SID 12R],""),IF(OR(G116="30L",G116="30R"),_xlfn.XLOOKUP(C116,Tabla42[ADEP],Tabla42[SID 30L],""),""))</f>
        <v>ENEBA</v>
      </c>
      <c r="S116" s="3">
        <f t="shared" si="1"/>
        <v>19</v>
      </c>
      <c r="T116" s="3" t="str">
        <f>_xlfn.XLOOKUP(C116,Tabla42[ADEP],Tabla42[Sector],"")</f>
        <v>Sector 3</v>
      </c>
    </row>
    <row r="117" spans="1:20" x14ac:dyDescent="0.2">
      <c r="A117" s="13" t="s">
        <v>247</v>
      </c>
      <c r="B117" s="13" t="s">
        <v>18</v>
      </c>
      <c r="C117" s="13" t="s">
        <v>137</v>
      </c>
      <c r="D117" s="13" t="s">
        <v>20</v>
      </c>
      <c r="E117" s="13" t="s">
        <v>811</v>
      </c>
      <c r="F117" s="14">
        <v>46298.80431712963</v>
      </c>
      <c r="G117" s="13" t="s">
        <v>21</v>
      </c>
      <c r="H117" s="13" t="s">
        <v>1682</v>
      </c>
      <c r="I117" s="15">
        <v>370</v>
      </c>
      <c r="J117" s="13" t="s">
        <v>22</v>
      </c>
      <c r="K117" s="13" t="s">
        <v>23</v>
      </c>
      <c r="L117" s="15">
        <v>135</v>
      </c>
      <c r="M117" s="13" t="s">
        <v>39</v>
      </c>
      <c r="N117" s="14">
        <v>46298.813761574071</v>
      </c>
      <c r="O117" s="15">
        <v>278</v>
      </c>
      <c r="P117" s="13" t="s">
        <v>25</v>
      </c>
      <c r="Q117" s="15">
        <v>190</v>
      </c>
      <c r="R117" s="3" t="str">
        <f>IF(OR(G117="12R",G117="12L"),_xlfn.XLOOKUP(C117,Tabla42[ADEP],Tabla42[SID 12R],""),IF(OR(G117="30L",G117="30R"),_xlfn.XLOOKUP(C117,Tabla42[ADEP],Tabla42[SID 30L],""),""))</f>
        <v>NUDAL</v>
      </c>
      <c r="S117" s="3">
        <f t="shared" si="1"/>
        <v>19</v>
      </c>
      <c r="T117" s="3" t="str">
        <f>_xlfn.XLOOKUP(C117,Tabla42[ADEP],Tabla42[Sector],"")</f>
        <v>Sector 3</v>
      </c>
    </row>
    <row r="118" spans="1:20" x14ac:dyDescent="0.2">
      <c r="A118" s="13" t="s">
        <v>600</v>
      </c>
      <c r="B118" s="13" t="s">
        <v>18</v>
      </c>
      <c r="C118" s="13" t="s">
        <v>293</v>
      </c>
      <c r="D118" s="13" t="s">
        <v>20</v>
      </c>
      <c r="E118" s="13" t="s">
        <v>1683</v>
      </c>
      <c r="F118" s="14">
        <v>46298.805497685185</v>
      </c>
      <c r="G118" s="13" t="s">
        <v>21</v>
      </c>
      <c r="H118" s="13" t="s">
        <v>1684</v>
      </c>
      <c r="I118" s="15">
        <v>320</v>
      </c>
      <c r="J118" s="13" t="s">
        <v>22</v>
      </c>
      <c r="K118" s="13" t="s">
        <v>23</v>
      </c>
      <c r="L118" s="15">
        <v>878</v>
      </c>
      <c r="M118" s="13" t="s">
        <v>167</v>
      </c>
      <c r="N118" s="14">
        <v>46298.850046296298</v>
      </c>
      <c r="O118" s="15">
        <v>320</v>
      </c>
      <c r="P118" s="13" t="s">
        <v>25</v>
      </c>
      <c r="Q118" s="15">
        <v>190</v>
      </c>
      <c r="R118" s="3" t="str">
        <f>IF(OR(G118="12R",G118="12L"),_xlfn.XLOOKUP(C118,Tabla42[ADEP],Tabla42[SID 12R],""),IF(OR(G118="30L",G118="30R"),_xlfn.XLOOKUP(C118,Tabla42[ADEP],Tabla42[SID 30L],""),""))</f>
        <v>UDGUV</v>
      </c>
      <c r="S118" s="3">
        <f t="shared" si="1"/>
        <v>19</v>
      </c>
      <c r="T118" s="3" t="str">
        <f>_xlfn.XLOOKUP(C118,Tabla42[ADEP],Tabla42[Sector],"")</f>
        <v>Sector 2</v>
      </c>
    </row>
    <row r="119" spans="1:20" x14ac:dyDescent="0.2">
      <c r="A119" s="13" t="s">
        <v>454</v>
      </c>
      <c r="B119" s="13" t="s">
        <v>18</v>
      </c>
      <c r="C119" s="13" t="s">
        <v>242</v>
      </c>
      <c r="D119" s="13" t="s">
        <v>243</v>
      </c>
      <c r="E119" s="13" t="s">
        <v>1012</v>
      </c>
      <c r="F119" s="14">
        <v>46298.806354166663</v>
      </c>
      <c r="G119" s="13" t="s">
        <v>21</v>
      </c>
      <c r="H119" s="13" t="s">
        <v>1685</v>
      </c>
      <c r="I119" s="15">
        <v>350</v>
      </c>
      <c r="J119" s="13" t="s">
        <v>22</v>
      </c>
      <c r="K119" s="13" t="s">
        <v>23</v>
      </c>
      <c r="L119" s="15">
        <v>383</v>
      </c>
      <c r="M119" s="13" t="s">
        <v>250</v>
      </c>
      <c r="N119" s="14">
        <v>46298.826597222222</v>
      </c>
      <c r="O119" s="15">
        <v>350</v>
      </c>
      <c r="P119" s="13" t="s">
        <v>40</v>
      </c>
      <c r="Q119" s="15">
        <v>40</v>
      </c>
      <c r="R119" s="3" t="str">
        <f>IF(OR(G119="12R",G119="12L"),_xlfn.XLOOKUP(C119,Tabla42[ADEP],Tabla42[SID 12R],""),IF(OR(G119="30L",G119="30R"),_xlfn.XLOOKUP(C119,Tabla42[ADEP],Tabla42[SID 30L],""),""))</f>
        <v>NUDAL</v>
      </c>
      <c r="S119" s="3">
        <f t="shared" si="1"/>
        <v>19</v>
      </c>
      <c r="T119" s="3" t="str">
        <f>_xlfn.XLOOKUP(C119,Tabla42[ADEP],Tabla42[Sector],"")</f>
        <v>Sector 3</v>
      </c>
    </row>
    <row r="120" spans="1:20" x14ac:dyDescent="0.2">
      <c r="A120" s="13" t="s">
        <v>225</v>
      </c>
      <c r="B120" s="13" t="s">
        <v>18</v>
      </c>
      <c r="C120" s="13" t="s">
        <v>27</v>
      </c>
      <c r="D120" s="13" t="s">
        <v>226</v>
      </c>
      <c r="E120" s="13" t="s">
        <v>1686</v>
      </c>
      <c r="F120" s="14">
        <v>46298.808252314819</v>
      </c>
      <c r="G120" s="13" t="s">
        <v>21</v>
      </c>
      <c r="H120" s="13" t="s">
        <v>1687</v>
      </c>
      <c r="I120" s="15">
        <v>320</v>
      </c>
      <c r="J120" s="13" t="s">
        <v>22</v>
      </c>
      <c r="K120" s="13" t="s">
        <v>23</v>
      </c>
      <c r="L120" s="15">
        <v>438</v>
      </c>
      <c r="M120" s="13" t="s">
        <v>189</v>
      </c>
      <c r="N120" s="14">
        <v>46298.832673611112</v>
      </c>
      <c r="O120" s="15">
        <v>360</v>
      </c>
      <c r="P120" s="13" t="s">
        <v>25</v>
      </c>
      <c r="Q120" s="15">
        <v>40</v>
      </c>
      <c r="R120" s="3" t="str">
        <f>IF(OR(G120="12R",G120="12L"),_xlfn.XLOOKUP(C120,Tabla42[ADEP],Tabla42[SID 12R],""),IF(OR(G120="30L",G120="30R"),_xlfn.XLOOKUP(C120,Tabla42[ADEP],Tabla42[SID 30L],""),""))</f>
        <v>OMSUK</v>
      </c>
      <c r="S120" s="3">
        <f t="shared" si="1"/>
        <v>19</v>
      </c>
      <c r="T120" s="3" t="str">
        <f>_xlfn.XLOOKUP(C120,Tabla42[ADEP],Tabla42[Sector],"")</f>
        <v>Sector 3</v>
      </c>
    </row>
    <row r="121" spans="1:20" x14ac:dyDescent="0.2">
      <c r="A121" s="13" t="s">
        <v>1688</v>
      </c>
      <c r="B121" s="13" t="s">
        <v>18</v>
      </c>
      <c r="C121" s="13" t="s">
        <v>478</v>
      </c>
      <c r="D121" s="13" t="s">
        <v>28</v>
      </c>
      <c r="E121" s="13" t="s">
        <v>530</v>
      </c>
      <c r="F121" s="14">
        <v>46298.809108796297</v>
      </c>
      <c r="G121" s="13" t="s">
        <v>21</v>
      </c>
      <c r="H121" s="13" t="s">
        <v>1689</v>
      </c>
      <c r="I121" s="15">
        <v>380</v>
      </c>
      <c r="J121" s="13" t="s">
        <v>22</v>
      </c>
      <c r="K121" s="13" t="s">
        <v>23</v>
      </c>
      <c r="L121" s="15">
        <v>879</v>
      </c>
      <c r="M121" s="13" t="s">
        <v>35</v>
      </c>
      <c r="N121" s="14">
        <v>46298.85324074074</v>
      </c>
      <c r="O121" s="15">
        <v>390</v>
      </c>
      <c r="P121" s="13" t="s">
        <v>25</v>
      </c>
      <c r="Q121" s="15">
        <v>190</v>
      </c>
      <c r="R121" s="3" t="str">
        <f>IF(OR(G121="12R",G121="12L"),_xlfn.XLOOKUP(C121,Tabla42[ADEP],Tabla42[SID 12R],""),IF(OR(G121="30L",G121="30R"),_xlfn.XLOOKUP(C121,Tabla42[ADEP],Tabla42[SID 30L],""),""))</f>
        <v>ENEBA</v>
      </c>
      <c r="S121" s="3">
        <f t="shared" si="1"/>
        <v>19</v>
      </c>
      <c r="T121" s="3" t="str">
        <f>_xlfn.XLOOKUP(C121,Tabla42[ADEP],Tabla42[Sector],"")</f>
        <v>Sector 3</v>
      </c>
    </row>
    <row r="122" spans="1:20" x14ac:dyDescent="0.2">
      <c r="A122" s="13" t="s">
        <v>241</v>
      </c>
      <c r="B122" s="13" t="s">
        <v>18</v>
      </c>
      <c r="C122" s="13" t="s">
        <v>121</v>
      </c>
      <c r="D122" s="13" t="s">
        <v>60</v>
      </c>
      <c r="E122" s="13" t="s">
        <v>723</v>
      </c>
      <c r="F122" s="14">
        <v>46298.809895833328</v>
      </c>
      <c r="G122" s="13" t="s">
        <v>21</v>
      </c>
      <c r="H122" s="13" t="s">
        <v>1690</v>
      </c>
      <c r="I122" s="15">
        <v>360</v>
      </c>
      <c r="J122" s="13" t="s">
        <v>22</v>
      </c>
      <c r="K122" s="13" t="s">
        <v>23</v>
      </c>
      <c r="L122" s="15">
        <v>592</v>
      </c>
      <c r="M122" s="13" t="s">
        <v>1691</v>
      </c>
      <c r="N122" s="14">
        <v>46298.840590277774</v>
      </c>
      <c r="O122" s="15">
        <v>320</v>
      </c>
      <c r="P122" s="13" t="s">
        <v>25</v>
      </c>
      <c r="Q122" s="15">
        <v>40</v>
      </c>
      <c r="R122" s="3" t="str">
        <f>IF(OR(G122="12R",G122="12L"),_xlfn.XLOOKUP(C122,Tabla42[ADEP],Tabla42[SID 12R],""),IF(OR(G122="30L",G122="30R"),_xlfn.XLOOKUP(C122,Tabla42[ADEP],Tabla42[SID 30L],""),""))</f>
        <v>ENEBA</v>
      </c>
      <c r="S122" s="3">
        <f t="shared" si="1"/>
        <v>19</v>
      </c>
      <c r="T122" s="3" t="str">
        <f>_xlfn.XLOOKUP(C122,Tabla42[ADEP],Tabla42[Sector],"")</f>
        <v>Sector 3</v>
      </c>
    </row>
    <row r="123" spans="1:20" x14ac:dyDescent="0.2">
      <c r="A123" s="13" t="s">
        <v>1051</v>
      </c>
      <c r="B123" s="13" t="s">
        <v>18</v>
      </c>
      <c r="C123" s="13" t="s">
        <v>65</v>
      </c>
      <c r="D123" s="13" t="s">
        <v>124</v>
      </c>
      <c r="E123" s="13"/>
      <c r="F123" s="14">
        <v>46298.810601851852</v>
      </c>
      <c r="G123" s="13" t="s">
        <v>21</v>
      </c>
      <c r="H123" s="13" t="s">
        <v>1021</v>
      </c>
      <c r="I123" s="15">
        <v>220</v>
      </c>
      <c r="J123" s="13" t="s">
        <v>22</v>
      </c>
      <c r="K123" s="13" t="s">
        <v>50</v>
      </c>
      <c r="L123" s="15">
        <v>358</v>
      </c>
      <c r="M123" s="13" t="s">
        <v>65</v>
      </c>
      <c r="N123" s="14">
        <v>46298.837268518517</v>
      </c>
      <c r="O123" s="15">
        <v>0</v>
      </c>
      <c r="P123" s="13" t="s">
        <v>25</v>
      </c>
      <c r="Q123" s="15">
        <v>30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13" t="s">
        <v>232</v>
      </c>
      <c r="B124" s="13" t="s">
        <v>18</v>
      </c>
      <c r="C124" s="13" t="s">
        <v>233</v>
      </c>
      <c r="D124" s="13" t="s">
        <v>110</v>
      </c>
      <c r="E124" s="13" t="s">
        <v>722</v>
      </c>
      <c r="F124" s="14">
        <v>46298.81181712963</v>
      </c>
      <c r="G124" s="13" t="s">
        <v>21</v>
      </c>
      <c r="H124" s="13" t="s">
        <v>1692</v>
      </c>
      <c r="I124" s="15">
        <v>400</v>
      </c>
      <c r="J124" s="13" t="s">
        <v>22</v>
      </c>
      <c r="K124" s="13" t="s">
        <v>23</v>
      </c>
      <c r="L124" s="15">
        <v>601</v>
      </c>
      <c r="M124" s="13" t="s">
        <v>1693</v>
      </c>
      <c r="N124" s="14">
        <v>46298.842280092591</v>
      </c>
      <c r="O124" s="15">
        <v>400</v>
      </c>
      <c r="P124" s="13" t="s">
        <v>25</v>
      </c>
      <c r="Q124" s="15">
        <v>40</v>
      </c>
      <c r="R124" s="3" t="str">
        <f>IF(OR(G124="12R",G124="12L"),_xlfn.XLOOKUP(C124,Tabla42[ADEP],Tabla42[SID 12R],""),IF(OR(G124="30L",G124="30R"),_xlfn.XLOOKUP(C124,Tabla42[ADEP],Tabla42[SID 30L],""),""))</f>
        <v>UDGUV</v>
      </c>
      <c r="S124" s="3">
        <f t="shared" si="1"/>
        <v>19</v>
      </c>
      <c r="T124" s="3" t="str">
        <f>_xlfn.XLOOKUP(C124,Tabla42[ADEP],Tabla42[Sector],"")</f>
        <v>Sector 2</v>
      </c>
    </row>
    <row r="125" spans="1:20" x14ac:dyDescent="0.2">
      <c r="A125" s="13" t="s">
        <v>261</v>
      </c>
      <c r="B125" s="13" t="s">
        <v>18</v>
      </c>
      <c r="C125" s="13" t="s">
        <v>158</v>
      </c>
      <c r="D125" s="13" t="s">
        <v>33</v>
      </c>
      <c r="E125" s="13" t="s">
        <v>713</v>
      </c>
      <c r="F125" s="14">
        <v>46298.812939814816</v>
      </c>
      <c r="G125" s="13" t="s">
        <v>21</v>
      </c>
      <c r="H125" s="13" t="s">
        <v>1694</v>
      </c>
      <c r="I125" s="15">
        <v>330</v>
      </c>
      <c r="J125" s="13" t="s">
        <v>22</v>
      </c>
      <c r="K125" s="13" t="s">
        <v>23</v>
      </c>
      <c r="L125" s="15">
        <v>136</v>
      </c>
      <c r="M125" s="13" t="s">
        <v>39</v>
      </c>
      <c r="N125" s="14">
        <v>46298.822245370371</v>
      </c>
      <c r="O125" s="15">
        <v>216</v>
      </c>
      <c r="P125" s="13" t="s">
        <v>25</v>
      </c>
      <c r="Q125" s="15">
        <v>190</v>
      </c>
      <c r="R125" s="3" t="str">
        <f>IF(OR(G125="12R",G125="12L"),_xlfn.XLOOKUP(C125,Tabla42[ADEP],Tabla42[SID 12R],""),IF(OR(G125="30L",G125="30R"),_xlfn.XLOOKUP(C125,Tabla42[ADEP],Tabla42[SID 30L],""),""))</f>
        <v>OMSUK</v>
      </c>
      <c r="S125" s="3">
        <f t="shared" si="1"/>
        <v>19</v>
      </c>
      <c r="T125" s="3" t="str">
        <f>_xlfn.XLOOKUP(C125,Tabla42[ADEP],Tabla42[Sector],"")</f>
        <v>Sector 3</v>
      </c>
    </row>
    <row r="126" spans="1:20" x14ac:dyDescent="0.2">
      <c r="A126" s="13" t="s">
        <v>259</v>
      </c>
      <c r="B126" s="13" t="s">
        <v>18</v>
      </c>
      <c r="C126" s="13" t="s">
        <v>32</v>
      </c>
      <c r="D126" s="13" t="s">
        <v>53</v>
      </c>
      <c r="E126" s="13" t="s">
        <v>1023</v>
      </c>
      <c r="F126" s="14">
        <v>46298.813703703709</v>
      </c>
      <c r="G126" s="13" t="s">
        <v>21</v>
      </c>
      <c r="H126" s="13" t="s">
        <v>1695</v>
      </c>
      <c r="I126" s="15">
        <v>360</v>
      </c>
      <c r="J126" s="13" t="s">
        <v>22</v>
      </c>
      <c r="K126" s="13" t="s">
        <v>23</v>
      </c>
      <c r="L126" s="15">
        <v>882</v>
      </c>
      <c r="M126" s="13" t="s">
        <v>35</v>
      </c>
      <c r="N126" s="14">
        <v>46298.859212962961</v>
      </c>
      <c r="O126" s="15">
        <v>360</v>
      </c>
      <c r="P126" s="13" t="s">
        <v>25</v>
      </c>
      <c r="Q126" s="15">
        <v>190</v>
      </c>
      <c r="R126" s="3" t="str">
        <f>IF(OR(G126="12R",G126="12L"),_xlfn.XLOOKUP(C126,Tabla42[ADEP],Tabla42[SID 12R],""),IF(OR(G126="30L",G126="30R"),_xlfn.XLOOKUP(C126,Tabla42[ADEP],Tabla42[SID 30L],""),""))</f>
        <v>UDGUV</v>
      </c>
      <c r="S126" s="3">
        <f t="shared" si="1"/>
        <v>19</v>
      </c>
      <c r="T126" s="3" t="str">
        <f>_xlfn.XLOOKUP(C126,Tabla42[ADEP],Tabla42[Sector],"")</f>
        <v>Sector 2</v>
      </c>
    </row>
    <row r="127" spans="1:20" x14ac:dyDescent="0.2">
      <c r="A127" s="13" t="s">
        <v>597</v>
      </c>
      <c r="B127" s="13" t="s">
        <v>18</v>
      </c>
      <c r="C127" s="13" t="s">
        <v>598</v>
      </c>
      <c r="D127" s="13" t="s">
        <v>28</v>
      </c>
      <c r="E127" s="13" t="s">
        <v>1696</v>
      </c>
      <c r="F127" s="14">
        <v>46298.814571759256</v>
      </c>
      <c r="G127" s="13" t="s">
        <v>21</v>
      </c>
      <c r="H127" s="13" t="s">
        <v>1697</v>
      </c>
      <c r="I127" s="15">
        <v>380</v>
      </c>
      <c r="J127" s="13" t="s">
        <v>22</v>
      </c>
      <c r="K127" s="13" t="s">
        <v>23</v>
      </c>
      <c r="L127" s="15">
        <v>436</v>
      </c>
      <c r="M127" s="13" t="s">
        <v>189</v>
      </c>
      <c r="N127" s="14">
        <v>46298.837916666671</v>
      </c>
      <c r="O127" s="15">
        <v>380</v>
      </c>
      <c r="P127" s="13" t="s">
        <v>25</v>
      </c>
      <c r="Q127" s="15">
        <v>40</v>
      </c>
      <c r="R127" s="3" t="str">
        <f>IF(OR(G127="12R",G127="12L"),_xlfn.XLOOKUP(C127,Tabla42[ADEP],Tabla42[SID 12R],""),IF(OR(G127="30L",G127="30R"),_xlfn.XLOOKUP(C127,Tabla42[ADEP],Tabla42[SID 30L],""),""))</f>
        <v>OMSUK</v>
      </c>
      <c r="S127" s="3">
        <f t="shared" si="1"/>
        <v>19</v>
      </c>
      <c r="T127" s="3" t="str">
        <f>_xlfn.XLOOKUP(C127,Tabla42[ADEP],Tabla42[Sector],"")</f>
        <v>Sector 3</v>
      </c>
    </row>
    <row r="128" spans="1:20" x14ac:dyDescent="0.2">
      <c r="A128" s="13" t="s">
        <v>253</v>
      </c>
      <c r="B128" s="13" t="s">
        <v>18</v>
      </c>
      <c r="C128" s="13" t="s">
        <v>254</v>
      </c>
      <c r="D128" s="13" t="s">
        <v>20</v>
      </c>
      <c r="E128" s="13" t="s">
        <v>149</v>
      </c>
      <c r="F128" s="14">
        <v>46298.815868055557</v>
      </c>
      <c r="G128" s="13" t="s">
        <v>21</v>
      </c>
      <c r="H128" s="13" t="s">
        <v>1698</v>
      </c>
      <c r="I128" s="15">
        <v>340</v>
      </c>
      <c r="J128" s="13" t="s">
        <v>22</v>
      </c>
      <c r="K128" s="13" t="s">
        <v>23</v>
      </c>
      <c r="L128" s="15">
        <v>873</v>
      </c>
      <c r="M128" s="13" t="s">
        <v>35</v>
      </c>
      <c r="N128" s="14">
        <v>46298.860972222217</v>
      </c>
      <c r="O128" s="15">
        <v>340</v>
      </c>
      <c r="P128" s="13" t="s">
        <v>25</v>
      </c>
      <c r="Q128" s="15">
        <v>190</v>
      </c>
      <c r="R128" s="3" t="str">
        <f>IF(OR(G128="12R",G128="12L"),_xlfn.XLOOKUP(C128,Tabla42[ADEP],Tabla42[SID 12R],""),IF(OR(G128="30L",G128="30R"),_xlfn.XLOOKUP(C128,Tabla42[ADEP],Tabla42[SID 30L],""),""))</f>
        <v>UDGUV</v>
      </c>
      <c r="S128" s="3">
        <f t="shared" si="1"/>
        <v>19</v>
      </c>
      <c r="T128" s="3" t="str">
        <f>_xlfn.XLOOKUP(C128,Tabla42[ADEP],Tabla42[Sector],"")</f>
        <v>Sector 2</v>
      </c>
    </row>
    <row r="129" spans="1:20" x14ac:dyDescent="0.2">
      <c r="A129" s="13" t="s">
        <v>304</v>
      </c>
      <c r="B129" s="13" t="s">
        <v>18</v>
      </c>
      <c r="C129" s="13" t="s">
        <v>305</v>
      </c>
      <c r="D129" s="13" t="s">
        <v>33</v>
      </c>
      <c r="E129" s="13" t="s">
        <v>716</v>
      </c>
      <c r="F129" s="14">
        <v>46298.817557870367</v>
      </c>
      <c r="G129" s="13" t="s">
        <v>21</v>
      </c>
      <c r="H129" s="13" t="s">
        <v>1699</v>
      </c>
      <c r="I129" s="15">
        <v>330</v>
      </c>
      <c r="J129" s="13" t="s">
        <v>22</v>
      </c>
      <c r="K129" s="13" t="s">
        <v>23</v>
      </c>
      <c r="L129" s="15">
        <v>139</v>
      </c>
      <c r="M129" s="13" t="s">
        <v>39</v>
      </c>
      <c r="N129" s="14">
        <v>46298.826979166668</v>
      </c>
      <c r="O129" s="15">
        <v>221</v>
      </c>
      <c r="P129" s="13" t="s">
        <v>25</v>
      </c>
      <c r="Q129" s="15">
        <v>190</v>
      </c>
      <c r="R129" s="3" t="str">
        <f>IF(OR(G129="12R",G129="12L"),_xlfn.XLOOKUP(C129,Tabla42[ADEP],Tabla42[SID 12R],""),IF(OR(G129="30L",G129="30R"),_xlfn.XLOOKUP(C129,Tabla42[ADEP],Tabla42[SID 30L],""),""))</f>
        <v>OMSUK</v>
      </c>
      <c r="S129" s="3">
        <f t="shared" si="1"/>
        <v>19</v>
      </c>
      <c r="T129" s="3" t="str">
        <f>_xlfn.XLOOKUP(C129,Tabla42[ADEP],Tabla42[Sector],"")</f>
        <v>Sector 3</v>
      </c>
    </row>
    <row r="130" spans="1:20" x14ac:dyDescent="0.2">
      <c r="A130" s="13" t="s">
        <v>268</v>
      </c>
      <c r="B130" s="13" t="s">
        <v>18</v>
      </c>
      <c r="C130" s="13" t="s">
        <v>42</v>
      </c>
      <c r="D130" s="13" t="s">
        <v>43</v>
      </c>
      <c r="E130" s="13" t="s">
        <v>637</v>
      </c>
      <c r="F130" s="14">
        <v>46298.819247685184</v>
      </c>
      <c r="G130" s="13" t="s">
        <v>21</v>
      </c>
      <c r="H130" s="13" t="s">
        <v>1700</v>
      </c>
      <c r="I130" s="15">
        <v>360</v>
      </c>
      <c r="J130" s="13" t="s">
        <v>22</v>
      </c>
      <c r="K130" s="13" t="s">
        <v>23</v>
      </c>
      <c r="L130" s="15">
        <v>864</v>
      </c>
      <c r="M130" s="13" t="s">
        <v>45</v>
      </c>
      <c r="N130" s="14">
        <v>46298.863425925927</v>
      </c>
      <c r="O130" s="15">
        <v>360</v>
      </c>
      <c r="P130" s="13" t="s">
        <v>25</v>
      </c>
      <c r="Q130" s="15">
        <v>190</v>
      </c>
      <c r="R130" s="3" t="str">
        <f>IF(OR(G130="12R",G130="12L"),_xlfn.XLOOKUP(C130,Tabla42[ADEP],Tabla42[SID 12R],""),IF(OR(G130="30L",G130="30R"),_xlfn.XLOOKUP(C130,Tabla42[ADEP],Tabla42[SID 30L],""),""))</f>
        <v>UDGUV</v>
      </c>
      <c r="S130" s="3">
        <f t="shared" si="1"/>
        <v>19</v>
      </c>
      <c r="T130" s="3" t="str">
        <f>_xlfn.XLOOKUP(C130,Tabla42[ADEP],Tabla42[Sector],"")</f>
        <v>Sector 2</v>
      </c>
    </row>
    <row r="131" spans="1:20" x14ac:dyDescent="0.2">
      <c r="A131" s="13" t="s">
        <v>266</v>
      </c>
      <c r="B131" s="13" t="s">
        <v>18</v>
      </c>
      <c r="C131" s="13" t="s">
        <v>184</v>
      </c>
      <c r="D131" s="13" t="s">
        <v>20</v>
      </c>
      <c r="E131" s="13" t="s">
        <v>398</v>
      </c>
      <c r="F131" s="14">
        <v>46298.821134259255</v>
      </c>
      <c r="G131" s="13" t="s">
        <v>21</v>
      </c>
      <c r="H131" s="13" t="s">
        <v>1701</v>
      </c>
      <c r="I131" s="15">
        <v>350</v>
      </c>
      <c r="J131" s="13" t="s">
        <v>22</v>
      </c>
      <c r="K131" s="13" t="s">
        <v>23</v>
      </c>
      <c r="L131" s="15">
        <v>322</v>
      </c>
      <c r="M131" s="13" t="s">
        <v>968</v>
      </c>
      <c r="N131" s="14">
        <v>46298.837997685187</v>
      </c>
      <c r="O131" s="15">
        <v>314</v>
      </c>
      <c r="P131" s="13" t="s">
        <v>25</v>
      </c>
      <c r="Q131" s="15">
        <v>40</v>
      </c>
      <c r="R131" s="3" t="str">
        <f>IF(OR(G131="12R",G131="12L"),_xlfn.XLOOKUP(C131,Tabla42[ADEP],Tabla42[SID 12R],""),IF(OR(G131="30L",G131="30R"),_xlfn.XLOOKUP(C131,Tabla42[ADEP],Tabla42[SID 30L],""),""))</f>
        <v>OMSUK</v>
      </c>
      <c r="S131" s="3">
        <f t="shared" ref="S131:S194" si="2">HOUR(F131)</f>
        <v>19</v>
      </c>
      <c r="T131" s="3" t="str">
        <f>_xlfn.XLOOKUP(C131,Tabla42[ADEP],Tabla42[Sector],"")</f>
        <v>Sector 3</v>
      </c>
    </row>
    <row r="132" spans="1:20" x14ac:dyDescent="0.2">
      <c r="A132" s="13" t="s">
        <v>240</v>
      </c>
      <c r="B132" s="13" t="s">
        <v>18</v>
      </c>
      <c r="C132" s="13" t="s">
        <v>116</v>
      </c>
      <c r="D132" s="13" t="s">
        <v>43</v>
      </c>
      <c r="E132" s="13" t="s">
        <v>979</v>
      </c>
      <c r="F132" s="14">
        <v>46298.827627314815</v>
      </c>
      <c r="G132" s="13" t="s">
        <v>21</v>
      </c>
      <c r="H132" s="13" t="s">
        <v>1702</v>
      </c>
      <c r="I132" s="15">
        <v>340</v>
      </c>
      <c r="J132" s="13" t="s">
        <v>22</v>
      </c>
      <c r="K132" s="13" t="s">
        <v>23</v>
      </c>
      <c r="L132" s="15">
        <v>876</v>
      </c>
      <c r="M132" s="13" t="s">
        <v>35</v>
      </c>
      <c r="N132" s="14">
        <v>46298.870428240742</v>
      </c>
      <c r="O132" s="15">
        <v>340</v>
      </c>
      <c r="P132" s="13" t="s">
        <v>25</v>
      </c>
      <c r="Q132" s="15">
        <v>190</v>
      </c>
      <c r="R132" s="3" t="str">
        <f>IF(OR(G132="12R",G132="12L"),_xlfn.XLOOKUP(C132,Tabla42[ADEP],Tabla42[SID 12R],""),IF(OR(G132="30L",G132="30R"),_xlfn.XLOOKUP(C132,Tabla42[ADEP],Tabla42[SID 30L],""),""))</f>
        <v>ENEBA</v>
      </c>
      <c r="S132" s="3">
        <f t="shared" si="2"/>
        <v>19</v>
      </c>
      <c r="T132" s="3" t="str">
        <f>_xlfn.XLOOKUP(C132,Tabla42[ADEP],Tabla42[Sector],"")</f>
        <v>Sector 3</v>
      </c>
    </row>
    <row r="133" spans="1:20" x14ac:dyDescent="0.2">
      <c r="A133" s="13" t="s">
        <v>272</v>
      </c>
      <c r="B133" s="13" t="s">
        <v>18</v>
      </c>
      <c r="C133" s="13" t="s">
        <v>42</v>
      </c>
      <c r="D133" s="13" t="s">
        <v>33</v>
      </c>
      <c r="E133" s="13" t="s">
        <v>635</v>
      </c>
      <c r="F133" s="14">
        <v>46298.830335648148</v>
      </c>
      <c r="G133" s="13" t="s">
        <v>21</v>
      </c>
      <c r="H133" s="13" t="s">
        <v>1703</v>
      </c>
      <c r="I133" s="15">
        <v>360</v>
      </c>
      <c r="J133" s="13" t="s">
        <v>22</v>
      </c>
      <c r="K133" s="13" t="s">
        <v>23</v>
      </c>
      <c r="L133" s="15">
        <v>868</v>
      </c>
      <c r="M133" s="13" t="s">
        <v>421</v>
      </c>
      <c r="N133" s="14">
        <v>46298.874409722222</v>
      </c>
      <c r="O133" s="15">
        <v>360</v>
      </c>
      <c r="P133" s="13" t="s">
        <v>25</v>
      </c>
      <c r="Q133" s="15">
        <v>190</v>
      </c>
      <c r="R133" s="3" t="str">
        <f>IF(OR(G133="12R",G133="12L"),_xlfn.XLOOKUP(C133,Tabla42[ADEP],Tabla42[SID 12R],""),IF(OR(G133="30L",G133="30R"),_xlfn.XLOOKUP(C133,Tabla42[ADEP],Tabla42[SID 30L],""),""))</f>
        <v>UDGUV</v>
      </c>
      <c r="S133" s="3">
        <f t="shared" si="2"/>
        <v>19</v>
      </c>
      <c r="T133" s="3" t="str">
        <f>_xlfn.XLOOKUP(C133,Tabla42[ADEP],Tabla42[Sector],"")</f>
        <v>Sector 2</v>
      </c>
    </row>
    <row r="134" spans="1:20" x14ac:dyDescent="0.2">
      <c r="A134" s="13" t="s">
        <v>251</v>
      </c>
      <c r="B134" s="13" t="s">
        <v>18</v>
      </c>
      <c r="C134" s="13" t="s">
        <v>126</v>
      </c>
      <c r="D134" s="13" t="s">
        <v>60</v>
      </c>
      <c r="E134" s="13" t="s">
        <v>1704</v>
      </c>
      <c r="F134" s="14">
        <v>46298.831087962964</v>
      </c>
      <c r="G134" s="13" t="s">
        <v>21</v>
      </c>
      <c r="H134" s="13" t="s">
        <v>1705</v>
      </c>
      <c r="I134" s="15">
        <v>350</v>
      </c>
      <c r="J134" s="13" t="s">
        <v>22</v>
      </c>
      <c r="K134" s="13" t="s">
        <v>23</v>
      </c>
      <c r="L134" s="15">
        <v>135</v>
      </c>
      <c r="M134" s="13" t="s">
        <v>39</v>
      </c>
      <c r="N134" s="14">
        <v>46298.840462962966</v>
      </c>
      <c r="O134" s="15">
        <v>219</v>
      </c>
      <c r="P134" s="13" t="s">
        <v>25</v>
      </c>
      <c r="Q134" s="15">
        <v>190</v>
      </c>
      <c r="R134" s="3" t="str">
        <f>IF(OR(G134="12R",G134="12L"),_xlfn.XLOOKUP(C134,Tabla42[ADEP],Tabla42[SID 12R],""),IF(OR(G134="30L",G134="30R"),_xlfn.XLOOKUP(C134,Tabla42[ADEP],Tabla42[SID 30L],""),""))</f>
        <v>ENEBA</v>
      </c>
      <c r="S134" s="3">
        <f t="shared" si="2"/>
        <v>19</v>
      </c>
      <c r="T134" s="3" t="str">
        <f>_xlfn.XLOOKUP(C134,Tabla42[ADEP],Tabla42[Sector],"")</f>
        <v>Sector 3</v>
      </c>
    </row>
    <row r="135" spans="1:20" x14ac:dyDescent="0.2">
      <c r="A135" s="13" t="s">
        <v>1706</v>
      </c>
      <c r="B135" s="13" t="s">
        <v>18</v>
      </c>
      <c r="C135" s="13" t="s">
        <v>293</v>
      </c>
      <c r="D135" s="13" t="s">
        <v>122</v>
      </c>
      <c r="E135" s="13" t="s">
        <v>986</v>
      </c>
      <c r="F135" s="14">
        <v>46298.832384259258</v>
      </c>
      <c r="G135" s="13" t="s">
        <v>21</v>
      </c>
      <c r="H135" s="13" t="s">
        <v>1707</v>
      </c>
      <c r="I135" s="15">
        <v>380</v>
      </c>
      <c r="J135" s="13" t="s">
        <v>22</v>
      </c>
      <c r="K135" s="13" t="s">
        <v>23</v>
      </c>
      <c r="L135" s="15">
        <v>663</v>
      </c>
      <c r="M135" s="13" t="s">
        <v>118</v>
      </c>
      <c r="N135" s="14">
        <v>46298.865937499999</v>
      </c>
      <c r="O135" s="15">
        <v>360</v>
      </c>
      <c r="P135" s="13" t="s">
        <v>25</v>
      </c>
      <c r="Q135" s="15">
        <v>40</v>
      </c>
      <c r="R135" s="3" t="str">
        <f>IF(OR(G135="12R",G135="12L"),_xlfn.XLOOKUP(C135,Tabla42[ADEP],Tabla42[SID 12R],""),IF(OR(G135="30L",G135="30R"),_xlfn.XLOOKUP(C135,Tabla42[ADEP],Tabla42[SID 30L],""),""))</f>
        <v>UDGUV</v>
      </c>
      <c r="S135" s="3">
        <f t="shared" si="2"/>
        <v>19</v>
      </c>
      <c r="T135" s="3" t="str">
        <f>_xlfn.XLOOKUP(C135,Tabla42[ADEP],Tabla42[Sector],"")</f>
        <v>Sector 2</v>
      </c>
    </row>
    <row r="136" spans="1:20" x14ac:dyDescent="0.2">
      <c r="A136" s="13" t="s">
        <v>271</v>
      </c>
      <c r="B136" s="13" t="s">
        <v>18</v>
      </c>
      <c r="C136" s="13" t="s">
        <v>116</v>
      </c>
      <c r="D136" s="13" t="s">
        <v>117</v>
      </c>
      <c r="E136" s="13" t="s">
        <v>1708</v>
      </c>
      <c r="F136" s="14">
        <v>46298.833668981482</v>
      </c>
      <c r="G136" s="13" t="s">
        <v>21</v>
      </c>
      <c r="H136" s="13" t="s">
        <v>1709</v>
      </c>
      <c r="I136" s="15">
        <v>300</v>
      </c>
      <c r="J136" s="13" t="s">
        <v>22</v>
      </c>
      <c r="K136" s="13" t="s">
        <v>23</v>
      </c>
      <c r="L136" s="15">
        <v>802</v>
      </c>
      <c r="M136" s="13" t="s">
        <v>210</v>
      </c>
      <c r="N136" s="14">
        <v>46298.872361111113</v>
      </c>
      <c r="O136" s="15">
        <v>320</v>
      </c>
      <c r="P136" s="13" t="s">
        <v>25</v>
      </c>
      <c r="Q136" s="15">
        <v>190</v>
      </c>
      <c r="R136" s="3" t="str">
        <f>IF(OR(G136="12R",G136="12L"),_xlfn.XLOOKUP(C136,Tabla42[ADEP],Tabla42[SID 12R],""),IF(OR(G136="30L",G136="30R"),_xlfn.XLOOKUP(C136,Tabla42[ADEP],Tabla42[SID 30L],""),""))</f>
        <v>ENEBA</v>
      </c>
      <c r="S136" s="3">
        <f t="shared" si="2"/>
        <v>20</v>
      </c>
      <c r="T136" s="3" t="str">
        <f>_xlfn.XLOOKUP(C136,Tabla42[ADEP],Tabla42[Sector],"")</f>
        <v>Sector 3</v>
      </c>
    </row>
    <row r="137" spans="1:20" x14ac:dyDescent="0.2">
      <c r="A137" s="13" t="s">
        <v>274</v>
      </c>
      <c r="B137" s="13" t="s">
        <v>18</v>
      </c>
      <c r="C137" s="13" t="s">
        <v>96</v>
      </c>
      <c r="D137" s="13" t="s">
        <v>53</v>
      </c>
      <c r="E137" s="13" t="s">
        <v>734</v>
      </c>
      <c r="F137" s="14">
        <v>46298.839768518519</v>
      </c>
      <c r="G137" s="13" t="s">
        <v>21</v>
      </c>
      <c r="H137" s="13" t="s">
        <v>1710</v>
      </c>
      <c r="I137" s="15">
        <v>380</v>
      </c>
      <c r="J137" s="13" t="s">
        <v>22</v>
      </c>
      <c r="K137" s="13" t="s">
        <v>23</v>
      </c>
      <c r="L137" s="15">
        <v>872</v>
      </c>
      <c r="M137" s="13" t="s">
        <v>45</v>
      </c>
      <c r="N137" s="14">
        <v>46298.883831018524</v>
      </c>
      <c r="O137" s="15">
        <v>380</v>
      </c>
      <c r="P137" s="13" t="s">
        <v>25</v>
      </c>
      <c r="Q137" s="15">
        <v>190</v>
      </c>
      <c r="R137" s="3" t="str">
        <f>IF(OR(G137="12R",G137="12L"),_xlfn.XLOOKUP(C137,Tabla42[ADEP],Tabla42[SID 12R],""),IF(OR(G137="30L",G137="30R"),_xlfn.XLOOKUP(C137,Tabla42[ADEP],Tabla42[SID 30L],""),""))</f>
        <v>UDGUV</v>
      </c>
      <c r="S137" s="3">
        <f t="shared" si="2"/>
        <v>20</v>
      </c>
      <c r="T137" s="3" t="str">
        <f>_xlfn.XLOOKUP(C137,Tabla42[ADEP],Tabla42[Sector],"")</f>
        <v>Sector 2</v>
      </c>
    </row>
    <row r="138" spans="1:20" x14ac:dyDescent="0.2">
      <c r="A138" s="13" t="s">
        <v>604</v>
      </c>
      <c r="B138" s="13" t="s">
        <v>18</v>
      </c>
      <c r="C138" s="13" t="s">
        <v>403</v>
      </c>
      <c r="D138" s="13" t="s">
        <v>340</v>
      </c>
      <c r="E138" s="13" t="s">
        <v>404</v>
      </c>
      <c r="F138" s="14">
        <v>46298.840787037036</v>
      </c>
      <c r="G138" s="13" t="s">
        <v>21</v>
      </c>
      <c r="H138" s="13" t="s">
        <v>1711</v>
      </c>
      <c r="I138" s="15">
        <v>390</v>
      </c>
      <c r="J138" s="13" t="s">
        <v>22</v>
      </c>
      <c r="K138" s="13" t="s">
        <v>23</v>
      </c>
      <c r="L138" s="15">
        <v>350</v>
      </c>
      <c r="M138" s="13" t="s">
        <v>369</v>
      </c>
      <c r="N138" s="14">
        <v>46298.859247685185</v>
      </c>
      <c r="O138" s="15">
        <v>390</v>
      </c>
      <c r="P138" s="13" t="s">
        <v>40</v>
      </c>
      <c r="Q138" s="15">
        <v>40</v>
      </c>
      <c r="R138" s="3" t="str">
        <f>IF(OR(G138="12R",G138="12L"),_xlfn.XLOOKUP(C138,Tabla42[ADEP],Tabla42[SID 12R],""),IF(OR(G138="30L",G138="30R"),_xlfn.XLOOKUP(C138,Tabla42[ADEP],Tabla42[SID 30L],""),""))</f>
        <v>NUDAL</v>
      </c>
      <c r="S138" s="3">
        <f t="shared" si="2"/>
        <v>20</v>
      </c>
      <c r="T138" s="3" t="str">
        <f>_xlfn.XLOOKUP(C138,Tabla42[ADEP],Tabla42[Sector],"")</f>
        <v>Sector 3</v>
      </c>
    </row>
    <row r="139" spans="1:20" x14ac:dyDescent="0.2">
      <c r="A139" s="13" t="s">
        <v>744</v>
      </c>
      <c r="B139" s="13" t="s">
        <v>18</v>
      </c>
      <c r="C139" s="13" t="s">
        <v>188</v>
      </c>
      <c r="D139" s="13" t="s">
        <v>122</v>
      </c>
      <c r="E139" s="13" t="s">
        <v>781</v>
      </c>
      <c r="F139" s="14">
        <v>46298.842662037037</v>
      </c>
      <c r="G139" s="13" t="s">
        <v>21</v>
      </c>
      <c r="H139" s="13" t="s">
        <v>1712</v>
      </c>
      <c r="I139" s="15">
        <v>360</v>
      </c>
      <c r="J139" s="13" t="s">
        <v>22</v>
      </c>
      <c r="K139" s="13" t="s">
        <v>23</v>
      </c>
      <c r="L139" s="15">
        <v>429</v>
      </c>
      <c r="M139" s="13" t="s">
        <v>189</v>
      </c>
      <c r="N139" s="14">
        <v>46298.865381944444</v>
      </c>
      <c r="O139" s="15">
        <v>360</v>
      </c>
      <c r="P139" s="13" t="s">
        <v>25</v>
      </c>
      <c r="Q139" s="15">
        <v>40</v>
      </c>
      <c r="R139" s="3" t="str">
        <f>IF(OR(G139="12R",G139="12L"),_xlfn.XLOOKUP(C139,Tabla42[ADEP],Tabla42[SID 12R],""),IF(OR(G139="30L",G139="30R"),_xlfn.XLOOKUP(C139,Tabla42[ADEP],Tabla42[SID 30L],""),""))</f>
        <v>ENEBA</v>
      </c>
      <c r="S139" s="3">
        <f t="shared" si="2"/>
        <v>20</v>
      </c>
      <c r="T139" s="3" t="str">
        <f>_xlfn.XLOOKUP(C139,Tabla42[ADEP],Tabla42[Sector],"")</f>
        <v>Sector 3</v>
      </c>
    </row>
    <row r="140" spans="1:20" x14ac:dyDescent="0.2">
      <c r="A140" s="13" t="s">
        <v>1713</v>
      </c>
      <c r="B140" s="13" t="s">
        <v>18</v>
      </c>
      <c r="C140" s="13" t="s">
        <v>49</v>
      </c>
      <c r="D140" s="13" t="s">
        <v>586</v>
      </c>
      <c r="E140" s="13"/>
      <c r="F140" s="14">
        <v>46298.843599537038</v>
      </c>
      <c r="G140" s="13" t="s">
        <v>21</v>
      </c>
      <c r="H140" s="13" t="s">
        <v>1714</v>
      </c>
      <c r="I140" s="15">
        <v>430</v>
      </c>
      <c r="J140" s="13" t="s">
        <v>22</v>
      </c>
      <c r="K140" s="13" t="s">
        <v>50</v>
      </c>
      <c r="L140" s="15">
        <v>861</v>
      </c>
      <c r="M140" s="13" t="s">
        <v>417</v>
      </c>
      <c r="N140" s="14">
        <v>46298.889479166668</v>
      </c>
      <c r="O140" s="15">
        <v>430</v>
      </c>
      <c r="P140" s="13" t="s">
        <v>25</v>
      </c>
      <c r="Q140" s="15">
        <v>30</v>
      </c>
      <c r="R140" s="3" t="str">
        <f>IF(OR(G140="12R",G140="12L"),_xlfn.XLOOKUP(C140,Tabla42[ADEP],Tabla42[SID 12R],""),IF(OR(G140="30L",G140="30R"),_xlfn.XLOOKUP(C140,Tabla42[ADEP],Tabla42[SID 30L],""),""))</f>
        <v>UDGUV</v>
      </c>
      <c r="S140" s="3">
        <f t="shared" si="2"/>
        <v>20</v>
      </c>
      <c r="T140" s="3" t="str">
        <f>_xlfn.XLOOKUP(C140,Tabla42[ADEP],Tabla42[Sector],"")</f>
        <v>Sector 2</v>
      </c>
    </row>
    <row r="141" spans="1:20" x14ac:dyDescent="0.2">
      <c r="A141" s="13" t="s">
        <v>1715</v>
      </c>
      <c r="B141" s="13" t="s">
        <v>18</v>
      </c>
      <c r="C141" s="13" t="s">
        <v>814</v>
      </c>
      <c r="D141" s="13" t="s">
        <v>110</v>
      </c>
      <c r="E141" s="13" t="s">
        <v>651</v>
      </c>
      <c r="F141" s="14">
        <v>46298.844525462962</v>
      </c>
      <c r="G141" s="13" t="s">
        <v>21</v>
      </c>
      <c r="H141" s="13" t="s">
        <v>1716</v>
      </c>
      <c r="I141" s="15">
        <v>400</v>
      </c>
      <c r="J141" s="13" t="s">
        <v>22</v>
      </c>
      <c r="K141" s="13" t="s">
        <v>23</v>
      </c>
      <c r="L141" s="15">
        <v>371</v>
      </c>
      <c r="M141" s="13" t="s">
        <v>250</v>
      </c>
      <c r="N141" s="14">
        <v>46298.864282407405</v>
      </c>
      <c r="O141" s="15">
        <v>380</v>
      </c>
      <c r="P141" s="13" t="s">
        <v>25</v>
      </c>
      <c r="Q141" s="15">
        <v>40</v>
      </c>
      <c r="R141" s="3" t="str">
        <f>IF(OR(G141="12R",G141="12L"),_xlfn.XLOOKUP(C141,Tabla42[ADEP],Tabla42[SID 12R],""),IF(OR(G141="30L",G141="30R"),_xlfn.XLOOKUP(C141,Tabla42[ADEP],Tabla42[SID 30L],""),""))</f>
        <v>ENEBA</v>
      </c>
      <c r="S141" s="3">
        <f t="shared" si="2"/>
        <v>20</v>
      </c>
      <c r="T141" s="3" t="str">
        <f>_xlfn.XLOOKUP(C141,Tabla42[ADEP],Tabla42[Sector],"")</f>
        <v>Sector 3</v>
      </c>
    </row>
    <row r="142" spans="1:20" x14ac:dyDescent="0.2">
      <c r="A142" s="13" t="s">
        <v>280</v>
      </c>
      <c r="B142" s="13" t="s">
        <v>18</v>
      </c>
      <c r="C142" s="13" t="s">
        <v>49</v>
      </c>
      <c r="D142" s="13" t="s">
        <v>53</v>
      </c>
      <c r="E142" s="13" t="s">
        <v>727</v>
      </c>
      <c r="F142" s="14">
        <v>46298.851018518515</v>
      </c>
      <c r="G142" s="13" t="s">
        <v>21</v>
      </c>
      <c r="H142" s="13" t="s">
        <v>1717</v>
      </c>
      <c r="I142" s="15">
        <v>380</v>
      </c>
      <c r="J142" s="13" t="s">
        <v>22</v>
      </c>
      <c r="K142" s="13" t="s">
        <v>23</v>
      </c>
      <c r="L142" s="15">
        <v>877</v>
      </c>
      <c r="M142" s="13" t="s">
        <v>45</v>
      </c>
      <c r="N142" s="14">
        <v>46298.895787037036</v>
      </c>
      <c r="O142" s="15">
        <v>380</v>
      </c>
      <c r="P142" s="13" t="s">
        <v>25</v>
      </c>
      <c r="Q142" s="15">
        <v>190</v>
      </c>
      <c r="R142" s="3" t="str">
        <f>IF(OR(G142="12R",G142="12L"),_xlfn.XLOOKUP(C142,Tabla42[ADEP],Tabla42[SID 12R],""),IF(OR(G142="30L",G142="30R"),_xlfn.XLOOKUP(C142,Tabla42[ADEP],Tabla42[SID 30L],""),""))</f>
        <v>UDGUV</v>
      </c>
      <c r="S142" s="3">
        <f t="shared" si="2"/>
        <v>20</v>
      </c>
      <c r="T142" s="3" t="str">
        <f>_xlfn.XLOOKUP(C142,Tabla42[ADEP],Tabla42[Sector],"")</f>
        <v>Sector 2</v>
      </c>
    </row>
    <row r="143" spans="1:20" x14ac:dyDescent="0.2">
      <c r="A143" s="13" t="s">
        <v>307</v>
      </c>
      <c r="B143" s="13" t="s">
        <v>18</v>
      </c>
      <c r="C143" s="13" t="s">
        <v>190</v>
      </c>
      <c r="D143" s="13" t="s">
        <v>33</v>
      </c>
      <c r="E143" s="13" t="s">
        <v>813</v>
      </c>
      <c r="F143" s="14">
        <v>46298.852361111116</v>
      </c>
      <c r="G143" s="13" t="s">
        <v>21</v>
      </c>
      <c r="H143" s="13" t="s">
        <v>1718</v>
      </c>
      <c r="I143" s="15">
        <v>310</v>
      </c>
      <c r="J143" s="13" t="s">
        <v>22</v>
      </c>
      <c r="K143" s="13" t="s">
        <v>23</v>
      </c>
      <c r="L143" s="15">
        <v>134</v>
      </c>
      <c r="M143" s="13" t="s">
        <v>39</v>
      </c>
      <c r="N143" s="14">
        <v>46298.861562499995</v>
      </c>
      <c r="O143" s="15">
        <v>235</v>
      </c>
      <c r="P143" s="13" t="s">
        <v>25</v>
      </c>
      <c r="Q143" s="15">
        <v>190</v>
      </c>
      <c r="R143" s="3" t="str">
        <f>IF(OR(G143="12R",G143="12L"),_xlfn.XLOOKUP(C143,Tabla42[ADEP],Tabla42[SID 12R],""),IF(OR(G143="30L",G143="30R"),_xlfn.XLOOKUP(C143,Tabla42[ADEP],Tabla42[SID 30L],""),""))</f>
        <v>NUDAL</v>
      </c>
      <c r="S143" s="3">
        <f t="shared" si="2"/>
        <v>20</v>
      </c>
      <c r="T143" s="3" t="str">
        <f>_xlfn.XLOOKUP(C143,Tabla42[ADEP],Tabla42[Sector],"")</f>
        <v>Sector 3</v>
      </c>
    </row>
    <row r="144" spans="1:20" x14ac:dyDescent="0.2">
      <c r="A144" s="13" t="s">
        <v>282</v>
      </c>
      <c r="B144" s="13" t="s">
        <v>18</v>
      </c>
      <c r="C144" s="13" t="s">
        <v>42</v>
      </c>
      <c r="D144" s="13" t="s">
        <v>20</v>
      </c>
      <c r="E144" s="13" t="s">
        <v>1052</v>
      </c>
      <c r="F144" s="14">
        <v>46298.853981481487</v>
      </c>
      <c r="G144" s="13" t="s">
        <v>21</v>
      </c>
      <c r="H144" s="13" t="s">
        <v>1719</v>
      </c>
      <c r="I144" s="15">
        <v>360</v>
      </c>
      <c r="J144" s="13" t="s">
        <v>22</v>
      </c>
      <c r="K144" s="13" t="s">
        <v>23</v>
      </c>
      <c r="L144" s="15">
        <v>859</v>
      </c>
      <c r="M144" s="13" t="s">
        <v>45</v>
      </c>
      <c r="N144" s="14">
        <v>46298.898043981477</v>
      </c>
      <c r="O144" s="15">
        <v>360</v>
      </c>
      <c r="P144" s="13" t="s">
        <v>25</v>
      </c>
      <c r="Q144" s="15">
        <v>190</v>
      </c>
      <c r="R144" s="3" t="str">
        <f>IF(OR(G144="12R",G144="12L"),_xlfn.XLOOKUP(C144,Tabla42[ADEP],Tabla42[SID 12R],""),IF(OR(G144="30L",G144="30R"),_xlfn.XLOOKUP(C144,Tabla42[ADEP],Tabla42[SID 30L],""),""))</f>
        <v>UDGUV</v>
      </c>
      <c r="S144" s="3">
        <f t="shared" si="2"/>
        <v>20</v>
      </c>
      <c r="T144" s="3" t="str">
        <f>_xlfn.XLOOKUP(C144,Tabla42[ADEP],Tabla42[Sector],"")</f>
        <v>Sector 2</v>
      </c>
    </row>
    <row r="145" spans="1:20" x14ac:dyDescent="0.2">
      <c r="A145" s="13" t="s">
        <v>283</v>
      </c>
      <c r="B145" s="13" t="s">
        <v>18</v>
      </c>
      <c r="C145" s="13" t="s">
        <v>126</v>
      </c>
      <c r="D145" s="13" t="s">
        <v>117</v>
      </c>
      <c r="E145" s="13" t="s">
        <v>570</v>
      </c>
      <c r="F145" s="14">
        <v>46298.855451388888</v>
      </c>
      <c r="G145" s="13" t="s">
        <v>21</v>
      </c>
      <c r="H145" s="13" t="s">
        <v>1720</v>
      </c>
      <c r="I145" s="15">
        <v>350</v>
      </c>
      <c r="J145" s="13" t="s">
        <v>22</v>
      </c>
      <c r="K145" s="13" t="s">
        <v>23</v>
      </c>
      <c r="L145" s="15">
        <v>134</v>
      </c>
      <c r="M145" s="13" t="s">
        <v>39</v>
      </c>
      <c r="N145" s="14">
        <v>46298.86446759259</v>
      </c>
      <c r="O145" s="15">
        <v>239</v>
      </c>
      <c r="P145" s="13" t="s">
        <v>25</v>
      </c>
      <c r="Q145" s="15">
        <v>190</v>
      </c>
      <c r="R145" s="3" t="str">
        <f>IF(OR(G145="12R",G145="12L"),_xlfn.XLOOKUP(C145,Tabla42[ADEP],Tabla42[SID 12R],""),IF(OR(G145="30L",G145="30R"),_xlfn.XLOOKUP(C145,Tabla42[ADEP],Tabla42[SID 30L],""),""))</f>
        <v>ENEBA</v>
      </c>
      <c r="S145" s="3">
        <f t="shared" si="2"/>
        <v>20</v>
      </c>
      <c r="T145" s="3" t="str">
        <f>_xlfn.XLOOKUP(C145,Tabla42[ADEP],Tabla42[Sector],"")</f>
        <v>Sector 3</v>
      </c>
    </row>
    <row r="146" spans="1:20" x14ac:dyDescent="0.2">
      <c r="A146" s="13" t="s">
        <v>605</v>
      </c>
      <c r="B146" s="13" t="s">
        <v>18</v>
      </c>
      <c r="C146" s="13" t="s">
        <v>606</v>
      </c>
      <c r="D146" s="13" t="s">
        <v>53</v>
      </c>
      <c r="E146" s="13" t="s">
        <v>207</v>
      </c>
      <c r="F146" s="14">
        <v>46298.856828703705</v>
      </c>
      <c r="G146" s="13" t="s">
        <v>21</v>
      </c>
      <c r="H146" s="13" t="s">
        <v>1721</v>
      </c>
      <c r="I146" s="15">
        <v>370</v>
      </c>
      <c r="J146" s="13" t="s">
        <v>22</v>
      </c>
      <c r="K146" s="13" t="s">
        <v>23</v>
      </c>
      <c r="L146" s="15">
        <v>360</v>
      </c>
      <c r="M146" s="13" t="s">
        <v>715</v>
      </c>
      <c r="N146" s="14">
        <v>46298.877175925925</v>
      </c>
      <c r="O146" s="15">
        <v>370</v>
      </c>
      <c r="P146" s="13" t="s">
        <v>25</v>
      </c>
      <c r="Q146" s="15">
        <v>40</v>
      </c>
      <c r="R146" s="3" t="str">
        <f>IF(OR(G146="12R",G146="12L"),_xlfn.XLOOKUP(C146,Tabla42[ADEP],Tabla42[SID 12R],""),IF(OR(G146="30L",G146="30R"),_xlfn.XLOOKUP(C146,Tabla42[ADEP],Tabla42[SID 30L],""),""))</f>
        <v>OMSUK</v>
      </c>
      <c r="S146" s="3">
        <f t="shared" si="2"/>
        <v>20</v>
      </c>
      <c r="T146" s="3" t="str">
        <f>_xlfn.XLOOKUP(C146,Tabla42[ADEP],Tabla42[Sector],"")</f>
        <v>Sector 3</v>
      </c>
    </row>
    <row r="147" spans="1:20" x14ac:dyDescent="0.2">
      <c r="A147" s="13" t="s">
        <v>262</v>
      </c>
      <c r="B147" s="13" t="s">
        <v>18</v>
      </c>
      <c r="C147" s="13" t="s">
        <v>263</v>
      </c>
      <c r="D147" s="13" t="s">
        <v>33</v>
      </c>
      <c r="E147" s="13" t="s">
        <v>646</v>
      </c>
      <c r="F147" s="14">
        <v>46298.857893518521</v>
      </c>
      <c r="G147" s="13" t="s">
        <v>21</v>
      </c>
      <c r="H147" s="13" t="s">
        <v>1722</v>
      </c>
      <c r="I147" s="15">
        <v>350</v>
      </c>
      <c r="J147" s="13" t="s">
        <v>22</v>
      </c>
      <c r="K147" s="13" t="s">
        <v>23</v>
      </c>
      <c r="L147" s="15">
        <v>131</v>
      </c>
      <c r="M147" s="13" t="s">
        <v>39</v>
      </c>
      <c r="N147" s="14">
        <v>46298.867430555554</v>
      </c>
      <c r="O147" s="15">
        <v>239</v>
      </c>
      <c r="P147" s="13" t="s">
        <v>25</v>
      </c>
      <c r="Q147" s="15">
        <v>190</v>
      </c>
      <c r="R147" s="3" t="str">
        <f>IF(OR(G147="12R",G147="12L"),_xlfn.XLOOKUP(C147,Tabla42[ADEP],Tabla42[SID 12R],""),IF(OR(G147="30L",G147="30R"),_xlfn.XLOOKUP(C147,Tabla42[ADEP],Tabla42[SID 30L],""),""))</f>
        <v>OMSUK</v>
      </c>
      <c r="S147" s="3">
        <f t="shared" si="2"/>
        <v>20</v>
      </c>
      <c r="T147" s="3" t="str">
        <f>_xlfn.XLOOKUP(C147,Tabla42[ADEP],Tabla42[Sector],"")</f>
        <v>Sector 3</v>
      </c>
    </row>
    <row r="148" spans="1:20" x14ac:dyDescent="0.2">
      <c r="A148" s="13" t="s">
        <v>278</v>
      </c>
      <c r="B148" s="13" t="s">
        <v>18</v>
      </c>
      <c r="C148" s="13" t="s">
        <v>265</v>
      </c>
      <c r="D148" s="13" t="s">
        <v>53</v>
      </c>
      <c r="E148" s="13" t="s">
        <v>413</v>
      </c>
      <c r="F148" s="14">
        <v>46298.859178240746</v>
      </c>
      <c r="G148" s="13" t="s">
        <v>21</v>
      </c>
      <c r="H148" s="13" t="s">
        <v>1723</v>
      </c>
      <c r="I148" s="15">
        <v>380</v>
      </c>
      <c r="J148" s="13" t="s">
        <v>22</v>
      </c>
      <c r="K148" s="13" t="s">
        <v>23</v>
      </c>
      <c r="L148" s="15">
        <v>869</v>
      </c>
      <c r="M148" s="13" t="s">
        <v>167</v>
      </c>
      <c r="N148" s="14">
        <v>46298.902986111112</v>
      </c>
      <c r="O148" s="15">
        <v>380</v>
      </c>
      <c r="P148" s="13" t="s">
        <v>25</v>
      </c>
      <c r="Q148" s="15">
        <v>190</v>
      </c>
      <c r="R148" s="3" t="str">
        <f>IF(OR(G148="12R",G148="12L"),_xlfn.XLOOKUP(C148,Tabla42[ADEP],Tabla42[SID 12R],""),IF(OR(G148="30L",G148="30R"),_xlfn.XLOOKUP(C148,Tabla42[ADEP],Tabla42[SID 30L],""),""))</f>
        <v>UDGUV</v>
      </c>
      <c r="S148" s="3">
        <f t="shared" si="2"/>
        <v>20</v>
      </c>
      <c r="T148" s="3" t="str">
        <f>_xlfn.XLOOKUP(C148,Tabla42[ADEP],Tabla42[Sector],"")</f>
        <v>Sector 2</v>
      </c>
    </row>
    <row r="149" spans="1:20" x14ac:dyDescent="0.2">
      <c r="A149" s="13" t="s">
        <v>471</v>
      </c>
      <c r="B149" s="13" t="s">
        <v>18</v>
      </c>
      <c r="C149" s="13" t="s">
        <v>19</v>
      </c>
      <c r="D149" s="13" t="s">
        <v>33</v>
      </c>
      <c r="E149" s="13" t="s">
        <v>726</v>
      </c>
      <c r="F149" s="14">
        <v>46298.860416666663</v>
      </c>
      <c r="G149" s="13" t="s">
        <v>21</v>
      </c>
      <c r="H149" s="13" t="s">
        <v>1724</v>
      </c>
      <c r="I149" s="15">
        <v>360</v>
      </c>
      <c r="J149" s="13" t="s">
        <v>22</v>
      </c>
      <c r="K149" s="13" t="s">
        <v>23</v>
      </c>
      <c r="L149" s="15">
        <v>885</v>
      </c>
      <c r="M149" s="13" t="s">
        <v>167</v>
      </c>
      <c r="N149" s="14">
        <v>46298.904710648145</v>
      </c>
      <c r="O149" s="15">
        <v>360</v>
      </c>
      <c r="P149" s="13" t="s">
        <v>25</v>
      </c>
      <c r="Q149" s="15">
        <v>190</v>
      </c>
      <c r="R149" s="3" t="str">
        <f>IF(OR(G149="12R",G149="12L"),_xlfn.XLOOKUP(C149,Tabla42[ADEP],Tabla42[SID 12R],""),IF(OR(G149="30L",G149="30R"),_xlfn.XLOOKUP(C149,Tabla42[ADEP],Tabla42[SID 30L],""),""))</f>
        <v>UDGUV</v>
      </c>
      <c r="S149" s="3">
        <f t="shared" si="2"/>
        <v>20</v>
      </c>
      <c r="T149" s="3" t="str">
        <f>_xlfn.XLOOKUP(C149,Tabla42[ADEP],Tabla42[Sector],"")</f>
        <v>Sector 2</v>
      </c>
    </row>
    <row r="150" spans="1:20" x14ac:dyDescent="0.2">
      <c r="A150" s="13" t="s">
        <v>467</v>
      </c>
      <c r="B150" s="13" t="s">
        <v>18</v>
      </c>
      <c r="C150" s="13" t="s">
        <v>184</v>
      </c>
      <c r="D150" s="13" t="s">
        <v>60</v>
      </c>
      <c r="E150" s="13" t="s">
        <v>1725</v>
      </c>
      <c r="F150" s="14">
        <v>46298.861504629633</v>
      </c>
      <c r="G150" s="13" t="s">
        <v>21</v>
      </c>
      <c r="H150" s="13" t="s">
        <v>1726</v>
      </c>
      <c r="I150" s="15">
        <v>330</v>
      </c>
      <c r="J150" s="13" t="s">
        <v>22</v>
      </c>
      <c r="K150" s="13" t="s">
        <v>23</v>
      </c>
      <c r="L150" s="15">
        <v>359</v>
      </c>
      <c r="M150" s="13" t="s">
        <v>30</v>
      </c>
      <c r="N150" s="14">
        <v>46298.880891203706</v>
      </c>
      <c r="O150" s="15">
        <v>330</v>
      </c>
      <c r="P150" s="13" t="s">
        <v>25</v>
      </c>
      <c r="Q150" s="15">
        <v>40</v>
      </c>
      <c r="R150" s="3" t="str">
        <f>IF(OR(G150="12R",G150="12L"),_xlfn.XLOOKUP(C150,Tabla42[ADEP],Tabla42[SID 12R],""),IF(OR(G150="30L",G150="30R"),_xlfn.XLOOKUP(C150,Tabla42[ADEP],Tabla42[SID 30L],""),""))</f>
        <v>OMSUK</v>
      </c>
      <c r="S150" s="3">
        <f t="shared" si="2"/>
        <v>20</v>
      </c>
      <c r="T150" s="3" t="str">
        <f>_xlfn.XLOOKUP(C150,Tabla42[ADEP],Tabla42[Sector],"")</f>
        <v>Sector 3</v>
      </c>
    </row>
    <row r="151" spans="1:20" x14ac:dyDescent="0.2">
      <c r="A151" s="13" t="s">
        <v>256</v>
      </c>
      <c r="B151" s="13" t="s">
        <v>18</v>
      </c>
      <c r="C151" s="13" t="s">
        <v>257</v>
      </c>
      <c r="D151" s="13" t="s">
        <v>117</v>
      </c>
      <c r="E151" s="13" t="s">
        <v>584</v>
      </c>
      <c r="F151" s="14">
        <v>46298.862939814819</v>
      </c>
      <c r="G151" s="13" t="s">
        <v>21</v>
      </c>
      <c r="H151" s="13" t="s">
        <v>1727</v>
      </c>
      <c r="I151" s="15">
        <v>280</v>
      </c>
      <c r="J151" s="13" t="s">
        <v>22</v>
      </c>
      <c r="K151" s="13" t="s">
        <v>23</v>
      </c>
      <c r="L151" s="15">
        <v>839</v>
      </c>
      <c r="M151" s="13" t="s">
        <v>210</v>
      </c>
      <c r="N151" s="14">
        <v>46298.903587962966</v>
      </c>
      <c r="O151" s="15">
        <v>280</v>
      </c>
      <c r="P151" s="13" t="s">
        <v>25</v>
      </c>
      <c r="Q151" s="15">
        <v>40</v>
      </c>
      <c r="R151" s="3" t="str">
        <f>IF(OR(G151="12R",G151="12L"),_xlfn.XLOOKUP(C151,Tabla42[ADEP],Tabla42[SID 12R],""),IF(OR(G151="30L",G151="30R"),_xlfn.XLOOKUP(C151,Tabla42[ADEP],Tabla42[SID 30L],""),""))</f>
        <v>UDGUV</v>
      </c>
      <c r="S151" s="3">
        <f t="shared" si="2"/>
        <v>20</v>
      </c>
      <c r="T151" s="3" t="str">
        <f>_xlfn.XLOOKUP(C151,Tabla42[ADEP],Tabla42[Sector],"")</f>
        <v>Sector 2</v>
      </c>
    </row>
    <row r="152" spans="1:20" x14ac:dyDescent="0.2">
      <c r="A152" s="13" t="s">
        <v>978</v>
      </c>
      <c r="B152" s="13" t="s">
        <v>18</v>
      </c>
      <c r="C152" s="13" t="s">
        <v>286</v>
      </c>
      <c r="D152" s="13" t="s">
        <v>53</v>
      </c>
      <c r="E152" s="13" t="s">
        <v>962</v>
      </c>
      <c r="F152" s="14">
        <v>46298.86509259259</v>
      </c>
      <c r="G152" s="13" t="s">
        <v>21</v>
      </c>
      <c r="H152" s="13" t="s">
        <v>1728</v>
      </c>
      <c r="I152" s="15">
        <v>340</v>
      </c>
      <c r="J152" s="13" t="s">
        <v>22</v>
      </c>
      <c r="K152" s="13" t="s">
        <v>23</v>
      </c>
      <c r="L152" s="15">
        <v>323</v>
      </c>
      <c r="M152" s="13" t="s">
        <v>1729</v>
      </c>
      <c r="N152" s="14">
        <v>46298.884004629625</v>
      </c>
      <c r="O152" s="15">
        <v>380</v>
      </c>
      <c r="P152" s="13" t="s">
        <v>25</v>
      </c>
      <c r="Q152" s="15">
        <v>190</v>
      </c>
      <c r="R152" s="3" t="str">
        <f>IF(OR(G152="12R",G152="12L"),_xlfn.XLOOKUP(C152,Tabla42[ADEP],Tabla42[SID 12R],""),IF(OR(G152="30L",G152="30R"),_xlfn.XLOOKUP(C152,Tabla42[ADEP],Tabla42[SID 30L],""),""))</f>
        <v>CZM</v>
      </c>
      <c r="S152" s="3">
        <f t="shared" si="2"/>
        <v>20</v>
      </c>
      <c r="T152" s="3" t="str">
        <f>_xlfn.XLOOKUP(C152,Tabla42[ADEP],Tabla42[Sector],"")</f>
        <v>Sector 7</v>
      </c>
    </row>
    <row r="153" spans="1:20" x14ac:dyDescent="0.2">
      <c r="A153" s="13" t="s">
        <v>289</v>
      </c>
      <c r="B153" s="13" t="s">
        <v>18</v>
      </c>
      <c r="C153" s="13" t="s">
        <v>290</v>
      </c>
      <c r="D153" s="13" t="s">
        <v>53</v>
      </c>
      <c r="E153" s="13" t="s">
        <v>815</v>
      </c>
      <c r="F153" s="14">
        <v>46298.879467592589</v>
      </c>
      <c r="G153" s="13" t="s">
        <v>21</v>
      </c>
      <c r="H153" s="13" t="s">
        <v>1730</v>
      </c>
      <c r="I153" s="15">
        <v>350</v>
      </c>
      <c r="J153" s="13" t="s">
        <v>22</v>
      </c>
      <c r="K153" s="13" t="s">
        <v>23</v>
      </c>
      <c r="L153" s="15">
        <v>184</v>
      </c>
      <c r="M153" s="13" t="s">
        <v>1731</v>
      </c>
      <c r="N153" s="14">
        <v>46298.892048611116</v>
      </c>
      <c r="O153" s="15">
        <v>295</v>
      </c>
      <c r="P153" s="13" t="s">
        <v>25</v>
      </c>
      <c r="Q153" s="15">
        <v>190</v>
      </c>
      <c r="R153" s="3" t="str">
        <f>IF(OR(G153="12R",G153="12L"),_xlfn.XLOOKUP(C153,Tabla42[ADEP],Tabla42[SID 12R],""),IF(OR(G153="30L",G153="30R"),_xlfn.XLOOKUP(C153,Tabla42[ADEP],Tabla42[SID 30L],""),""))</f>
        <v>CZM</v>
      </c>
      <c r="S153" s="3">
        <f t="shared" si="2"/>
        <v>21</v>
      </c>
      <c r="T153" s="3" t="str">
        <f>_xlfn.XLOOKUP(C153,Tabla42[ADEP],Tabla42[Sector],"")</f>
        <v>Sector 7</v>
      </c>
    </row>
    <row r="154" spans="1:20" x14ac:dyDescent="0.2">
      <c r="A154" s="13" t="s">
        <v>461</v>
      </c>
      <c r="B154" s="13" t="s">
        <v>18</v>
      </c>
      <c r="C154" s="13" t="s">
        <v>223</v>
      </c>
      <c r="D154" s="13" t="s">
        <v>28</v>
      </c>
      <c r="E154" s="13" t="s">
        <v>1732</v>
      </c>
      <c r="F154" s="14">
        <v>46298.881041666667</v>
      </c>
      <c r="G154" s="13" t="s">
        <v>21</v>
      </c>
      <c r="H154" s="13" t="s">
        <v>1733</v>
      </c>
      <c r="I154" s="15">
        <v>370</v>
      </c>
      <c r="J154" s="13" t="s">
        <v>22</v>
      </c>
      <c r="K154" s="13" t="s">
        <v>23</v>
      </c>
      <c r="L154" s="15">
        <v>359</v>
      </c>
      <c r="M154" s="13" t="s">
        <v>30</v>
      </c>
      <c r="N154" s="14">
        <v>46298.900324074071</v>
      </c>
      <c r="O154" s="15">
        <v>370</v>
      </c>
      <c r="P154" s="13" t="s">
        <v>25</v>
      </c>
      <c r="Q154" s="15">
        <v>40</v>
      </c>
      <c r="R154" s="3" t="str">
        <f>IF(OR(G154="12R",G154="12L"),_xlfn.XLOOKUP(C154,Tabla42[ADEP],Tabla42[SID 12R],""),IF(OR(G154="30L",G154="30R"),_xlfn.XLOOKUP(C154,Tabla42[ADEP],Tabla42[SID 30L],""),""))</f>
        <v>OMSUK</v>
      </c>
      <c r="S154" s="3">
        <f t="shared" si="2"/>
        <v>21</v>
      </c>
      <c r="T154" s="3" t="str">
        <f>_xlfn.XLOOKUP(C154,Tabla42[ADEP],Tabla42[Sector],"")</f>
        <v>Sector 3</v>
      </c>
    </row>
    <row r="155" spans="1:20" x14ac:dyDescent="0.2">
      <c r="A155" s="13" t="s">
        <v>476</v>
      </c>
      <c r="B155" s="13" t="s">
        <v>18</v>
      </c>
      <c r="C155" s="13" t="s">
        <v>188</v>
      </c>
      <c r="D155" s="13" t="s">
        <v>43</v>
      </c>
      <c r="E155" s="13" t="s">
        <v>739</v>
      </c>
      <c r="F155" s="14">
        <v>46298.882881944446</v>
      </c>
      <c r="G155" s="13" t="s">
        <v>21</v>
      </c>
      <c r="H155" s="13" t="s">
        <v>1734</v>
      </c>
      <c r="I155" s="15">
        <v>340</v>
      </c>
      <c r="J155" s="13" t="s">
        <v>22</v>
      </c>
      <c r="K155" s="13" t="s">
        <v>23</v>
      </c>
      <c r="L155" s="15">
        <v>518</v>
      </c>
      <c r="M155" s="13" t="s">
        <v>123</v>
      </c>
      <c r="N155" s="14">
        <v>46298.910601851851</v>
      </c>
      <c r="O155" s="15">
        <v>340</v>
      </c>
      <c r="P155" s="13" t="s">
        <v>25</v>
      </c>
      <c r="Q155" s="15">
        <v>40</v>
      </c>
      <c r="R155" s="3" t="str">
        <f>IF(OR(G155="12R",G155="12L"),_xlfn.XLOOKUP(C155,Tabla42[ADEP],Tabla42[SID 12R],""),IF(OR(G155="30L",G155="30R"),_xlfn.XLOOKUP(C155,Tabla42[ADEP],Tabla42[SID 30L],""),""))</f>
        <v>ENEBA</v>
      </c>
      <c r="S155" s="3">
        <f t="shared" si="2"/>
        <v>21</v>
      </c>
      <c r="T155" s="3" t="str">
        <f>_xlfn.XLOOKUP(C155,Tabla42[ADEP],Tabla42[Sector],"")</f>
        <v>Sector 3</v>
      </c>
    </row>
    <row r="156" spans="1:20" x14ac:dyDescent="0.2">
      <c r="A156" t="s">
        <v>294</v>
      </c>
      <c r="B156" t="s">
        <v>18</v>
      </c>
      <c r="C156" t="s">
        <v>128</v>
      </c>
      <c r="D156" t="s">
        <v>43</v>
      </c>
      <c r="E156" t="s">
        <v>607</v>
      </c>
      <c r="F156" s="2">
        <v>46298.884432870371</v>
      </c>
      <c r="G156" t="s">
        <v>21</v>
      </c>
      <c r="H156" t="s">
        <v>1735</v>
      </c>
      <c r="I156" s="3">
        <v>310</v>
      </c>
      <c r="J156" t="s">
        <v>22</v>
      </c>
      <c r="K156" t="s">
        <v>23</v>
      </c>
      <c r="L156" s="3">
        <v>216</v>
      </c>
      <c r="M156" t="s">
        <v>355</v>
      </c>
      <c r="N156" s="2">
        <v>46298.898206018523</v>
      </c>
      <c r="O156" s="3">
        <v>283</v>
      </c>
      <c r="P156" t="s">
        <v>25</v>
      </c>
      <c r="Q156" s="3">
        <v>40</v>
      </c>
      <c r="R156" s="3" t="str">
        <f>IF(OR(G156="12R",G156="12L"),_xlfn.XLOOKUP(C156,Tabla42[ADEP],Tabla42[SID 12R],""),IF(OR(G156="30L",G156="30R"),_xlfn.XLOOKUP(C156,Tabla42[ADEP],Tabla42[SID 30L],""),""))</f>
        <v>OMSUK</v>
      </c>
      <c r="S156" s="3">
        <f t="shared" si="2"/>
        <v>21</v>
      </c>
      <c r="T156" s="3" t="str">
        <f>_xlfn.XLOOKUP(C156,Tabla42[ADEP],Tabla42[Sector],"")</f>
        <v>Sector 3</v>
      </c>
    </row>
    <row r="157" spans="1:20" x14ac:dyDescent="0.2">
      <c r="A157" t="s">
        <v>296</v>
      </c>
      <c r="B157" t="s">
        <v>18</v>
      </c>
      <c r="C157" t="s">
        <v>121</v>
      </c>
      <c r="D157" t="s">
        <v>60</v>
      </c>
      <c r="E157" t="s">
        <v>1736</v>
      </c>
      <c r="F157" s="2">
        <v>46298.885949074072</v>
      </c>
      <c r="G157" t="s">
        <v>21</v>
      </c>
      <c r="H157" t="s">
        <v>1737</v>
      </c>
      <c r="I157" s="3">
        <v>340</v>
      </c>
      <c r="J157" t="s">
        <v>22</v>
      </c>
      <c r="K157" t="s">
        <v>23</v>
      </c>
      <c r="L157" s="3">
        <v>521</v>
      </c>
      <c r="M157" t="s">
        <v>123</v>
      </c>
      <c r="N157" s="2">
        <v>46298.913761574076</v>
      </c>
      <c r="O157" s="3">
        <v>320</v>
      </c>
      <c r="P157" t="s">
        <v>25</v>
      </c>
      <c r="Q157" s="3">
        <v>40</v>
      </c>
      <c r="R157" s="3" t="str">
        <f>IF(OR(G157="12R",G157="12L"),_xlfn.XLOOKUP(C157,Tabla42[ADEP],Tabla42[SID 12R],""),IF(OR(G157="30L",G157="30R"),_xlfn.XLOOKUP(C157,Tabla42[ADEP],Tabla42[SID 30L],""),""))</f>
        <v>ENEBA</v>
      </c>
      <c r="S157" s="3">
        <f t="shared" si="2"/>
        <v>21</v>
      </c>
      <c r="T157" s="3" t="str">
        <f>_xlfn.XLOOKUP(C157,Tabla42[ADEP],Tabla42[Sector],"")</f>
        <v>Sector 3</v>
      </c>
    </row>
    <row r="158" spans="1:20" x14ac:dyDescent="0.2">
      <c r="A158" t="s">
        <v>765</v>
      </c>
      <c r="B158" t="s">
        <v>18</v>
      </c>
      <c r="C158" t="s">
        <v>158</v>
      </c>
      <c r="D158" t="s">
        <v>60</v>
      </c>
      <c r="E158" t="s">
        <v>766</v>
      </c>
      <c r="F158" s="2">
        <v>46298.887465277774</v>
      </c>
      <c r="G158" t="s">
        <v>21</v>
      </c>
      <c r="H158" t="s">
        <v>1738</v>
      </c>
      <c r="I158" s="3">
        <v>350</v>
      </c>
      <c r="J158" t="s">
        <v>22</v>
      </c>
      <c r="K158" t="s">
        <v>23</v>
      </c>
      <c r="L158" s="3">
        <v>133</v>
      </c>
      <c r="M158" t="s">
        <v>39</v>
      </c>
      <c r="N158" s="2">
        <v>46298.897233796291</v>
      </c>
      <c r="O158" s="3">
        <v>215</v>
      </c>
      <c r="P158" t="s">
        <v>25</v>
      </c>
      <c r="Q158" s="3">
        <v>190</v>
      </c>
      <c r="R158" s="3" t="str">
        <f>IF(OR(G158="12R",G158="12L"),_xlfn.XLOOKUP(C158,Tabla42[ADEP],Tabla42[SID 12R],""),IF(OR(G158="30L",G158="30R"),_xlfn.XLOOKUP(C158,Tabla42[ADEP],Tabla42[SID 30L],""),""))</f>
        <v>OMSUK</v>
      </c>
      <c r="S158" s="3">
        <f t="shared" si="2"/>
        <v>21</v>
      </c>
      <c r="T158" s="3" t="str">
        <f>_xlfn.XLOOKUP(C158,Tabla42[ADEP],Tabla42[Sector],"")</f>
        <v>Sector 3</v>
      </c>
    </row>
    <row r="159" spans="1:20" x14ac:dyDescent="0.2">
      <c r="A159" t="s">
        <v>302</v>
      </c>
      <c r="B159" t="s">
        <v>18</v>
      </c>
      <c r="C159" t="s">
        <v>303</v>
      </c>
      <c r="D159" t="s">
        <v>28</v>
      </c>
      <c r="E159" t="s">
        <v>1739</v>
      </c>
      <c r="F159" s="2">
        <v>46298.888831018514</v>
      </c>
      <c r="G159" t="s">
        <v>21</v>
      </c>
      <c r="H159" t="s">
        <v>1740</v>
      </c>
      <c r="I159" s="3">
        <v>360</v>
      </c>
      <c r="J159" t="s">
        <v>22</v>
      </c>
      <c r="K159" t="s">
        <v>23</v>
      </c>
      <c r="L159" s="3">
        <v>435</v>
      </c>
      <c r="M159" t="s">
        <v>189</v>
      </c>
      <c r="N159" s="2">
        <v>46298.913078703699</v>
      </c>
      <c r="O159" s="3">
        <v>360</v>
      </c>
      <c r="P159" t="s">
        <v>25</v>
      </c>
      <c r="Q159" s="3">
        <v>40</v>
      </c>
      <c r="R159" s="3" t="str">
        <f>IF(OR(G159="12R",G159="12L"),_xlfn.XLOOKUP(C159,Tabla42[ADEP],Tabla42[SID 12R],""),IF(OR(G159="30L",G159="30R"),_xlfn.XLOOKUP(C159,Tabla42[ADEP],Tabla42[SID 30L],""),""))</f>
        <v>OMSUK</v>
      </c>
      <c r="S159" s="3">
        <f t="shared" si="2"/>
        <v>21</v>
      </c>
      <c r="T159" s="3" t="str">
        <f>_xlfn.XLOOKUP(C159,Tabla42[ADEP],Tabla42[Sector],"")</f>
        <v>Sector 3</v>
      </c>
    </row>
    <row r="160" spans="1:20" x14ac:dyDescent="0.2">
      <c r="A160" t="s">
        <v>292</v>
      </c>
      <c r="B160" t="s">
        <v>18</v>
      </c>
      <c r="C160" t="s">
        <v>293</v>
      </c>
      <c r="D160" t="s">
        <v>43</v>
      </c>
      <c r="E160" t="s">
        <v>782</v>
      </c>
      <c r="F160" s="2">
        <v>46298.889710648145</v>
      </c>
      <c r="G160" t="s">
        <v>21</v>
      </c>
      <c r="H160" t="s">
        <v>1741</v>
      </c>
      <c r="I160" s="3">
        <v>360</v>
      </c>
      <c r="J160" t="s">
        <v>22</v>
      </c>
      <c r="K160" t="s">
        <v>23</v>
      </c>
      <c r="L160" s="3">
        <v>870</v>
      </c>
      <c r="M160" t="s">
        <v>35</v>
      </c>
      <c r="N160" s="2">
        <v>46298.932037037041</v>
      </c>
      <c r="O160" s="3">
        <v>360</v>
      </c>
      <c r="P160" t="s">
        <v>25</v>
      </c>
      <c r="Q160" s="3">
        <v>190</v>
      </c>
      <c r="R160" s="3" t="str">
        <f>IF(OR(G160="12R",G160="12L"),_xlfn.XLOOKUP(C160,Tabla42[ADEP],Tabla42[SID 12R],""),IF(OR(G160="30L",G160="30R"),_xlfn.XLOOKUP(C160,Tabla42[ADEP],Tabla42[SID 30L],""),""))</f>
        <v>UDGUV</v>
      </c>
      <c r="S160" s="3">
        <f t="shared" si="2"/>
        <v>21</v>
      </c>
      <c r="T160" s="3" t="str">
        <f>_xlfn.XLOOKUP(C160,Tabla42[ADEP],Tabla42[Sector],"")</f>
        <v>Sector 2</v>
      </c>
    </row>
    <row r="161" spans="1:20" x14ac:dyDescent="0.2">
      <c r="A161" t="s">
        <v>309</v>
      </c>
      <c r="B161" t="s">
        <v>18</v>
      </c>
      <c r="C161" t="s">
        <v>19</v>
      </c>
      <c r="D161" t="s">
        <v>53</v>
      </c>
      <c r="E161" t="s">
        <v>519</v>
      </c>
      <c r="F161" s="2">
        <v>46298.897418981476</v>
      </c>
      <c r="G161" t="s">
        <v>21</v>
      </c>
      <c r="H161" t="s">
        <v>1742</v>
      </c>
      <c r="I161" s="3">
        <v>380</v>
      </c>
      <c r="J161" t="s">
        <v>22</v>
      </c>
      <c r="K161" t="s">
        <v>23</v>
      </c>
      <c r="L161" s="3">
        <v>859</v>
      </c>
      <c r="M161" t="s">
        <v>24</v>
      </c>
      <c r="N161" s="2">
        <v>46298.941030092596</v>
      </c>
      <c r="O161" s="3">
        <v>380</v>
      </c>
      <c r="P161" t="s">
        <v>25</v>
      </c>
      <c r="Q161" s="3">
        <v>190</v>
      </c>
      <c r="R161" s="3" t="str">
        <f>IF(OR(G161="12R",G161="12L"),_xlfn.XLOOKUP(C161,Tabla42[ADEP],Tabla42[SID 12R],""),IF(OR(G161="30L",G161="30R"),_xlfn.XLOOKUP(C161,Tabla42[ADEP],Tabla42[SID 30L],""),""))</f>
        <v>UDGUV</v>
      </c>
      <c r="S161" s="3">
        <f t="shared" si="2"/>
        <v>21</v>
      </c>
      <c r="T161" s="3" t="str">
        <f>_xlfn.XLOOKUP(C161,Tabla42[ADEP],Tabla42[Sector],"")</f>
        <v>Sector 2</v>
      </c>
    </row>
    <row r="162" spans="1:20" x14ac:dyDescent="0.2">
      <c r="A162" t="s">
        <v>308</v>
      </c>
      <c r="B162" t="s">
        <v>18</v>
      </c>
      <c r="C162" t="s">
        <v>137</v>
      </c>
      <c r="D162" t="s">
        <v>122</v>
      </c>
      <c r="E162" t="s">
        <v>407</v>
      </c>
      <c r="F162" s="2">
        <v>46298.898263888885</v>
      </c>
      <c r="G162" t="s">
        <v>21</v>
      </c>
      <c r="H162" t="s">
        <v>386</v>
      </c>
      <c r="I162" s="3">
        <v>370</v>
      </c>
      <c r="J162" t="s">
        <v>22</v>
      </c>
      <c r="K162" t="s">
        <v>23</v>
      </c>
      <c r="L162" s="3">
        <v>136</v>
      </c>
      <c r="M162" t="s">
        <v>39</v>
      </c>
      <c r="N162" s="2">
        <v>46298.908101851848</v>
      </c>
      <c r="O162" s="3">
        <v>272</v>
      </c>
      <c r="P162" t="s">
        <v>25</v>
      </c>
      <c r="Q162" s="3">
        <v>190</v>
      </c>
      <c r="R162" s="3" t="str">
        <f>IF(OR(G162="12R",G162="12L"),_xlfn.XLOOKUP(C162,Tabla42[ADEP],Tabla42[SID 12R],""),IF(OR(G162="30L",G162="30R"),_xlfn.XLOOKUP(C162,Tabla42[ADEP],Tabla42[SID 30L],""),""))</f>
        <v>NUDAL</v>
      </c>
      <c r="S162" s="3">
        <f t="shared" si="2"/>
        <v>21</v>
      </c>
      <c r="T162" s="3" t="str">
        <f>_xlfn.XLOOKUP(C162,Tabla42[ADEP],Tabla42[Sector],"")</f>
        <v>Sector 3</v>
      </c>
    </row>
    <row r="163" spans="1:20" x14ac:dyDescent="0.2">
      <c r="A163" t="s">
        <v>299</v>
      </c>
      <c r="B163" t="s">
        <v>18</v>
      </c>
      <c r="C163" t="s">
        <v>300</v>
      </c>
      <c r="D163" t="s">
        <v>117</v>
      </c>
      <c r="E163" t="s">
        <v>1046</v>
      </c>
      <c r="F163" s="2">
        <v>46298.899884259255</v>
      </c>
      <c r="G163" t="s">
        <v>21</v>
      </c>
      <c r="H163" t="s">
        <v>1743</v>
      </c>
      <c r="I163" s="3">
        <v>340</v>
      </c>
      <c r="J163" t="s">
        <v>22</v>
      </c>
      <c r="K163" t="s">
        <v>23</v>
      </c>
      <c r="L163" s="3">
        <v>539</v>
      </c>
      <c r="M163" t="s">
        <v>123</v>
      </c>
      <c r="N163" s="2">
        <v>46298.927152777775</v>
      </c>
      <c r="O163" s="3">
        <v>340</v>
      </c>
      <c r="P163" t="s">
        <v>25</v>
      </c>
      <c r="Q163" s="3">
        <v>40</v>
      </c>
      <c r="R163" s="3" t="str">
        <f>IF(OR(G163="12R",G163="12L"),_xlfn.XLOOKUP(C163,Tabla42[ADEP],Tabla42[SID 12R],""),IF(OR(G163="30L",G163="30R"),_xlfn.XLOOKUP(C163,Tabla42[ADEP],Tabla42[SID 30L],""),""))</f>
        <v>OMSUK</v>
      </c>
      <c r="S163" s="3">
        <f t="shared" si="2"/>
        <v>21</v>
      </c>
      <c r="T163" s="3" t="str">
        <f>_xlfn.XLOOKUP(C163,Tabla42[ADEP],Tabla42[Sector],"")</f>
        <v>Sector 3</v>
      </c>
    </row>
    <row r="164" spans="1:20" x14ac:dyDescent="0.2">
      <c r="A164" t="s">
        <v>611</v>
      </c>
      <c r="B164" t="s">
        <v>18</v>
      </c>
      <c r="C164" t="s">
        <v>297</v>
      </c>
      <c r="D164" t="s">
        <v>243</v>
      </c>
      <c r="E164" t="s">
        <v>288</v>
      </c>
      <c r="F164" s="2">
        <v>46298.90152777778</v>
      </c>
      <c r="G164" t="s">
        <v>21</v>
      </c>
      <c r="H164" t="s">
        <v>1744</v>
      </c>
      <c r="I164" s="3">
        <v>370</v>
      </c>
      <c r="J164" t="s">
        <v>22</v>
      </c>
      <c r="K164" t="s">
        <v>23</v>
      </c>
      <c r="L164" s="3">
        <v>348</v>
      </c>
      <c r="M164" t="s">
        <v>568</v>
      </c>
      <c r="N164" s="2">
        <v>46298.919918981483</v>
      </c>
      <c r="O164" s="3">
        <v>370</v>
      </c>
      <c r="P164" t="s">
        <v>40</v>
      </c>
      <c r="Q164" s="3">
        <v>40</v>
      </c>
      <c r="R164" s="3" t="str">
        <f>IF(OR(G164="12R",G164="12L"),_xlfn.XLOOKUP(C164,Tabla42[ADEP],Tabla42[SID 12R],""),IF(OR(G164="30L",G164="30R"),_xlfn.XLOOKUP(C164,Tabla42[ADEP],Tabla42[SID 30L],""),""))</f>
        <v>NUDAL</v>
      </c>
      <c r="S164" s="3">
        <f t="shared" si="2"/>
        <v>21</v>
      </c>
      <c r="T164" s="3" t="str">
        <f>_xlfn.XLOOKUP(C164,Tabla42[ADEP],Tabla42[Sector],"")</f>
        <v>Sector 3</v>
      </c>
    </row>
    <row r="165" spans="1:20" x14ac:dyDescent="0.2">
      <c r="A165" t="s">
        <v>315</v>
      </c>
      <c r="B165" t="s">
        <v>18</v>
      </c>
      <c r="C165" t="s">
        <v>96</v>
      </c>
      <c r="D165" t="s">
        <v>20</v>
      </c>
      <c r="E165" t="s">
        <v>684</v>
      </c>
      <c r="F165" s="2">
        <v>46298.904363425929</v>
      </c>
      <c r="G165" t="s">
        <v>21</v>
      </c>
      <c r="H165" t="s">
        <v>366</v>
      </c>
      <c r="I165" s="3">
        <v>360</v>
      </c>
      <c r="J165" t="s">
        <v>22</v>
      </c>
      <c r="K165" t="s">
        <v>141</v>
      </c>
      <c r="L165" s="3">
        <v>859</v>
      </c>
      <c r="M165" t="s">
        <v>45</v>
      </c>
      <c r="N165" s="2">
        <v>46298.947870370372</v>
      </c>
      <c r="O165" s="3">
        <v>360</v>
      </c>
      <c r="P165" t="s">
        <v>25</v>
      </c>
      <c r="Q165" s="3">
        <v>190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t="s">
        <v>311</v>
      </c>
      <c r="B166" t="s">
        <v>18</v>
      </c>
      <c r="C166" t="s">
        <v>109</v>
      </c>
      <c r="D166" t="s">
        <v>122</v>
      </c>
      <c r="E166" t="s">
        <v>1745</v>
      </c>
      <c r="F166" s="2">
        <v>46298.91342592593</v>
      </c>
      <c r="G166" t="s">
        <v>21</v>
      </c>
      <c r="H166" t="s">
        <v>1746</v>
      </c>
      <c r="I166" s="3">
        <v>350</v>
      </c>
      <c r="J166" t="s">
        <v>22</v>
      </c>
      <c r="K166" t="s">
        <v>23</v>
      </c>
      <c r="L166" s="3">
        <v>160</v>
      </c>
      <c r="M166" t="s">
        <v>111</v>
      </c>
      <c r="N166" s="2">
        <v>46298.924375000002</v>
      </c>
      <c r="O166" s="3">
        <v>294</v>
      </c>
      <c r="P166" t="s">
        <v>25</v>
      </c>
      <c r="Q166" s="3">
        <v>190</v>
      </c>
      <c r="R166" s="3" t="str">
        <f>IF(OR(G166="12R",G166="12L"),_xlfn.XLOOKUP(C166,Tabla42[ADEP],Tabla42[SID 12R],""),IF(OR(G166="30L",G166="30R"),_xlfn.XLOOKUP(C166,Tabla42[ADEP],Tabla42[SID 30L],""),""))</f>
        <v>TAKUX</v>
      </c>
      <c r="S166" s="3">
        <f t="shared" si="2"/>
        <v>21</v>
      </c>
      <c r="T166" s="3" t="str">
        <f>_xlfn.XLOOKUP(C166,Tabla42[ADEP],Tabla42[Sector],"")</f>
        <v>Sector 7</v>
      </c>
    </row>
    <row r="167" spans="1:20" x14ac:dyDescent="0.2">
      <c r="A167" t="s">
        <v>312</v>
      </c>
      <c r="B167" t="s">
        <v>18</v>
      </c>
      <c r="C167" t="s">
        <v>204</v>
      </c>
      <c r="D167" t="s">
        <v>33</v>
      </c>
      <c r="E167" t="s">
        <v>1747</v>
      </c>
      <c r="F167" s="2">
        <v>46298.915810185186</v>
      </c>
      <c r="G167" t="s">
        <v>21</v>
      </c>
      <c r="H167" t="s">
        <v>1748</v>
      </c>
      <c r="I167" s="3">
        <v>330</v>
      </c>
      <c r="J167" t="s">
        <v>22</v>
      </c>
      <c r="K167" t="s">
        <v>23</v>
      </c>
      <c r="L167" s="3">
        <v>150</v>
      </c>
      <c r="M167" t="s">
        <v>111</v>
      </c>
      <c r="N167" s="2">
        <v>46298.926516203705</v>
      </c>
      <c r="O167" s="3">
        <v>249</v>
      </c>
      <c r="P167" t="s">
        <v>25</v>
      </c>
      <c r="Q167" s="3">
        <v>190</v>
      </c>
      <c r="R167" s="3" t="str">
        <f>IF(OR(G167="12R",G167="12L"),_xlfn.XLOOKUP(C167,Tabla42[ADEP],Tabla42[SID 12R],""),IF(OR(G167="30L",G167="30R"),_xlfn.XLOOKUP(C167,Tabla42[ADEP],Tabla42[SID 30L],""),""))</f>
        <v>TAKUX</v>
      </c>
      <c r="S167" s="3">
        <f t="shared" si="2"/>
        <v>21</v>
      </c>
      <c r="T167" s="3" t="str">
        <f>_xlfn.XLOOKUP(C167,Tabla42[ADEP],Tabla42[Sector],"")</f>
        <v>Sector 7</v>
      </c>
    </row>
    <row r="168" spans="1:20" x14ac:dyDescent="0.2">
      <c r="A168" t="s">
        <v>1201</v>
      </c>
      <c r="B168" t="s">
        <v>18</v>
      </c>
      <c r="C168" t="s">
        <v>592</v>
      </c>
      <c r="D168" t="s">
        <v>110</v>
      </c>
      <c r="E168" t="s">
        <v>381</v>
      </c>
      <c r="F168" s="2">
        <v>46298.918483796297</v>
      </c>
      <c r="G168" t="s">
        <v>21</v>
      </c>
      <c r="H168" t="s">
        <v>1749</v>
      </c>
      <c r="I168" s="3">
        <v>380</v>
      </c>
      <c r="J168" t="s">
        <v>22</v>
      </c>
      <c r="K168" t="s">
        <v>23</v>
      </c>
      <c r="L168" s="3">
        <v>446</v>
      </c>
      <c r="M168" t="s">
        <v>189</v>
      </c>
      <c r="N168" s="2">
        <v>46298.942199074074</v>
      </c>
      <c r="O168" s="3">
        <v>380</v>
      </c>
      <c r="P168" t="s">
        <v>25</v>
      </c>
      <c r="Q168" s="3">
        <v>40</v>
      </c>
      <c r="R168" s="3" t="str">
        <f>IF(OR(G168="12R",G168="12L"),_xlfn.XLOOKUP(C168,Tabla42[ADEP],Tabla42[SID 12R],""),IF(OR(G168="30L",G168="30R"),_xlfn.XLOOKUP(C168,Tabla42[ADEP],Tabla42[SID 30L],""),""))</f>
        <v>ENEBA</v>
      </c>
      <c r="S168" s="3">
        <f t="shared" si="2"/>
        <v>22</v>
      </c>
      <c r="T168" s="3" t="str">
        <f>_xlfn.XLOOKUP(C168,Tabla42[ADEP],Tabla42[Sector],"")</f>
        <v>Sector 3</v>
      </c>
    </row>
    <row r="169" spans="1:20" x14ac:dyDescent="0.2">
      <c r="A169" t="s">
        <v>313</v>
      </c>
      <c r="B169" t="s">
        <v>18</v>
      </c>
      <c r="C169" t="s">
        <v>73</v>
      </c>
      <c r="D169" t="s">
        <v>53</v>
      </c>
      <c r="E169" t="s">
        <v>106</v>
      </c>
      <c r="F169" s="2">
        <v>46298.920092592598</v>
      </c>
      <c r="G169" t="s">
        <v>21</v>
      </c>
      <c r="H169" t="s">
        <v>1750</v>
      </c>
      <c r="I169" s="3">
        <v>360</v>
      </c>
      <c r="J169" t="s">
        <v>22</v>
      </c>
      <c r="K169" t="s">
        <v>23</v>
      </c>
      <c r="L169" s="3">
        <v>720</v>
      </c>
      <c r="M169" t="s">
        <v>73</v>
      </c>
      <c r="N169" s="2">
        <v>46298.962500000001</v>
      </c>
      <c r="O169" s="3">
        <v>0</v>
      </c>
      <c r="P169" t="s">
        <v>25</v>
      </c>
      <c r="Q169" s="3">
        <v>190</v>
      </c>
      <c r="R169" s="3" t="str">
        <f>IF(OR(G169="12R",G169="12L"),_xlfn.XLOOKUP(C169,Tabla42[ADEP],Tabla42[SID 12R],""),IF(OR(G169="30L",G169="30R"),_xlfn.XLOOKUP(C169,Tabla42[ADEP],Tabla42[SID 30L],""),""))</f>
        <v>UDGUV</v>
      </c>
      <c r="S169" s="3">
        <f t="shared" si="2"/>
        <v>22</v>
      </c>
      <c r="T169" s="3" t="str">
        <f>_xlfn.XLOOKUP(C169,Tabla42[ADEP],Tabla42[Sector],"")</f>
        <v>Sector 2</v>
      </c>
    </row>
    <row r="170" spans="1:20" x14ac:dyDescent="0.2">
      <c r="A170" t="s">
        <v>1751</v>
      </c>
      <c r="B170" t="s">
        <v>18</v>
      </c>
      <c r="C170" t="s">
        <v>814</v>
      </c>
      <c r="D170" t="s">
        <v>306</v>
      </c>
      <c r="E170" t="s">
        <v>1752</v>
      </c>
      <c r="F170" s="2">
        <v>46298.921180555553</v>
      </c>
      <c r="G170" t="s">
        <v>21</v>
      </c>
      <c r="H170" t="s">
        <v>1753</v>
      </c>
      <c r="I170" s="3">
        <v>360</v>
      </c>
      <c r="J170" t="s">
        <v>22</v>
      </c>
      <c r="K170" t="s">
        <v>23</v>
      </c>
      <c r="L170" s="3">
        <v>445</v>
      </c>
      <c r="M170" t="s">
        <v>189</v>
      </c>
      <c r="N170" s="2">
        <v>46298.945694444439</v>
      </c>
      <c r="O170" s="3">
        <v>360</v>
      </c>
      <c r="P170" t="s">
        <v>25</v>
      </c>
      <c r="Q170" s="3">
        <v>40</v>
      </c>
      <c r="R170" s="3" t="str">
        <f>IF(OR(G170="12R",G170="12L"),_xlfn.XLOOKUP(C170,Tabla42[ADEP],Tabla42[SID 12R],""),IF(OR(G170="30L",G170="30R"),_xlfn.XLOOKUP(C170,Tabla42[ADEP],Tabla42[SID 30L],""),""))</f>
        <v>ENEBA</v>
      </c>
      <c r="S170" s="3">
        <f t="shared" si="2"/>
        <v>22</v>
      </c>
      <c r="T170" s="3" t="str">
        <f>_xlfn.XLOOKUP(C170,Tabla42[ADEP],Tabla42[Sector],"")</f>
        <v>Sector 3</v>
      </c>
    </row>
    <row r="171" spans="1:20" x14ac:dyDescent="0.2">
      <c r="A171" t="s">
        <v>1754</v>
      </c>
      <c r="B171" t="s">
        <v>18</v>
      </c>
      <c r="C171" t="s">
        <v>874</v>
      </c>
      <c r="D171" t="s">
        <v>110</v>
      </c>
      <c r="E171" t="s">
        <v>1755</v>
      </c>
      <c r="F171" s="2">
        <v>46298.92355324074</v>
      </c>
      <c r="G171" t="s">
        <v>21</v>
      </c>
      <c r="H171" t="s">
        <v>1756</v>
      </c>
      <c r="I171" s="3">
        <v>400</v>
      </c>
      <c r="J171" t="s">
        <v>22</v>
      </c>
      <c r="K171" t="s">
        <v>23</v>
      </c>
      <c r="L171" s="3">
        <v>884</v>
      </c>
      <c r="M171" t="s">
        <v>974</v>
      </c>
      <c r="N171" s="2">
        <v>46298.966689814813</v>
      </c>
      <c r="O171" s="3">
        <v>400</v>
      </c>
      <c r="P171" t="s">
        <v>25</v>
      </c>
      <c r="Q171" s="3">
        <v>190</v>
      </c>
      <c r="R171" s="3" t="str">
        <f>IF(OR(G171="12R",G171="12L"),_xlfn.XLOOKUP(C171,Tabla42[ADEP],Tabla42[SID 12R],""),IF(OR(G171="30L",G171="30R"),_xlfn.XLOOKUP(C171,Tabla42[ADEP],Tabla42[SID 30L],""),""))</f>
        <v>ENEBA</v>
      </c>
      <c r="S171" s="3">
        <f t="shared" si="2"/>
        <v>22</v>
      </c>
      <c r="T171" s="3" t="str">
        <f>_xlfn.XLOOKUP(C171,Tabla42[ADEP],Tabla42[Sector],"")</f>
        <v>Sector 3</v>
      </c>
    </row>
    <row r="172" spans="1:20" x14ac:dyDescent="0.2">
      <c r="A172" t="s">
        <v>291</v>
      </c>
      <c r="B172" t="s">
        <v>18</v>
      </c>
      <c r="C172" t="s">
        <v>209</v>
      </c>
      <c r="D172" t="s">
        <v>28</v>
      </c>
      <c r="E172" t="s">
        <v>1757</v>
      </c>
      <c r="F172" s="2">
        <v>46298.928136574075</v>
      </c>
      <c r="G172" t="s">
        <v>21</v>
      </c>
      <c r="H172" t="s">
        <v>1758</v>
      </c>
      <c r="I172" s="3">
        <v>360</v>
      </c>
      <c r="J172" t="s">
        <v>22</v>
      </c>
      <c r="K172" t="s">
        <v>23</v>
      </c>
      <c r="L172" s="3">
        <v>537</v>
      </c>
      <c r="M172" t="s">
        <v>123</v>
      </c>
      <c r="N172" s="2">
        <v>46298.955983796295</v>
      </c>
      <c r="O172" s="3">
        <v>360</v>
      </c>
      <c r="P172" t="s">
        <v>25</v>
      </c>
      <c r="Q172" s="3">
        <v>40</v>
      </c>
      <c r="R172" s="3" t="str">
        <f>IF(OR(G172="12R",G172="12L"),_xlfn.XLOOKUP(C172,Tabla42[ADEP],Tabla42[SID 12R],""),IF(OR(G172="30L",G172="30R"),_xlfn.XLOOKUP(C172,Tabla42[ADEP],Tabla42[SID 30L],""),""))</f>
        <v>ENEBA</v>
      </c>
      <c r="S172" s="3">
        <f t="shared" si="2"/>
        <v>22</v>
      </c>
      <c r="T172" s="3" t="str">
        <f>_xlfn.XLOOKUP(C172,Tabla42[ADEP],Tabla42[Sector],"")</f>
        <v>Sector 3</v>
      </c>
    </row>
    <row r="173" spans="1:20" x14ac:dyDescent="0.2">
      <c r="A173" t="s">
        <v>745</v>
      </c>
      <c r="B173" t="s">
        <v>18</v>
      </c>
      <c r="C173" t="s">
        <v>121</v>
      </c>
      <c r="D173" t="s">
        <v>122</v>
      </c>
      <c r="E173" t="s">
        <v>1759</v>
      </c>
      <c r="F173" s="2">
        <v>46298.933518518519</v>
      </c>
      <c r="G173" t="s">
        <v>21</v>
      </c>
      <c r="H173" t="s">
        <v>1760</v>
      </c>
      <c r="I173" s="3">
        <v>380</v>
      </c>
      <c r="J173" t="s">
        <v>22</v>
      </c>
      <c r="K173" t="s">
        <v>23</v>
      </c>
      <c r="L173" s="3">
        <v>549</v>
      </c>
      <c r="M173" t="s">
        <v>123</v>
      </c>
      <c r="N173" s="2">
        <v>46298.961180555554</v>
      </c>
      <c r="O173" s="3">
        <v>380</v>
      </c>
      <c r="P173" t="s">
        <v>25</v>
      </c>
      <c r="Q173" s="3">
        <v>40</v>
      </c>
      <c r="R173" s="3" t="str">
        <f>IF(OR(G173="12R",G173="12L"),_xlfn.XLOOKUP(C173,Tabla42[ADEP],Tabla42[SID 12R],""),IF(OR(G173="30L",G173="30R"),_xlfn.XLOOKUP(C173,Tabla42[ADEP],Tabla42[SID 30L],""),""))</f>
        <v>ENEBA</v>
      </c>
      <c r="S173" s="3">
        <f t="shared" si="2"/>
        <v>22</v>
      </c>
      <c r="T173" s="3" t="str">
        <f>_xlfn.XLOOKUP(C173,Tabla42[ADEP],Tabla42[Sector],"")</f>
        <v>Sector 3</v>
      </c>
    </row>
    <row r="174" spans="1:20" x14ac:dyDescent="0.2">
      <c r="A174" t="s">
        <v>503</v>
      </c>
      <c r="B174" t="s">
        <v>18</v>
      </c>
      <c r="C174" t="s">
        <v>489</v>
      </c>
      <c r="D174" t="s">
        <v>28</v>
      </c>
      <c r="E174" t="s">
        <v>1761</v>
      </c>
      <c r="F174" s="2">
        <v>46298.935057870374</v>
      </c>
      <c r="G174" t="s">
        <v>21</v>
      </c>
      <c r="H174" t="s">
        <v>1762</v>
      </c>
      <c r="I174" s="3">
        <v>360</v>
      </c>
      <c r="J174" t="s">
        <v>22</v>
      </c>
      <c r="K174" t="s">
        <v>23</v>
      </c>
      <c r="L174" s="3">
        <v>534</v>
      </c>
      <c r="M174" t="s">
        <v>123</v>
      </c>
      <c r="N174" s="2">
        <v>46298.964097222226</v>
      </c>
      <c r="O174" s="3">
        <v>360</v>
      </c>
      <c r="P174" t="s">
        <v>25</v>
      </c>
      <c r="Q174" s="3">
        <v>40</v>
      </c>
      <c r="R174" s="3" t="str">
        <f>IF(OR(G174="12R",G174="12L"),_xlfn.XLOOKUP(C174,Tabla42[ADEP],Tabla42[SID 12R],""),IF(OR(G174="30L",G174="30R"),_xlfn.XLOOKUP(C174,Tabla42[ADEP],Tabla42[SID 30L],""),""))</f>
        <v>OMSUK</v>
      </c>
      <c r="S174" s="3">
        <f t="shared" si="2"/>
        <v>22</v>
      </c>
      <c r="T174" s="3" t="str">
        <f>_xlfn.XLOOKUP(C174,Tabla42[ADEP],Tabla42[Sector],"")</f>
        <v>Sector 3</v>
      </c>
    </row>
    <row r="175" spans="1:20" x14ac:dyDescent="0.2">
      <c r="A175" t="s">
        <v>488</v>
      </c>
      <c r="B175" t="s">
        <v>18</v>
      </c>
      <c r="C175" t="s">
        <v>489</v>
      </c>
      <c r="D175" t="s">
        <v>28</v>
      </c>
      <c r="E175" t="s">
        <v>556</v>
      </c>
      <c r="F175" s="2">
        <v>46298.936805555553</v>
      </c>
      <c r="G175" t="s">
        <v>21</v>
      </c>
      <c r="H175" t="s">
        <v>1763</v>
      </c>
      <c r="I175" s="3">
        <v>340</v>
      </c>
      <c r="J175" t="s">
        <v>22</v>
      </c>
      <c r="K175" t="s">
        <v>23</v>
      </c>
      <c r="L175" s="3">
        <v>506</v>
      </c>
      <c r="M175" t="s">
        <v>967</v>
      </c>
      <c r="N175" s="2">
        <v>46298.962268518517</v>
      </c>
      <c r="O175" s="3">
        <v>320</v>
      </c>
      <c r="P175" t="s">
        <v>25</v>
      </c>
      <c r="Q175" s="3">
        <v>40</v>
      </c>
      <c r="R175" s="3" t="str">
        <f>IF(OR(G175="12R",G175="12L"),_xlfn.XLOOKUP(C175,Tabla42[ADEP],Tabla42[SID 12R],""),IF(OR(G175="30L",G175="30R"),_xlfn.XLOOKUP(C175,Tabla42[ADEP],Tabla42[SID 30L],""),""))</f>
        <v>OMSUK</v>
      </c>
      <c r="S175" s="3">
        <f t="shared" si="2"/>
        <v>22</v>
      </c>
      <c r="T175" s="3" t="str">
        <f>_xlfn.XLOOKUP(C175,Tabla42[ADEP],Tabla42[Sector],"")</f>
        <v>Sector 3</v>
      </c>
    </row>
    <row r="176" spans="1:20" x14ac:dyDescent="0.2">
      <c r="A176" t="s">
        <v>615</v>
      </c>
      <c r="B176" t="s">
        <v>18</v>
      </c>
      <c r="C176" t="s">
        <v>303</v>
      </c>
      <c r="D176" t="s">
        <v>28</v>
      </c>
      <c r="E176" t="s">
        <v>792</v>
      </c>
      <c r="F176" s="2">
        <v>46298.938518518524</v>
      </c>
      <c r="G176" t="s">
        <v>21</v>
      </c>
      <c r="H176" t="s">
        <v>1764</v>
      </c>
      <c r="I176" s="3">
        <v>360</v>
      </c>
      <c r="J176" t="s">
        <v>22</v>
      </c>
      <c r="K176" t="s">
        <v>23</v>
      </c>
      <c r="L176" s="3">
        <v>469</v>
      </c>
      <c r="M176" t="s">
        <v>1063</v>
      </c>
      <c r="N176" s="2">
        <v>46298.964085648149</v>
      </c>
      <c r="O176" s="3">
        <v>360</v>
      </c>
      <c r="P176" t="s">
        <v>25</v>
      </c>
      <c r="Q176" s="3">
        <v>40</v>
      </c>
      <c r="R176" s="3" t="str">
        <f>IF(OR(G176="12R",G176="12L"),_xlfn.XLOOKUP(C176,Tabla42[ADEP],Tabla42[SID 12R],""),IF(OR(G176="30L",G176="30R"),_xlfn.XLOOKUP(C176,Tabla42[ADEP],Tabla42[SID 30L],""),""))</f>
        <v>OMSUK</v>
      </c>
      <c r="S176" s="3">
        <f t="shared" si="2"/>
        <v>22</v>
      </c>
      <c r="T176" s="3" t="str">
        <f>_xlfn.XLOOKUP(C176,Tabla42[ADEP],Tabla42[Sector],"")</f>
        <v>Sector 3</v>
      </c>
    </row>
    <row r="177" spans="1:20" x14ac:dyDescent="0.2">
      <c r="A177" t="s">
        <v>328</v>
      </c>
      <c r="B177" t="s">
        <v>18</v>
      </c>
      <c r="C177" t="s">
        <v>42</v>
      </c>
      <c r="D177" t="s">
        <v>43</v>
      </c>
      <c r="E177" t="s">
        <v>496</v>
      </c>
      <c r="F177" s="2">
        <v>46298.941481481481</v>
      </c>
      <c r="G177" t="s">
        <v>21</v>
      </c>
      <c r="H177" t="s">
        <v>343</v>
      </c>
      <c r="I177" s="3">
        <v>360</v>
      </c>
      <c r="J177" t="s">
        <v>22</v>
      </c>
      <c r="K177" t="s">
        <v>23</v>
      </c>
      <c r="L177" s="3">
        <v>859</v>
      </c>
      <c r="M177" t="s">
        <v>45</v>
      </c>
      <c r="N177" s="2">
        <v>46298.984907407408</v>
      </c>
      <c r="O177" s="3">
        <v>360</v>
      </c>
      <c r="P177" t="s">
        <v>25</v>
      </c>
      <c r="Q177" s="3">
        <v>190</v>
      </c>
      <c r="R177" s="3" t="str">
        <f>IF(OR(G177="12R",G177="12L"),_xlfn.XLOOKUP(C177,Tabla42[ADEP],Tabla42[SID 12R],""),IF(OR(G177="30L",G177="30R"),_xlfn.XLOOKUP(C177,Tabla42[ADEP],Tabla42[SID 30L],""),""))</f>
        <v>UDGUV</v>
      </c>
      <c r="S177" s="3">
        <f t="shared" si="2"/>
        <v>22</v>
      </c>
      <c r="T177" s="3" t="str">
        <f>_xlfn.XLOOKUP(C177,Tabla42[ADEP],Tabla42[Sector],"")</f>
        <v>Sector 2</v>
      </c>
    </row>
    <row r="178" spans="1:20" x14ac:dyDescent="0.2">
      <c r="A178" t="s">
        <v>127</v>
      </c>
      <c r="B178" t="s">
        <v>18</v>
      </c>
      <c r="C178" t="s">
        <v>128</v>
      </c>
      <c r="D178" t="s">
        <v>43</v>
      </c>
      <c r="E178" t="s">
        <v>474</v>
      </c>
      <c r="F178" s="2">
        <v>46298.944166666668</v>
      </c>
      <c r="G178" t="s">
        <v>21</v>
      </c>
      <c r="H178" t="s">
        <v>1765</v>
      </c>
      <c r="I178" s="3">
        <v>330</v>
      </c>
      <c r="J178" t="s">
        <v>22</v>
      </c>
      <c r="K178" t="s">
        <v>23</v>
      </c>
      <c r="L178" s="3">
        <v>360</v>
      </c>
      <c r="M178" t="s">
        <v>30</v>
      </c>
      <c r="N178" s="2">
        <v>46298.964918981481</v>
      </c>
      <c r="O178" s="3">
        <v>350</v>
      </c>
      <c r="P178" t="s">
        <v>25</v>
      </c>
      <c r="Q178" s="3">
        <v>40</v>
      </c>
      <c r="R178" s="3" t="str">
        <f>IF(OR(G178="12R",G178="12L"),_xlfn.XLOOKUP(C178,Tabla42[ADEP],Tabla42[SID 12R],""),IF(OR(G178="30L",G178="30R"),_xlfn.XLOOKUP(C178,Tabla42[ADEP],Tabla42[SID 30L],""),""))</f>
        <v>OMSUK</v>
      </c>
      <c r="S178" s="3">
        <f t="shared" si="2"/>
        <v>22</v>
      </c>
      <c r="T178" s="3" t="str">
        <f>_xlfn.XLOOKUP(C178,Tabla42[ADEP],Tabla42[Sector],"")</f>
        <v>Sector 3</v>
      </c>
    </row>
    <row r="179" spans="1:20" x14ac:dyDescent="0.2">
      <c r="A179" t="s">
        <v>480</v>
      </c>
      <c r="B179" t="s">
        <v>18</v>
      </c>
      <c r="C179" t="s">
        <v>164</v>
      </c>
      <c r="D179" t="s">
        <v>43</v>
      </c>
      <c r="E179" t="s">
        <v>295</v>
      </c>
      <c r="F179" s="2">
        <v>46298.945474537039</v>
      </c>
      <c r="G179" t="s">
        <v>21</v>
      </c>
      <c r="H179" t="s">
        <v>1766</v>
      </c>
      <c r="I179" s="3">
        <v>310</v>
      </c>
      <c r="J179" t="s">
        <v>22</v>
      </c>
      <c r="K179" t="s">
        <v>23</v>
      </c>
      <c r="L179" s="3">
        <v>136</v>
      </c>
      <c r="M179" t="s">
        <v>385</v>
      </c>
      <c r="N179" s="2">
        <v>46298.955208333333</v>
      </c>
      <c r="O179" s="3">
        <v>241</v>
      </c>
      <c r="P179" t="s">
        <v>25</v>
      </c>
      <c r="Q179" s="3">
        <v>190</v>
      </c>
      <c r="R179" s="3" t="str">
        <f>IF(OR(G179="12R",G179="12L"),_xlfn.XLOOKUP(C179,Tabla42[ADEP],Tabla42[SID 12R],""),IF(OR(G179="30L",G179="30R"),_xlfn.XLOOKUP(C179,Tabla42[ADEP],Tabla42[SID 30L],""),""))</f>
        <v>OMSUK</v>
      </c>
      <c r="S179" s="3">
        <f t="shared" si="2"/>
        <v>22</v>
      </c>
      <c r="T179" s="3" t="str">
        <f>_xlfn.XLOOKUP(C179,Tabla42[ADEP],Tabla42[Sector],"")</f>
        <v>Sector 3</v>
      </c>
    </row>
    <row r="180" spans="1:20" x14ac:dyDescent="0.2">
      <c r="A180" t="s">
        <v>323</v>
      </c>
      <c r="B180" t="s">
        <v>18</v>
      </c>
      <c r="C180" t="s">
        <v>32</v>
      </c>
      <c r="D180" t="s">
        <v>53</v>
      </c>
      <c r="E180" t="s">
        <v>463</v>
      </c>
      <c r="F180" s="2">
        <v>46298.946527777778</v>
      </c>
      <c r="G180" t="s">
        <v>21</v>
      </c>
      <c r="H180" t="s">
        <v>1767</v>
      </c>
      <c r="I180" s="3">
        <v>380</v>
      </c>
      <c r="J180" t="s">
        <v>22</v>
      </c>
      <c r="K180" t="s">
        <v>23</v>
      </c>
      <c r="L180" s="3">
        <v>878</v>
      </c>
      <c r="M180" t="s">
        <v>35</v>
      </c>
      <c r="N180" s="2">
        <v>46298.990347222221</v>
      </c>
      <c r="O180" s="3">
        <v>380</v>
      </c>
      <c r="P180" t="s">
        <v>25</v>
      </c>
      <c r="Q180" s="3">
        <v>190</v>
      </c>
      <c r="R180" s="3" t="str">
        <f>IF(OR(G180="12R",G180="12L"),_xlfn.XLOOKUP(C180,Tabla42[ADEP],Tabla42[SID 12R],""),IF(OR(G180="30L",G180="30R"),_xlfn.XLOOKUP(C180,Tabla42[ADEP],Tabla42[SID 30L],""),""))</f>
        <v>UDGUV</v>
      </c>
      <c r="S180" s="3">
        <f t="shared" si="2"/>
        <v>22</v>
      </c>
      <c r="T180" s="3" t="str">
        <f>_xlfn.XLOOKUP(C180,Tabla42[ADEP],Tabla42[Sector],"")</f>
        <v>Sector 2</v>
      </c>
    </row>
    <row r="181" spans="1:20" x14ac:dyDescent="0.2">
      <c r="A181" t="s">
        <v>324</v>
      </c>
      <c r="B181" t="s">
        <v>18</v>
      </c>
      <c r="C181" t="s">
        <v>206</v>
      </c>
      <c r="D181" t="s">
        <v>53</v>
      </c>
      <c r="E181" t="s">
        <v>516</v>
      </c>
      <c r="F181" s="2">
        <v>46298.950601851851</v>
      </c>
      <c r="G181" t="s">
        <v>21</v>
      </c>
      <c r="H181" t="s">
        <v>326</v>
      </c>
      <c r="I181" s="3">
        <v>380</v>
      </c>
      <c r="J181" t="s">
        <v>22</v>
      </c>
      <c r="K181" t="s">
        <v>23</v>
      </c>
      <c r="L181" s="3">
        <v>859</v>
      </c>
      <c r="M181" t="s">
        <v>45</v>
      </c>
      <c r="N181" s="2">
        <v>46298.994421296295</v>
      </c>
      <c r="O181" s="3">
        <v>380</v>
      </c>
      <c r="P181" t="s">
        <v>25</v>
      </c>
      <c r="Q181" s="3">
        <v>190</v>
      </c>
      <c r="R181" s="3" t="str">
        <f>IF(OR(G181="12R",G181="12L"),_xlfn.XLOOKUP(C181,Tabla42[ADEP],Tabla42[SID 12R],""),IF(OR(G181="30L",G181="30R"),_xlfn.XLOOKUP(C181,Tabla42[ADEP],Tabla42[SID 30L],""),""))</f>
        <v>UDGUV</v>
      </c>
      <c r="S181" s="3">
        <f t="shared" si="2"/>
        <v>22</v>
      </c>
      <c r="T181" s="3" t="str">
        <f>_xlfn.XLOOKUP(C181,Tabla42[ADEP],Tabla42[Sector],"")</f>
        <v>Sector 2</v>
      </c>
    </row>
    <row r="182" spans="1:20" x14ac:dyDescent="0.2">
      <c r="A182" t="s">
        <v>319</v>
      </c>
      <c r="B182" t="s">
        <v>18</v>
      </c>
      <c r="C182" t="s">
        <v>320</v>
      </c>
      <c r="D182" t="s">
        <v>33</v>
      </c>
      <c r="E182" t="s">
        <v>275</v>
      </c>
      <c r="F182" s="2">
        <v>46298.953912037032</v>
      </c>
      <c r="G182" t="s">
        <v>21</v>
      </c>
      <c r="H182" t="s">
        <v>1768</v>
      </c>
      <c r="I182" s="3">
        <v>360</v>
      </c>
      <c r="J182" t="s">
        <v>22</v>
      </c>
      <c r="K182" t="s">
        <v>23</v>
      </c>
      <c r="L182" s="3">
        <v>863</v>
      </c>
      <c r="M182" t="s">
        <v>636</v>
      </c>
      <c r="N182" s="2">
        <v>46298.998020833329</v>
      </c>
      <c r="O182" s="3">
        <v>360</v>
      </c>
      <c r="P182" t="s">
        <v>25</v>
      </c>
      <c r="Q182" s="3">
        <v>190</v>
      </c>
      <c r="R182" s="3" t="str">
        <f>IF(OR(G182="12R",G182="12L"),_xlfn.XLOOKUP(C182,Tabla42[ADEP],Tabla42[SID 12R],""),IF(OR(G182="30L",G182="30R"),_xlfn.XLOOKUP(C182,Tabla42[ADEP],Tabla42[SID 30L],""),""))</f>
        <v>UDGUV</v>
      </c>
      <c r="S182" s="3">
        <f t="shared" si="2"/>
        <v>22</v>
      </c>
      <c r="T182" s="3" t="str">
        <f>_xlfn.XLOOKUP(C182,Tabla42[ADEP],Tabla42[Sector],"")</f>
        <v>Sector 2</v>
      </c>
    </row>
    <row r="183" spans="1:20" x14ac:dyDescent="0.2">
      <c r="A183" t="s">
        <v>330</v>
      </c>
      <c r="B183" t="s">
        <v>18</v>
      </c>
      <c r="C183" t="s">
        <v>62</v>
      </c>
      <c r="D183" t="s">
        <v>53</v>
      </c>
      <c r="E183" t="s">
        <v>699</v>
      </c>
      <c r="F183" s="2">
        <v>46298.963587962964</v>
      </c>
      <c r="G183" t="s">
        <v>21</v>
      </c>
      <c r="H183" t="s">
        <v>1769</v>
      </c>
      <c r="I183" s="3">
        <v>360</v>
      </c>
      <c r="J183" t="s">
        <v>22</v>
      </c>
      <c r="K183" t="s">
        <v>23</v>
      </c>
      <c r="L183" s="3">
        <v>863</v>
      </c>
      <c r="M183" t="s">
        <v>473</v>
      </c>
      <c r="N183" s="2">
        <v>46299.007835648154</v>
      </c>
      <c r="O183" s="3">
        <v>360</v>
      </c>
      <c r="P183" t="s">
        <v>25</v>
      </c>
      <c r="Q183" s="3">
        <v>190</v>
      </c>
      <c r="R183" s="3" t="str">
        <f>IF(OR(G183="12R",G183="12L"),_xlfn.XLOOKUP(C183,Tabla42[ADEP],Tabla42[SID 12R],""),IF(OR(G183="30L",G183="30R"),_xlfn.XLOOKUP(C183,Tabla42[ADEP],Tabla42[SID 30L],""),""))</f>
        <v>UDGUV</v>
      </c>
      <c r="S183" s="3">
        <f t="shared" si="2"/>
        <v>23</v>
      </c>
      <c r="T183" s="3" t="str">
        <f>_xlfn.XLOOKUP(C183,Tabla42[ADEP],Tabla42[Sector],"")</f>
        <v>Sector 2</v>
      </c>
    </row>
    <row r="184" spans="1:20" x14ac:dyDescent="0.2">
      <c r="A184" t="s">
        <v>317</v>
      </c>
      <c r="B184" t="s">
        <v>18</v>
      </c>
      <c r="C184" t="s">
        <v>32</v>
      </c>
      <c r="D184" t="s">
        <v>20</v>
      </c>
      <c r="E184" t="s">
        <v>484</v>
      </c>
      <c r="F184" s="2">
        <v>46298.973923611113</v>
      </c>
      <c r="G184" t="s">
        <v>21</v>
      </c>
      <c r="H184" t="s">
        <v>338</v>
      </c>
      <c r="I184" s="3">
        <v>360</v>
      </c>
      <c r="J184" t="s">
        <v>22</v>
      </c>
      <c r="K184" t="s">
        <v>23</v>
      </c>
      <c r="L184" s="3">
        <v>862</v>
      </c>
      <c r="M184" t="s">
        <v>35</v>
      </c>
      <c r="N184" s="2">
        <v>46299.017199074078</v>
      </c>
      <c r="O184" s="3">
        <v>360</v>
      </c>
      <c r="P184" t="s">
        <v>25</v>
      </c>
      <c r="Q184" s="3">
        <v>190</v>
      </c>
      <c r="R184" s="3" t="str">
        <f>IF(OR(G184="12R",G184="12L"),_xlfn.XLOOKUP(C184,Tabla42[ADEP],Tabla42[SID 12R],""),IF(OR(G184="30L",G184="30R"),_xlfn.XLOOKUP(C184,Tabla42[ADEP],Tabla42[SID 30L],""),""))</f>
        <v>UDGUV</v>
      </c>
      <c r="S184" s="3">
        <f t="shared" si="2"/>
        <v>23</v>
      </c>
      <c r="T184" s="3" t="str">
        <f>_xlfn.XLOOKUP(C184,Tabla42[ADEP],Tabla42[Sector],"")</f>
        <v>Sector 2</v>
      </c>
    </row>
    <row r="185" spans="1:20" x14ac:dyDescent="0.2">
      <c r="A185" t="s">
        <v>333</v>
      </c>
      <c r="B185" t="s">
        <v>18</v>
      </c>
      <c r="C185" t="s">
        <v>204</v>
      </c>
      <c r="D185" t="s">
        <v>33</v>
      </c>
      <c r="E185" t="s">
        <v>1770</v>
      </c>
      <c r="F185" s="2">
        <v>46298.985601851848</v>
      </c>
      <c r="G185" t="s">
        <v>21</v>
      </c>
      <c r="H185" t="s">
        <v>1771</v>
      </c>
      <c r="I185" s="3">
        <v>330</v>
      </c>
      <c r="J185" t="s">
        <v>22</v>
      </c>
      <c r="K185" t="s">
        <v>23</v>
      </c>
      <c r="L185" s="3">
        <v>149</v>
      </c>
      <c r="M185" t="s">
        <v>111</v>
      </c>
      <c r="N185" s="2">
        <v>46298.996030092589</v>
      </c>
      <c r="O185" s="3">
        <v>262</v>
      </c>
      <c r="P185" t="s">
        <v>25</v>
      </c>
      <c r="Q185" s="3">
        <v>190</v>
      </c>
      <c r="R185" s="3" t="str">
        <f>IF(OR(G185="12R",G185="12L"),_xlfn.XLOOKUP(C185,Tabla42[ADEP],Tabla42[SID 12R],""),IF(OR(G185="30L",G185="30R"),_xlfn.XLOOKUP(C185,Tabla42[ADEP],Tabla42[SID 30L],""),""))</f>
        <v>TAKUX</v>
      </c>
      <c r="S185" s="3">
        <f t="shared" si="2"/>
        <v>23</v>
      </c>
      <c r="T185" s="3" t="str">
        <f>_xlfn.XLOOKUP(C185,Tabla42[ADEP],Tabla42[Sector],"")</f>
        <v>Sector 7</v>
      </c>
    </row>
    <row r="186" spans="1:20" x14ac:dyDescent="0.2">
      <c r="A186" t="s">
        <v>336</v>
      </c>
      <c r="B186" t="s">
        <v>18</v>
      </c>
      <c r="C186" t="s">
        <v>290</v>
      </c>
      <c r="D186" t="s">
        <v>33</v>
      </c>
      <c r="E186" t="s">
        <v>1772</v>
      </c>
      <c r="F186" s="2">
        <v>46298.986562499995</v>
      </c>
      <c r="G186" t="s">
        <v>21</v>
      </c>
      <c r="H186" t="s">
        <v>1773</v>
      </c>
      <c r="I186" s="3">
        <v>350</v>
      </c>
      <c r="J186" t="s">
        <v>22</v>
      </c>
      <c r="K186" t="s">
        <v>23</v>
      </c>
      <c r="L186" s="3">
        <v>199</v>
      </c>
      <c r="M186" t="s">
        <v>997</v>
      </c>
      <c r="N186" s="2">
        <v>46298.999571759261</v>
      </c>
      <c r="O186" s="3">
        <v>249</v>
      </c>
      <c r="P186" t="s">
        <v>25</v>
      </c>
      <c r="Q186" s="3">
        <v>190</v>
      </c>
      <c r="R186" s="3" t="str">
        <f>IF(OR(G186="12R",G186="12L"),_xlfn.XLOOKUP(C186,Tabla42[ADEP],Tabla42[SID 12R],""),IF(OR(G186="30L",G186="30R"),_xlfn.XLOOKUP(C186,Tabla42[ADEP],Tabla42[SID 30L],""),""))</f>
        <v>CZM</v>
      </c>
      <c r="S186" s="3">
        <f t="shared" si="2"/>
        <v>23</v>
      </c>
      <c r="T186" s="3" t="str">
        <f>_xlfn.XLOOKUP(C186,Tabla42[ADEP],Tabla42[Sector],"")</f>
        <v>Sector 7</v>
      </c>
    </row>
    <row r="187" spans="1:20" x14ac:dyDescent="0.2">
      <c r="F187" s="2"/>
      <c r="I187" s="3"/>
      <c r="L187" s="3"/>
      <c r="N187" s="2"/>
      <c r="O187" s="3"/>
      <c r="Q187" s="3"/>
      <c r="R187" s="3" t="str">
        <f>IF(OR(G187="12R",G187="12L"),_xlfn.XLOOKUP(C187,Tabla42[ADEP],Tabla42[SID 12R],""),IF(OR(G187="30L",G187="30R"),_xlfn.XLOOKUP(C187,Tabla42[ADEP],Tabla42[SID 30L],""),""))</f>
        <v/>
      </c>
      <c r="S187" s="3">
        <f t="shared" si="2"/>
        <v>0</v>
      </c>
      <c r="T187" s="3" t="str">
        <f>_xlfn.XLOOKUP(C187,Tabla42[ADEP],Tabla42[Sector],"")</f>
        <v/>
      </c>
    </row>
    <row r="188" spans="1:20" x14ac:dyDescent="0.2">
      <c r="F188" s="2"/>
      <c r="I188" s="3"/>
      <c r="L188" s="3"/>
      <c r="N188" s="2"/>
      <c r="O188" s="3"/>
      <c r="Q188" s="3"/>
      <c r="R188" s="3" t="str">
        <f>IF(OR(G188="12R",G188="12L"),_xlfn.XLOOKUP(C188,Tabla42[ADEP],Tabla42[SID 12R],""),IF(OR(G188="30L",G188="30R"),_xlfn.XLOOKUP(C188,Tabla42[ADEP],Tabla42[SID 30L],""),""))</f>
        <v/>
      </c>
      <c r="S188" s="3">
        <f t="shared" si="2"/>
        <v>0</v>
      </c>
      <c r="T188" s="3" t="str">
        <f>_xlfn.XLOOKUP(C188,Tabla42[ADEP],Tabla42[Sector],"")</f>
        <v/>
      </c>
    </row>
    <row r="189" spans="1:20" x14ac:dyDescent="0.2">
      <c r="F189" s="2"/>
      <c r="I189" s="3"/>
      <c r="L189" s="3"/>
      <c r="N189" s="2"/>
      <c r="O189" s="3"/>
      <c r="Q189" s="3"/>
      <c r="R189" s="3" t="str">
        <f>IF(OR(G189="12R",G189="12L"),_xlfn.XLOOKUP(C189,Tabla42[ADEP],Tabla42[SID 12R],""),IF(OR(G189="30L",G189="30R"),_xlfn.XLOOKUP(C189,Tabla42[ADEP],Tabla42[SID 30L],""),""))</f>
        <v/>
      </c>
      <c r="S189" s="3">
        <f t="shared" si="2"/>
        <v>0</v>
      </c>
      <c r="T189" s="3" t="str">
        <f>_xlfn.XLOOKUP(C189,Tabla42[ADEP],Tabla42[Sector],"")</f>
        <v/>
      </c>
    </row>
    <row r="190" spans="1: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1: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1: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1774</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1</v>
      </c>
      <c r="D228" s="8">
        <f t="shared" si="4"/>
        <v>0</v>
      </c>
      <c r="E228" s="8">
        <f t="shared" si="4"/>
        <v>0</v>
      </c>
      <c r="F228" s="8">
        <f t="shared" si="4"/>
        <v>0</v>
      </c>
      <c r="G228" s="8">
        <f t="shared" si="4"/>
        <v>0</v>
      </c>
      <c r="H228" s="8">
        <f t="shared" si="4"/>
        <v>8</v>
      </c>
      <c r="I228" s="9">
        <f t="shared" si="5"/>
        <v>9</v>
      </c>
    </row>
    <row r="229" spans="1:9" x14ac:dyDescent="0.2">
      <c r="A229" s="7">
        <v>16</v>
      </c>
      <c r="B229" s="8">
        <f t="shared" si="4"/>
        <v>1</v>
      </c>
      <c r="C229" s="8">
        <f t="shared" si="4"/>
        <v>1</v>
      </c>
      <c r="D229" s="8">
        <f t="shared" si="4"/>
        <v>0</v>
      </c>
      <c r="E229" s="8">
        <f t="shared" si="4"/>
        <v>0</v>
      </c>
      <c r="F229" s="8">
        <f t="shared" si="4"/>
        <v>5</v>
      </c>
      <c r="G229" s="8">
        <f t="shared" si="4"/>
        <v>3</v>
      </c>
      <c r="H229" s="8">
        <f t="shared" si="4"/>
        <v>11</v>
      </c>
      <c r="I229" s="9">
        <f t="shared" si="5"/>
        <v>21</v>
      </c>
    </row>
    <row r="230" spans="1:9" x14ac:dyDescent="0.2">
      <c r="A230" s="7">
        <v>17</v>
      </c>
      <c r="B230" s="8">
        <f t="shared" si="4"/>
        <v>0</v>
      </c>
      <c r="C230" s="8">
        <f t="shared" si="4"/>
        <v>7</v>
      </c>
      <c r="D230" s="8">
        <f t="shared" si="4"/>
        <v>1</v>
      </c>
      <c r="E230" s="8">
        <f t="shared" si="4"/>
        <v>1</v>
      </c>
      <c r="F230" s="8">
        <f t="shared" si="4"/>
        <v>3</v>
      </c>
      <c r="G230" s="8">
        <f t="shared" si="4"/>
        <v>0</v>
      </c>
      <c r="H230" s="8">
        <f t="shared" si="4"/>
        <v>6</v>
      </c>
      <c r="I230" s="9">
        <f t="shared" si="5"/>
        <v>18</v>
      </c>
    </row>
    <row r="231" spans="1:9" x14ac:dyDescent="0.2">
      <c r="A231" s="7">
        <v>18</v>
      </c>
      <c r="B231" s="8">
        <f t="shared" si="4"/>
        <v>0</v>
      </c>
      <c r="C231" s="8">
        <f t="shared" si="4"/>
        <v>3</v>
      </c>
      <c r="D231" s="8">
        <f t="shared" si="4"/>
        <v>0</v>
      </c>
      <c r="E231" s="8">
        <f t="shared" si="4"/>
        <v>0</v>
      </c>
      <c r="F231" s="8">
        <f t="shared" si="4"/>
        <v>7</v>
      </c>
      <c r="G231" s="8">
        <f t="shared" si="4"/>
        <v>2</v>
      </c>
      <c r="H231" s="8">
        <f t="shared" si="4"/>
        <v>9</v>
      </c>
      <c r="I231" s="9">
        <f t="shared" si="5"/>
        <v>21</v>
      </c>
    </row>
    <row r="232" spans="1:9" x14ac:dyDescent="0.2">
      <c r="A232" s="7">
        <v>19</v>
      </c>
      <c r="B232" s="8">
        <f t="shared" si="4"/>
        <v>1</v>
      </c>
      <c r="C232" s="8">
        <f t="shared" si="4"/>
        <v>6</v>
      </c>
      <c r="D232" s="8">
        <f t="shared" si="4"/>
        <v>0</v>
      </c>
      <c r="E232" s="8">
        <f t="shared" si="4"/>
        <v>2</v>
      </c>
      <c r="F232" s="8">
        <f t="shared" si="4"/>
        <v>8</v>
      </c>
      <c r="G232" s="8">
        <f t="shared" si="4"/>
        <v>1</v>
      </c>
      <c r="H232" s="8">
        <f t="shared" si="4"/>
        <v>8</v>
      </c>
      <c r="I232" s="9">
        <f t="shared" si="5"/>
        <v>26</v>
      </c>
    </row>
    <row r="233" spans="1:9" x14ac:dyDescent="0.2">
      <c r="A233" s="7">
        <v>20</v>
      </c>
      <c r="B233" s="8">
        <f t="shared" si="4"/>
        <v>1</v>
      </c>
      <c r="C233" s="8">
        <f t="shared" si="4"/>
        <v>4</v>
      </c>
      <c r="D233" s="8">
        <f t="shared" si="4"/>
        <v>0</v>
      </c>
      <c r="E233" s="8">
        <f t="shared" si="4"/>
        <v>2</v>
      </c>
      <c r="F233" s="8">
        <f t="shared" si="4"/>
        <v>3</v>
      </c>
      <c r="G233" s="8">
        <f t="shared" si="4"/>
        <v>0</v>
      </c>
      <c r="H233" s="8">
        <f t="shared" si="4"/>
        <v>7</v>
      </c>
      <c r="I233" s="9">
        <f t="shared" si="5"/>
        <v>17</v>
      </c>
    </row>
    <row r="234" spans="1:9" x14ac:dyDescent="0.2">
      <c r="A234" s="7">
        <v>21</v>
      </c>
      <c r="B234" s="8">
        <f t="shared" si="4"/>
        <v>1</v>
      </c>
      <c r="C234" s="8">
        <f t="shared" si="4"/>
        <v>2</v>
      </c>
      <c r="D234" s="8">
        <f t="shared" si="4"/>
        <v>0</v>
      </c>
      <c r="E234" s="8">
        <f t="shared" si="4"/>
        <v>2</v>
      </c>
      <c r="F234" s="8">
        <f t="shared" si="4"/>
        <v>5</v>
      </c>
      <c r="G234" s="8">
        <f t="shared" si="4"/>
        <v>2</v>
      </c>
      <c r="H234" s="8">
        <f t="shared" si="4"/>
        <v>3</v>
      </c>
      <c r="I234" s="9">
        <f t="shared" si="5"/>
        <v>15</v>
      </c>
    </row>
    <row r="235" spans="1:9" x14ac:dyDescent="0.2">
      <c r="A235" s="10">
        <v>22</v>
      </c>
      <c r="B235" s="11">
        <f t="shared" si="4"/>
        <v>0</v>
      </c>
      <c r="C235" s="11">
        <f t="shared" si="4"/>
        <v>5</v>
      </c>
      <c r="D235" s="11">
        <f t="shared" si="4"/>
        <v>0</v>
      </c>
      <c r="E235" s="11">
        <f t="shared" si="4"/>
        <v>0</v>
      </c>
      <c r="F235" s="11">
        <f t="shared" si="4"/>
        <v>5</v>
      </c>
      <c r="G235" s="11">
        <f t="shared" si="4"/>
        <v>0</v>
      </c>
      <c r="H235" s="11">
        <f t="shared" si="4"/>
        <v>5</v>
      </c>
      <c r="I235" s="12">
        <f t="shared" si="5"/>
        <v>15</v>
      </c>
    </row>
    <row r="258" spans="1:9" ht="24" x14ac:dyDescent="0.3">
      <c r="A258" s="20" t="s">
        <v>1775</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8</v>
      </c>
      <c r="C264" s="8">
        <f t="shared" si="6"/>
        <v>1</v>
      </c>
      <c r="D264" s="8">
        <f t="shared" si="6"/>
        <v>0</v>
      </c>
      <c r="E264" s="9">
        <f t="shared" si="7"/>
        <v>9</v>
      </c>
    </row>
    <row r="265" spans="1:9" x14ac:dyDescent="0.2">
      <c r="A265" s="7">
        <v>16</v>
      </c>
      <c r="B265" s="8">
        <f t="shared" si="6"/>
        <v>11</v>
      </c>
      <c r="C265" s="8">
        <f t="shared" si="6"/>
        <v>6</v>
      </c>
      <c r="D265" s="8">
        <f t="shared" si="6"/>
        <v>4</v>
      </c>
      <c r="E265" s="9">
        <f t="shared" si="7"/>
        <v>21</v>
      </c>
    </row>
    <row r="266" spans="1:9" x14ac:dyDescent="0.2">
      <c r="A266" s="7">
        <v>17</v>
      </c>
      <c r="B266" s="8">
        <f t="shared" si="6"/>
        <v>6</v>
      </c>
      <c r="C266" s="8">
        <f t="shared" si="6"/>
        <v>11</v>
      </c>
      <c r="D266" s="8">
        <f t="shared" si="6"/>
        <v>1</v>
      </c>
      <c r="E266" s="9">
        <f t="shared" si="7"/>
        <v>18</v>
      </c>
    </row>
    <row r="267" spans="1:9" x14ac:dyDescent="0.2">
      <c r="A267" s="7">
        <v>18</v>
      </c>
      <c r="B267" s="8">
        <f t="shared" si="6"/>
        <v>9</v>
      </c>
      <c r="C267" s="8">
        <f t="shared" si="6"/>
        <v>10</v>
      </c>
      <c r="D267" s="8">
        <f t="shared" si="6"/>
        <v>2</v>
      </c>
      <c r="E267" s="9">
        <f t="shared" si="7"/>
        <v>21</v>
      </c>
    </row>
    <row r="268" spans="1:9" x14ac:dyDescent="0.2">
      <c r="A268" s="7">
        <v>19</v>
      </c>
      <c r="B268" s="8">
        <f t="shared" si="6"/>
        <v>8</v>
      </c>
      <c r="C268" s="8">
        <f t="shared" si="6"/>
        <v>16</v>
      </c>
      <c r="D268" s="8">
        <f t="shared" si="6"/>
        <v>2</v>
      </c>
      <c r="E268" s="9">
        <f t="shared" si="7"/>
        <v>26</v>
      </c>
    </row>
    <row r="269" spans="1:9" x14ac:dyDescent="0.2">
      <c r="A269" s="7">
        <v>20</v>
      </c>
      <c r="B269" s="8">
        <f t="shared" si="6"/>
        <v>7</v>
      </c>
      <c r="C269" s="8">
        <f t="shared" si="6"/>
        <v>9</v>
      </c>
      <c r="D269" s="8">
        <f t="shared" si="6"/>
        <v>1</v>
      </c>
      <c r="E269" s="9">
        <f t="shared" si="7"/>
        <v>17</v>
      </c>
    </row>
    <row r="270" spans="1:9" x14ac:dyDescent="0.2">
      <c r="A270" s="7">
        <v>21</v>
      </c>
      <c r="B270" s="8">
        <f t="shared" si="6"/>
        <v>3</v>
      </c>
      <c r="C270" s="8">
        <f t="shared" si="6"/>
        <v>9</v>
      </c>
      <c r="D270" s="8">
        <f t="shared" si="6"/>
        <v>3</v>
      </c>
      <c r="E270" s="9">
        <f t="shared" si="7"/>
        <v>15</v>
      </c>
    </row>
    <row r="271" spans="1:9" x14ac:dyDescent="0.2">
      <c r="A271" s="7">
        <v>22</v>
      </c>
      <c r="B271" s="8">
        <f t="shared" si="6"/>
        <v>5</v>
      </c>
      <c r="C271" s="8">
        <f t="shared" si="6"/>
        <v>10</v>
      </c>
      <c r="D271" s="8">
        <f t="shared" si="6"/>
        <v>0</v>
      </c>
      <c r="E271" s="9">
        <f t="shared" si="7"/>
        <v>15</v>
      </c>
    </row>
    <row r="272" spans="1:9" x14ac:dyDescent="0.2">
      <c r="A272" s="10">
        <v>23</v>
      </c>
      <c r="B272" s="11">
        <f t="shared" si="6"/>
        <v>2</v>
      </c>
      <c r="C272" s="11">
        <f t="shared" si="6"/>
        <v>0</v>
      </c>
      <c r="D272" s="11">
        <f t="shared" si="6"/>
        <v>2</v>
      </c>
      <c r="E272" s="12">
        <f t="shared" si="7"/>
        <v>4</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B91D-79A5-DB44-8753-B9D128368177}">
  <dimension ref="A1:T272"/>
  <sheetViews>
    <sheetView showGridLines="0" zoomScale="110" zoomScaleNormal="110" workbookViewId="0">
      <selection activeCell="N266" sqref="N266"/>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17</v>
      </c>
      <c r="B2" s="13" t="s">
        <v>18</v>
      </c>
      <c r="C2" s="13" t="s">
        <v>19</v>
      </c>
      <c r="D2" s="13" t="s">
        <v>33</v>
      </c>
      <c r="E2" s="13" t="s">
        <v>831</v>
      </c>
      <c r="F2" s="14">
        <v>46299.010497685187</v>
      </c>
      <c r="G2" s="13" t="s">
        <v>21</v>
      </c>
      <c r="H2" s="13" t="s">
        <v>1776</v>
      </c>
      <c r="I2" s="15">
        <v>380</v>
      </c>
      <c r="J2" s="13" t="s">
        <v>22</v>
      </c>
      <c r="K2" s="13" t="s">
        <v>23</v>
      </c>
      <c r="L2" s="15">
        <v>859</v>
      </c>
      <c r="M2" s="13" t="s">
        <v>24</v>
      </c>
      <c r="N2" s="14">
        <v>46299.054907407408</v>
      </c>
      <c r="O2" s="15">
        <v>380</v>
      </c>
      <c r="P2" s="13" t="s">
        <v>25</v>
      </c>
      <c r="Q2" s="15">
        <v>190</v>
      </c>
      <c r="R2" s="3" t="str">
        <f>IF(OR(G2="12R",G2="12L"),_xlfn.XLOOKUP(C2,Tabla42[ADEP],Tabla42[SID 12R],""),IF(OR(G2="30L",G2="30R"),_xlfn.XLOOKUP(C2,Tabla42[ADEP],Tabla42[SID 30L],""),""))</f>
        <v>UDGUV</v>
      </c>
      <c r="S2" s="3">
        <f>HOUR(F2)</f>
        <v>0</v>
      </c>
      <c r="T2" s="3" t="str">
        <f>_xlfn.XLOOKUP(C2,Tabla42[ADEP],Tabla42[Sector],"")</f>
        <v>Sector 2</v>
      </c>
    </row>
    <row r="3" spans="1:20" x14ac:dyDescent="0.2">
      <c r="A3" s="13" t="s">
        <v>1777</v>
      </c>
      <c r="B3" s="13" t="s">
        <v>18</v>
      </c>
      <c r="C3" s="13" t="s">
        <v>93</v>
      </c>
      <c r="D3" s="13" t="s">
        <v>20</v>
      </c>
      <c r="E3" s="13" t="s">
        <v>169</v>
      </c>
      <c r="F3" s="14">
        <v>46299.011840277773</v>
      </c>
      <c r="G3" s="13" t="s">
        <v>21</v>
      </c>
      <c r="H3" s="13" t="s">
        <v>508</v>
      </c>
      <c r="I3" s="15">
        <v>360</v>
      </c>
      <c r="J3" s="13" t="s">
        <v>22</v>
      </c>
      <c r="K3" s="13" t="s">
        <v>23</v>
      </c>
      <c r="L3" s="15">
        <v>876</v>
      </c>
      <c r="M3" s="13" t="s">
        <v>94</v>
      </c>
      <c r="N3" s="14">
        <v>46299.058587962965</v>
      </c>
      <c r="O3" s="15">
        <v>217</v>
      </c>
      <c r="P3" s="13" t="s">
        <v>25</v>
      </c>
      <c r="Q3" s="15">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3" t="s">
        <v>1778</v>
      </c>
      <c r="B4" s="13" t="s">
        <v>18</v>
      </c>
      <c r="C4" s="13" t="s">
        <v>32</v>
      </c>
      <c r="D4" s="13" t="s">
        <v>53</v>
      </c>
      <c r="E4" s="13" t="s">
        <v>277</v>
      </c>
      <c r="F4" s="14">
        <v>46299.013171296298</v>
      </c>
      <c r="G4" s="13" t="s">
        <v>21</v>
      </c>
      <c r="H4" s="13" t="s">
        <v>1779</v>
      </c>
      <c r="I4" s="15">
        <v>360</v>
      </c>
      <c r="J4" s="13" t="s">
        <v>22</v>
      </c>
      <c r="K4" s="13" t="s">
        <v>23</v>
      </c>
      <c r="L4" s="15">
        <v>859</v>
      </c>
      <c r="M4" s="13" t="s">
        <v>35</v>
      </c>
      <c r="N4" s="14">
        <v>46299.055208333331</v>
      </c>
      <c r="O4" s="15">
        <v>360</v>
      </c>
      <c r="P4" s="13" t="s">
        <v>25</v>
      </c>
      <c r="Q4" s="15">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3" t="s">
        <v>334</v>
      </c>
      <c r="B5" s="13" t="s">
        <v>18</v>
      </c>
      <c r="C5" s="13" t="s">
        <v>42</v>
      </c>
      <c r="D5" s="13" t="s">
        <v>122</v>
      </c>
      <c r="E5" s="13" t="s">
        <v>1057</v>
      </c>
      <c r="F5" s="14">
        <v>46299.020196759258</v>
      </c>
      <c r="G5" s="13" t="s">
        <v>21</v>
      </c>
      <c r="H5" s="13" t="s">
        <v>1019</v>
      </c>
      <c r="I5" s="15">
        <v>380</v>
      </c>
      <c r="J5" s="13" t="s">
        <v>22</v>
      </c>
      <c r="K5" s="13" t="s">
        <v>23</v>
      </c>
      <c r="L5" s="15">
        <v>859</v>
      </c>
      <c r="M5" s="13" t="s">
        <v>45</v>
      </c>
      <c r="N5" s="14">
        <v>46299.063078703708</v>
      </c>
      <c r="O5" s="15">
        <v>380</v>
      </c>
      <c r="P5" s="13" t="s">
        <v>25</v>
      </c>
      <c r="Q5" s="15">
        <v>190</v>
      </c>
      <c r="R5" s="3" t="str">
        <f>IF(OR(G5="12R",G5="12L"),_xlfn.XLOOKUP(C5,Tabla42[ADEP],Tabla42[SID 12R],""),IF(OR(G5="30L",G5="30R"),_xlfn.XLOOKUP(C5,Tabla42[ADEP],Tabla42[SID 30L],""),""))</f>
        <v>UDGUV</v>
      </c>
      <c r="S5" s="3">
        <f t="shared" si="0"/>
        <v>0</v>
      </c>
      <c r="T5" s="3" t="str">
        <f>_xlfn.XLOOKUP(C5,Tabla42[ADEP],Tabla42[Sector],"")</f>
        <v>Sector 2</v>
      </c>
    </row>
    <row r="6" spans="1:20" x14ac:dyDescent="0.2">
      <c r="A6" s="13" t="s">
        <v>337</v>
      </c>
      <c r="B6" s="13" t="s">
        <v>18</v>
      </c>
      <c r="C6" s="13" t="s">
        <v>27</v>
      </c>
      <c r="D6" s="13" t="s">
        <v>28</v>
      </c>
      <c r="E6" s="13" t="s">
        <v>1780</v>
      </c>
      <c r="F6" s="14">
        <v>46299.021354166667</v>
      </c>
      <c r="G6" s="13" t="s">
        <v>21</v>
      </c>
      <c r="H6" s="13" t="s">
        <v>1781</v>
      </c>
      <c r="I6" s="15">
        <v>370</v>
      </c>
      <c r="J6" s="13" t="s">
        <v>22</v>
      </c>
      <c r="K6" s="13" t="s">
        <v>23</v>
      </c>
      <c r="L6" s="15">
        <v>360</v>
      </c>
      <c r="M6" s="13" t="s">
        <v>30</v>
      </c>
      <c r="N6" s="14">
        <v>46299.042453703703</v>
      </c>
      <c r="O6" s="15">
        <v>370</v>
      </c>
      <c r="P6" s="13" t="s">
        <v>25</v>
      </c>
      <c r="Q6" s="15">
        <v>40</v>
      </c>
      <c r="R6" s="3" t="str">
        <f>IF(OR(G6="12R",G6="12L"),_xlfn.XLOOKUP(C6,Tabla42[ADEP],Tabla42[SID 12R],""),IF(OR(G6="30L",G6="30R"),_xlfn.XLOOKUP(C6,Tabla42[ADEP],Tabla42[SID 30L],""),""))</f>
        <v>OMSUK</v>
      </c>
      <c r="S6" s="3">
        <f t="shared" si="0"/>
        <v>0</v>
      </c>
      <c r="T6" s="3" t="str">
        <f>_xlfn.XLOOKUP(C6,Tabla42[ADEP],Tabla42[Sector],"")</f>
        <v>Sector 3</v>
      </c>
    </row>
    <row r="7" spans="1:20" x14ac:dyDescent="0.2">
      <c r="A7" s="13" t="s">
        <v>31</v>
      </c>
      <c r="B7" s="13" t="s">
        <v>18</v>
      </c>
      <c r="C7" s="13" t="s">
        <v>32</v>
      </c>
      <c r="D7" s="13" t="s">
        <v>53</v>
      </c>
      <c r="E7" s="13" t="s">
        <v>410</v>
      </c>
      <c r="F7" s="14">
        <v>46299.031597222223</v>
      </c>
      <c r="G7" s="13" t="s">
        <v>21</v>
      </c>
      <c r="H7" s="13" t="s">
        <v>1782</v>
      </c>
      <c r="I7" s="15">
        <v>380</v>
      </c>
      <c r="J7" s="13" t="s">
        <v>22</v>
      </c>
      <c r="K7" s="13" t="s">
        <v>23</v>
      </c>
      <c r="L7" s="15">
        <v>872</v>
      </c>
      <c r="M7" s="13" t="s">
        <v>35</v>
      </c>
      <c r="N7" s="14">
        <v>46299.075543981482</v>
      </c>
      <c r="O7" s="15">
        <v>380</v>
      </c>
      <c r="P7" s="13" t="s">
        <v>25</v>
      </c>
      <c r="Q7" s="15">
        <v>190</v>
      </c>
      <c r="R7" s="3" t="str">
        <f>IF(OR(G7="12R",G7="12L"),_xlfn.XLOOKUP(C7,Tabla42[ADEP],Tabla42[SID 12R],""),IF(OR(G7="30L",G7="30R"),_xlfn.XLOOKUP(C7,Tabla42[ADEP],Tabla42[SID 30L],""),""))</f>
        <v>UDGUV</v>
      </c>
      <c r="S7" s="3">
        <f t="shared" si="0"/>
        <v>0</v>
      </c>
      <c r="T7" s="3" t="str">
        <f>_xlfn.XLOOKUP(C7,Tabla42[ADEP],Tabla42[Sector],"")</f>
        <v>Sector 2</v>
      </c>
    </row>
    <row r="8" spans="1:20" x14ac:dyDescent="0.2">
      <c r="A8" s="13" t="s">
        <v>555</v>
      </c>
      <c r="B8" s="13" t="s">
        <v>18</v>
      </c>
      <c r="C8" s="13" t="s">
        <v>27</v>
      </c>
      <c r="D8" s="13" t="s">
        <v>28</v>
      </c>
      <c r="E8" s="13" t="s">
        <v>1783</v>
      </c>
      <c r="F8" s="14">
        <v>46299.035520833335</v>
      </c>
      <c r="G8" s="13" t="s">
        <v>21</v>
      </c>
      <c r="H8" s="13" t="s">
        <v>1784</v>
      </c>
      <c r="I8" s="15">
        <v>370</v>
      </c>
      <c r="J8" s="13" t="s">
        <v>22</v>
      </c>
      <c r="K8" s="13" t="s">
        <v>23</v>
      </c>
      <c r="L8" s="15">
        <v>352</v>
      </c>
      <c r="M8" s="13" t="s">
        <v>30</v>
      </c>
      <c r="N8" s="14">
        <v>46299.055798611109</v>
      </c>
      <c r="O8" s="15">
        <v>370</v>
      </c>
      <c r="P8" s="13" t="s">
        <v>25</v>
      </c>
      <c r="Q8" s="15">
        <v>40</v>
      </c>
      <c r="R8" s="3" t="str">
        <f>IF(OR(G8="12R",G8="12L"),_xlfn.XLOOKUP(C8,Tabla42[ADEP],Tabla42[SID 12R],""),IF(OR(G8="30L",G8="30R"),_xlfn.XLOOKUP(C8,Tabla42[ADEP],Tabla42[SID 30L],""),""))</f>
        <v>OMSUK</v>
      </c>
      <c r="S8" s="3">
        <f t="shared" si="0"/>
        <v>0</v>
      </c>
      <c r="T8" s="3" t="str">
        <f>_xlfn.XLOOKUP(C8,Tabla42[ADEP],Tabla42[Sector],"")</f>
        <v>Sector 3</v>
      </c>
    </row>
    <row r="9" spans="1:20" x14ac:dyDescent="0.2">
      <c r="A9" s="13" t="s">
        <v>41</v>
      </c>
      <c r="B9" s="13" t="s">
        <v>18</v>
      </c>
      <c r="C9" s="13" t="s">
        <v>42</v>
      </c>
      <c r="D9" s="13" t="s">
        <v>43</v>
      </c>
      <c r="E9" s="13" t="s">
        <v>565</v>
      </c>
      <c r="F9" s="14">
        <v>46299.036574074074</v>
      </c>
      <c r="G9" s="13" t="s">
        <v>21</v>
      </c>
      <c r="H9" s="13" t="s">
        <v>773</v>
      </c>
      <c r="I9" s="15">
        <v>360</v>
      </c>
      <c r="J9" s="13" t="s">
        <v>22</v>
      </c>
      <c r="K9" s="13" t="s">
        <v>23</v>
      </c>
      <c r="L9" s="15">
        <v>859</v>
      </c>
      <c r="M9" s="13" t="s">
        <v>45</v>
      </c>
      <c r="N9" s="14">
        <v>46299.081006944441</v>
      </c>
      <c r="O9" s="15">
        <v>360</v>
      </c>
      <c r="P9" s="13" t="s">
        <v>25</v>
      </c>
      <c r="Q9" s="15">
        <v>190</v>
      </c>
      <c r="R9" s="3" t="str">
        <f>IF(OR(G9="12R",G9="12L"),_xlfn.XLOOKUP(C9,Tabla42[ADEP],Tabla42[SID 12R],""),IF(OR(G9="30L",G9="30R"),_xlfn.XLOOKUP(C9,Tabla42[ADEP],Tabla42[SID 30L],""),""))</f>
        <v>UDGUV</v>
      </c>
      <c r="S9" s="3">
        <f t="shared" si="0"/>
        <v>0</v>
      </c>
      <c r="T9" s="3" t="str">
        <f>_xlfn.XLOOKUP(C9,Tabla42[ADEP],Tabla42[Sector],"")</f>
        <v>Sector 2</v>
      </c>
    </row>
    <row r="10" spans="1:20" x14ac:dyDescent="0.2">
      <c r="A10" s="13" t="s">
        <v>56</v>
      </c>
      <c r="B10" s="13" t="s">
        <v>18</v>
      </c>
      <c r="C10" s="13" t="s">
        <v>42</v>
      </c>
      <c r="D10" s="13" t="s">
        <v>20</v>
      </c>
      <c r="E10" s="13" t="s">
        <v>57</v>
      </c>
      <c r="F10" s="14">
        <v>46299.043472222227</v>
      </c>
      <c r="G10" s="13" t="s">
        <v>21</v>
      </c>
      <c r="H10" s="13" t="s">
        <v>71</v>
      </c>
      <c r="I10" s="15">
        <v>360</v>
      </c>
      <c r="J10" s="13" t="s">
        <v>22</v>
      </c>
      <c r="K10" s="13" t="s">
        <v>23</v>
      </c>
      <c r="L10" s="15">
        <v>859</v>
      </c>
      <c r="M10" s="13" t="s">
        <v>45</v>
      </c>
      <c r="N10" s="14">
        <v>46299.087743055556</v>
      </c>
      <c r="O10" s="15">
        <v>360</v>
      </c>
      <c r="P10" s="13" t="s">
        <v>25</v>
      </c>
      <c r="Q10" s="15">
        <v>190</v>
      </c>
      <c r="R10" s="3" t="str">
        <f>IF(OR(G10="12R",G10="12L"),_xlfn.XLOOKUP(C10,Tabla42[ADEP],Tabla42[SID 12R],""),IF(OR(G10="30L",G10="30R"),_xlfn.XLOOKUP(C10,Tabla42[ADEP],Tabla42[SID 30L],""),""))</f>
        <v>UDGUV</v>
      </c>
      <c r="S10" s="3">
        <f t="shared" si="0"/>
        <v>1</v>
      </c>
      <c r="T10" s="3" t="str">
        <f>_xlfn.XLOOKUP(C10,Tabla42[ADEP],Tabla42[Sector],"")</f>
        <v>Sector 2</v>
      </c>
    </row>
    <row r="11" spans="1:20" x14ac:dyDescent="0.2">
      <c r="A11" s="13" t="s">
        <v>46</v>
      </c>
      <c r="B11" s="13" t="s">
        <v>18</v>
      </c>
      <c r="C11" s="13" t="s">
        <v>47</v>
      </c>
      <c r="D11" s="13" t="s">
        <v>48</v>
      </c>
      <c r="E11" s="13" t="s">
        <v>749</v>
      </c>
      <c r="F11" s="14">
        <v>46299.044537037036</v>
      </c>
      <c r="G11" s="13" t="s">
        <v>21</v>
      </c>
      <c r="H11" s="13" t="s">
        <v>1785</v>
      </c>
      <c r="I11" s="15">
        <v>350</v>
      </c>
      <c r="J11" s="13" t="s">
        <v>22</v>
      </c>
      <c r="K11" s="13" t="s">
        <v>23</v>
      </c>
      <c r="L11" s="15">
        <v>359</v>
      </c>
      <c r="M11" s="13" t="s">
        <v>30</v>
      </c>
      <c r="N11" s="14">
        <v>46299.064421296294</v>
      </c>
      <c r="O11" s="15">
        <v>350</v>
      </c>
      <c r="P11" s="13" t="s">
        <v>40</v>
      </c>
      <c r="Q11" s="15">
        <v>40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13" t="s">
        <v>36</v>
      </c>
      <c r="B12" s="13" t="s">
        <v>18</v>
      </c>
      <c r="C12" s="13" t="s">
        <v>37</v>
      </c>
      <c r="D12" s="13" t="s">
        <v>38</v>
      </c>
      <c r="E12" s="13" t="s">
        <v>1048</v>
      </c>
      <c r="F12" s="14">
        <v>46299.049039351856</v>
      </c>
      <c r="G12" s="13" t="s">
        <v>21</v>
      </c>
      <c r="H12" s="13" t="s">
        <v>1786</v>
      </c>
      <c r="I12" s="15">
        <v>350</v>
      </c>
      <c r="J12" s="13" t="s">
        <v>22</v>
      </c>
      <c r="K12" s="13" t="s">
        <v>23</v>
      </c>
      <c r="L12" s="15">
        <v>133</v>
      </c>
      <c r="M12" s="13" t="s">
        <v>39</v>
      </c>
      <c r="N12" s="14">
        <v>46299.058564814812</v>
      </c>
      <c r="O12" s="15">
        <v>207</v>
      </c>
      <c r="P12" s="13" t="s">
        <v>40</v>
      </c>
      <c r="Q12" s="15">
        <v>190</v>
      </c>
      <c r="R12" s="3" t="str">
        <f>IF(OR(G12="12R",G12="12L"),_xlfn.XLOOKUP(C12,Tabla42[ADEP],Tabla42[SID 12R],""),IF(OR(G12="30L",G12="30R"),_xlfn.XLOOKUP(C12,Tabla42[ADEP],Tabla42[SID 30L],""),""))</f>
        <v>NUDAL</v>
      </c>
      <c r="S12" s="3">
        <f t="shared" si="0"/>
        <v>1</v>
      </c>
      <c r="T12" s="3" t="str">
        <f>_xlfn.XLOOKUP(C12,Tabla42[ADEP],Tabla42[Sector],"")</f>
        <v>Sector 3</v>
      </c>
    </row>
    <row r="13" spans="1:20" x14ac:dyDescent="0.2">
      <c r="A13" s="13" t="s">
        <v>318</v>
      </c>
      <c r="B13" s="13" t="s">
        <v>18</v>
      </c>
      <c r="C13" s="13" t="s">
        <v>116</v>
      </c>
      <c r="D13" s="13" t="s">
        <v>43</v>
      </c>
      <c r="E13" s="13" t="s">
        <v>628</v>
      </c>
      <c r="F13" s="14">
        <v>46299.056863425925</v>
      </c>
      <c r="G13" s="13" t="s">
        <v>21</v>
      </c>
      <c r="H13" s="13" t="s">
        <v>1787</v>
      </c>
      <c r="I13" s="15">
        <v>380</v>
      </c>
      <c r="J13" s="13" t="s">
        <v>22</v>
      </c>
      <c r="K13" s="13" t="s">
        <v>23</v>
      </c>
      <c r="L13" s="15">
        <v>540</v>
      </c>
      <c r="M13" s="13" t="s">
        <v>123</v>
      </c>
      <c r="N13" s="14">
        <v>46299.08421296296</v>
      </c>
      <c r="O13" s="15">
        <v>380</v>
      </c>
      <c r="P13" s="13" t="s">
        <v>25</v>
      </c>
      <c r="Q13" s="15">
        <v>40</v>
      </c>
      <c r="R13" s="3" t="str">
        <f>IF(OR(G13="12R",G13="12L"),_xlfn.XLOOKUP(C13,Tabla42[ADEP],Tabla42[SID 12R],""),IF(OR(G13="30L",G13="30R"),_xlfn.XLOOKUP(C13,Tabla42[ADEP],Tabla42[SID 30L],""),""))</f>
        <v>ENEBA</v>
      </c>
      <c r="S13" s="3">
        <f t="shared" si="0"/>
        <v>1</v>
      </c>
      <c r="T13" s="3" t="str">
        <f>_xlfn.XLOOKUP(C13,Tabla42[ADEP],Tabla42[Sector],"")</f>
        <v>Sector 3</v>
      </c>
    </row>
    <row r="14" spans="1:20" x14ac:dyDescent="0.2">
      <c r="A14" s="13" t="s">
        <v>61</v>
      </c>
      <c r="B14" s="13" t="s">
        <v>18</v>
      </c>
      <c r="C14" s="13" t="s">
        <v>62</v>
      </c>
      <c r="D14" s="13" t="s">
        <v>344</v>
      </c>
      <c r="E14" s="13" t="s">
        <v>345</v>
      </c>
      <c r="F14" s="14">
        <v>46299.060624999998</v>
      </c>
      <c r="G14" s="13" t="s">
        <v>21</v>
      </c>
      <c r="H14" s="13" t="s">
        <v>1788</v>
      </c>
      <c r="I14" s="15">
        <v>340</v>
      </c>
      <c r="J14" s="13" t="s">
        <v>22</v>
      </c>
      <c r="K14" s="13" t="s">
        <v>23</v>
      </c>
      <c r="L14" s="15">
        <v>858</v>
      </c>
      <c r="M14" s="13" t="s">
        <v>473</v>
      </c>
      <c r="N14" s="14">
        <v>46299.104189814811</v>
      </c>
      <c r="O14" s="15">
        <v>340</v>
      </c>
      <c r="P14" s="13" t="s">
        <v>25</v>
      </c>
      <c r="Q14" s="15">
        <v>190</v>
      </c>
      <c r="R14" s="3" t="str">
        <f>IF(OR(G14="12R",G14="12L"),_xlfn.XLOOKUP(C14,Tabla42[ADEP],Tabla42[SID 12R],""),IF(OR(G14="30L",G14="30R"),_xlfn.XLOOKUP(C14,Tabla42[ADEP],Tabla42[SID 30L],""),""))</f>
        <v>UDGUV</v>
      </c>
      <c r="S14" s="3">
        <f t="shared" si="0"/>
        <v>1</v>
      </c>
      <c r="T14" s="3" t="str">
        <f>_xlfn.XLOOKUP(C14,Tabla42[ADEP],Tabla42[Sector],"")</f>
        <v>Sector 2</v>
      </c>
    </row>
    <row r="15" spans="1:20" x14ac:dyDescent="0.2">
      <c r="A15" s="13" t="s">
        <v>332</v>
      </c>
      <c r="B15" s="13" t="s">
        <v>18</v>
      </c>
      <c r="C15" s="13" t="s">
        <v>257</v>
      </c>
      <c r="D15" s="13" t="s">
        <v>117</v>
      </c>
      <c r="E15" s="13" t="s">
        <v>1789</v>
      </c>
      <c r="F15" s="14">
        <v>46299.061643518522</v>
      </c>
      <c r="G15" s="13" t="s">
        <v>21</v>
      </c>
      <c r="H15" s="13" t="s">
        <v>1790</v>
      </c>
      <c r="I15" s="15">
        <v>320</v>
      </c>
      <c r="J15" s="13" t="s">
        <v>22</v>
      </c>
      <c r="K15" s="13" t="s">
        <v>23</v>
      </c>
      <c r="L15" s="15">
        <v>867</v>
      </c>
      <c r="M15" s="13" t="s">
        <v>35</v>
      </c>
      <c r="N15" s="14">
        <v>46299.104525462964</v>
      </c>
      <c r="O15" s="15">
        <v>320</v>
      </c>
      <c r="P15" s="13" t="s">
        <v>25</v>
      </c>
      <c r="Q15" s="15">
        <v>190</v>
      </c>
      <c r="R15" s="3" t="str">
        <f>IF(OR(G15="12R",G15="12L"),_xlfn.XLOOKUP(C15,Tabla42[ADEP],Tabla42[SID 12R],""),IF(OR(G15="30L",G15="30R"),_xlfn.XLOOKUP(C15,Tabla42[ADEP],Tabla42[SID 30L],""),""))</f>
        <v>UDGUV</v>
      </c>
      <c r="S15" s="3">
        <f t="shared" si="0"/>
        <v>1</v>
      </c>
      <c r="T15" s="3" t="str">
        <f>_xlfn.XLOOKUP(C15,Tabla42[ADEP],Tabla42[Sector],"")</f>
        <v>Sector 2</v>
      </c>
    </row>
    <row r="16" spans="1:20" x14ac:dyDescent="0.2">
      <c r="A16" s="13" t="s">
        <v>51</v>
      </c>
      <c r="B16" s="13" t="s">
        <v>18</v>
      </c>
      <c r="C16" s="13" t="s">
        <v>52</v>
      </c>
      <c r="D16" s="13" t="s">
        <v>53</v>
      </c>
      <c r="E16" s="13" t="s">
        <v>54</v>
      </c>
      <c r="F16" s="14">
        <v>46299.062719907408</v>
      </c>
      <c r="G16" s="13" t="s">
        <v>21</v>
      </c>
      <c r="H16" s="13" t="s">
        <v>1791</v>
      </c>
      <c r="I16" s="15">
        <v>310</v>
      </c>
      <c r="J16" s="13" t="s">
        <v>22</v>
      </c>
      <c r="K16" s="13" t="s">
        <v>23</v>
      </c>
      <c r="L16" s="15">
        <v>185</v>
      </c>
      <c r="M16" s="13" t="s">
        <v>1792</v>
      </c>
      <c r="N16" s="14">
        <v>46299.074745370366</v>
      </c>
      <c r="O16" s="15">
        <v>310</v>
      </c>
      <c r="P16" s="13" t="s">
        <v>25</v>
      </c>
      <c r="Q16" s="15">
        <v>190</v>
      </c>
      <c r="R16" s="3" t="str">
        <f>IF(OR(G16="12R",G16="12L"),_xlfn.XLOOKUP(C16,Tabla42[ADEP],Tabla42[SID 12R],""),IF(OR(G16="30L",G16="30R"),_xlfn.XLOOKUP(C16,Tabla42[ADEP],Tabla42[SID 30L],""),""))</f>
        <v>CZM</v>
      </c>
      <c r="S16" s="3">
        <f t="shared" si="0"/>
        <v>1</v>
      </c>
      <c r="T16" s="3" t="str">
        <f>_xlfn.XLOOKUP(C16,Tabla42[ADEP],Tabla42[Sector],"")</f>
        <v>Sector 7</v>
      </c>
    </row>
    <row r="17" spans="1:20" x14ac:dyDescent="0.2">
      <c r="A17" s="13" t="s">
        <v>617</v>
      </c>
      <c r="B17" s="13" t="s">
        <v>18</v>
      </c>
      <c r="C17" s="13" t="s">
        <v>618</v>
      </c>
      <c r="D17" s="13" t="s">
        <v>38</v>
      </c>
      <c r="E17" s="13" t="s">
        <v>996</v>
      </c>
      <c r="F17" s="14">
        <v>46299.092256944445</v>
      </c>
      <c r="G17" s="13" t="s">
        <v>21</v>
      </c>
      <c r="H17" s="13" t="s">
        <v>1793</v>
      </c>
      <c r="I17" s="15">
        <v>390</v>
      </c>
      <c r="J17" s="13" t="s">
        <v>22</v>
      </c>
      <c r="K17" s="13" t="s">
        <v>23</v>
      </c>
      <c r="L17" s="15">
        <v>360</v>
      </c>
      <c r="M17" s="13" t="s">
        <v>30</v>
      </c>
      <c r="N17" s="14">
        <v>46299.111932870372</v>
      </c>
      <c r="O17" s="15">
        <v>360</v>
      </c>
      <c r="P17" s="13" t="s">
        <v>40</v>
      </c>
      <c r="Q17" s="15">
        <v>40</v>
      </c>
      <c r="R17" s="3" t="str">
        <f>IF(OR(G17="12R",G17="12L"),_xlfn.XLOOKUP(C17,Tabla42[ADEP],Tabla42[SID 12R],""),IF(OR(G17="30L",G17="30R"),_xlfn.XLOOKUP(C17,Tabla42[ADEP],Tabla42[SID 30L],""),""))</f>
        <v>NUDAL</v>
      </c>
      <c r="S17" s="3">
        <f t="shared" si="0"/>
        <v>2</v>
      </c>
      <c r="T17" s="3" t="str">
        <f>_xlfn.XLOOKUP(C17,Tabla42[ADEP],Tabla42[Sector],"")</f>
        <v>Sector 3</v>
      </c>
    </row>
    <row r="18" spans="1:20" x14ac:dyDescent="0.2">
      <c r="A18" s="13" t="s">
        <v>59</v>
      </c>
      <c r="B18" s="13" t="s">
        <v>18</v>
      </c>
      <c r="C18" s="13" t="s">
        <v>27</v>
      </c>
      <c r="D18" s="13" t="s">
        <v>33</v>
      </c>
      <c r="E18" s="13" t="s">
        <v>1794</v>
      </c>
      <c r="F18" s="14">
        <v>46299.102337962962</v>
      </c>
      <c r="G18" s="13" t="s">
        <v>21</v>
      </c>
      <c r="H18" s="13" t="s">
        <v>1795</v>
      </c>
      <c r="I18" s="15">
        <v>310</v>
      </c>
      <c r="J18" s="13" t="s">
        <v>22</v>
      </c>
      <c r="K18" s="13" t="s">
        <v>23</v>
      </c>
      <c r="L18" s="15">
        <v>349</v>
      </c>
      <c r="M18" s="13" t="s">
        <v>30</v>
      </c>
      <c r="N18" s="14">
        <v>46299.122476851851</v>
      </c>
      <c r="O18" s="15">
        <v>310</v>
      </c>
      <c r="P18" s="13" t="s">
        <v>25</v>
      </c>
      <c r="Q18" s="15">
        <v>40</v>
      </c>
      <c r="R18" s="3" t="str">
        <f>IF(OR(G18="12R",G18="12L"),_xlfn.XLOOKUP(C18,Tabla42[ADEP],Tabla42[SID 12R],""),IF(OR(G18="30L",G18="30R"),_xlfn.XLOOKUP(C18,Tabla42[ADEP],Tabla42[SID 30L],""),""))</f>
        <v>OMSUK</v>
      </c>
      <c r="S18" s="3">
        <f t="shared" si="0"/>
        <v>2</v>
      </c>
      <c r="T18" s="3" t="str">
        <f>_xlfn.XLOOKUP(C18,Tabla42[ADEP],Tabla42[Sector],"")</f>
        <v>Sector 3</v>
      </c>
    </row>
    <row r="19" spans="1:20" x14ac:dyDescent="0.2">
      <c r="A19" s="13" t="s">
        <v>348</v>
      </c>
      <c r="B19" s="13" t="s">
        <v>18</v>
      </c>
      <c r="C19" s="13" t="s">
        <v>204</v>
      </c>
      <c r="D19" s="13" t="s">
        <v>53</v>
      </c>
      <c r="E19" s="13" t="s">
        <v>106</v>
      </c>
      <c r="F19" s="14">
        <v>46299.113506944443</v>
      </c>
      <c r="G19" s="13" t="s">
        <v>21</v>
      </c>
      <c r="H19" s="13" t="s">
        <v>1796</v>
      </c>
      <c r="I19" s="15">
        <v>370</v>
      </c>
      <c r="J19" s="13" t="s">
        <v>22</v>
      </c>
      <c r="K19" s="13" t="s">
        <v>23</v>
      </c>
      <c r="L19" s="15">
        <v>153</v>
      </c>
      <c r="M19" s="13" t="s">
        <v>111</v>
      </c>
      <c r="N19" s="14">
        <v>46299.123958333337</v>
      </c>
      <c r="O19" s="15">
        <v>285</v>
      </c>
      <c r="P19" s="13" t="s">
        <v>25</v>
      </c>
      <c r="Q19" s="15">
        <v>190</v>
      </c>
      <c r="R19" s="3" t="str">
        <f>IF(OR(G19="12R",G19="12L"),_xlfn.XLOOKUP(C19,Tabla42[ADEP],Tabla42[SID 12R],""),IF(OR(G19="30L",G19="30R"),_xlfn.XLOOKUP(C19,Tabla42[ADEP],Tabla42[SID 30L],""),""))</f>
        <v>TAKUX</v>
      </c>
      <c r="S19" s="3">
        <f t="shared" si="0"/>
        <v>2</v>
      </c>
      <c r="T19" s="3" t="str">
        <f>_xlfn.XLOOKUP(C19,Tabla42[ADEP],Tabla42[Sector],"")</f>
        <v>Sector 7</v>
      </c>
    </row>
    <row r="20" spans="1:20" x14ac:dyDescent="0.2">
      <c r="A20" s="13" t="s">
        <v>69</v>
      </c>
      <c r="B20" s="13" t="s">
        <v>18</v>
      </c>
      <c r="C20" s="13" t="s">
        <v>42</v>
      </c>
      <c r="D20" s="13" t="s">
        <v>53</v>
      </c>
      <c r="E20" s="13" t="s">
        <v>787</v>
      </c>
      <c r="F20" s="14">
        <v>46299.123842592591</v>
      </c>
      <c r="G20" s="13" t="s">
        <v>21</v>
      </c>
      <c r="H20" s="13" t="s">
        <v>1797</v>
      </c>
      <c r="I20" s="15">
        <v>360</v>
      </c>
      <c r="J20" s="13" t="s">
        <v>22</v>
      </c>
      <c r="K20" s="13" t="s">
        <v>23</v>
      </c>
      <c r="L20" s="15">
        <v>864</v>
      </c>
      <c r="M20" s="13" t="s">
        <v>420</v>
      </c>
      <c r="N20" s="14">
        <v>46299.168680555551</v>
      </c>
      <c r="O20" s="15">
        <v>360</v>
      </c>
      <c r="P20" s="13" t="s">
        <v>25</v>
      </c>
      <c r="Q20" s="15">
        <v>190</v>
      </c>
      <c r="R20" s="3" t="str">
        <f>IF(OR(G20="12R",G20="12L"),_xlfn.XLOOKUP(C20,Tabla42[ADEP],Tabla42[SID 12R],""),IF(OR(G20="30L",G20="30R"),_xlfn.XLOOKUP(C20,Tabla42[ADEP],Tabla42[SID 30L],""),""))</f>
        <v>UDGUV</v>
      </c>
      <c r="S20" s="3">
        <f t="shared" si="0"/>
        <v>2</v>
      </c>
      <c r="T20" s="3" t="str">
        <f>_xlfn.XLOOKUP(C20,Tabla42[ADEP],Tabla42[Sector],"")</f>
        <v>Sector 2</v>
      </c>
    </row>
    <row r="21" spans="1:20" x14ac:dyDescent="0.2">
      <c r="A21" s="13" t="s">
        <v>412</v>
      </c>
      <c r="B21" s="13" t="s">
        <v>18</v>
      </c>
      <c r="C21" s="13" t="s">
        <v>84</v>
      </c>
      <c r="D21" s="13" t="s">
        <v>85</v>
      </c>
      <c r="E21" s="13" t="s">
        <v>1055</v>
      </c>
      <c r="F21" s="14">
        <v>46299.125706018516</v>
      </c>
      <c r="G21" s="13" t="s">
        <v>21</v>
      </c>
      <c r="H21" s="13" t="s">
        <v>1798</v>
      </c>
      <c r="I21" s="15">
        <v>350</v>
      </c>
      <c r="J21" s="13" t="s">
        <v>22</v>
      </c>
      <c r="K21" s="13" t="s">
        <v>23</v>
      </c>
      <c r="L21" s="15">
        <v>360</v>
      </c>
      <c r="M21" s="13" t="s">
        <v>30</v>
      </c>
      <c r="N21" s="14">
        <v>46299.146226851852</v>
      </c>
      <c r="O21" s="15">
        <v>301</v>
      </c>
      <c r="P21" s="13" t="s">
        <v>40</v>
      </c>
      <c r="Q21" s="15">
        <v>40</v>
      </c>
      <c r="R21" s="3" t="str">
        <f>IF(OR(G21="12R",G21="12L"),_xlfn.XLOOKUP(C21,Tabla42[ADEP],Tabla42[SID 12R],""),IF(OR(G21="30L",G21="30R"),_xlfn.XLOOKUP(C21,Tabla42[ADEP],Tabla42[SID 30L],""),""))</f>
        <v>NUDAL</v>
      </c>
      <c r="S21" s="3">
        <f t="shared" si="0"/>
        <v>3</v>
      </c>
      <c r="T21" s="3" t="str">
        <f>_xlfn.XLOOKUP(C21,Tabla42[ADEP],Tabla42[Sector],"")</f>
        <v>Sector 3</v>
      </c>
    </row>
    <row r="22" spans="1:20" x14ac:dyDescent="0.2">
      <c r="A22" s="13" t="s">
        <v>78</v>
      </c>
      <c r="B22" s="13" t="s">
        <v>18</v>
      </c>
      <c r="C22" s="13" t="s">
        <v>42</v>
      </c>
      <c r="D22" s="13" t="s">
        <v>20</v>
      </c>
      <c r="E22" s="13" t="s">
        <v>521</v>
      </c>
      <c r="F22" s="14">
        <v>46299.127476851849</v>
      </c>
      <c r="G22" s="13" t="s">
        <v>21</v>
      </c>
      <c r="H22" s="13" t="s">
        <v>1799</v>
      </c>
      <c r="I22" s="15">
        <v>340</v>
      </c>
      <c r="J22" s="13" t="s">
        <v>22</v>
      </c>
      <c r="K22" s="13" t="s">
        <v>23</v>
      </c>
      <c r="L22" s="15">
        <v>858</v>
      </c>
      <c r="M22" s="13" t="s">
        <v>45</v>
      </c>
      <c r="N22" s="14">
        <v>46299.172789351855</v>
      </c>
      <c r="O22" s="15">
        <v>340</v>
      </c>
      <c r="P22" s="13" t="s">
        <v>25</v>
      </c>
      <c r="Q22" s="15">
        <v>190</v>
      </c>
      <c r="R22" s="3" t="str">
        <f>IF(OR(G22="12R",G22="12L"),_xlfn.XLOOKUP(C22,Tabla42[ADEP],Tabla42[SID 12R],""),IF(OR(G22="30L",G22="30R"),_xlfn.XLOOKUP(C22,Tabla42[ADEP],Tabla42[SID 30L],""),""))</f>
        <v>UDGUV</v>
      </c>
      <c r="S22" s="3">
        <f t="shared" si="0"/>
        <v>3</v>
      </c>
      <c r="T22" s="3" t="str">
        <f>_xlfn.XLOOKUP(C22,Tabla42[ADEP],Tabla42[Sector],"")</f>
        <v>Sector 2</v>
      </c>
    </row>
    <row r="23" spans="1:20" x14ac:dyDescent="0.2">
      <c r="A23" s="13" t="s">
        <v>624</v>
      </c>
      <c r="B23" s="13" t="s">
        <v>18</v>
      </c>
      <c r="C23" s="13" t="s">
        <v>339</v>
      </c>
      <c r="D23" s="13" t="s">
        <v>340</v>
      </c>
      <c r="E23" s="13" t="s">
        <v>1800</v>
      </c>
      <c r="F23" s="14">
        <v>46299.13282407407</v>
      </c>
      <c r="G23" s="13" t="s">
        <v>21</v>
      </c>
      <c r="H23" s="13" t="s">
        <v>1801</v>
      </c>
      <c r="I23" s="15">
        <v>390</v>
      </c>
      <c r="J23" s="13" t="s">
        <v>22</v>
      </c>
      <c r="K23" s="13" t="s">
        <v>23</v>
      </c>
      <c r="L23" s="15">
        <v>360</v>
      </c>
      <c r="M23" s="13" t="s">
        <v>30</v>
      </c>
      <c r="N23" s="14">
        <v>46299.152789351851</v>
      </c>
      <c r="O23" s="15">
        <v>390</v>
      </c>
      <c r="P23" s="13" t="s">
        <v>40</v>
      </c>
      <c r="Q23" s="15">
        <v>40</v>
      </c>
      <c r="R23" s="3" t="str">
        <f>IF(OR(G23="12R",G23="12L"),_xlfn.XLOOKUP(C23,Tabla42[ADEP],Tabla42[SID 12R],""),IF(OR(G23="30L",G23="30R"),_xlfn.XLOOKUP(C23,Tabla42[ADEP],Tabla42[SID 30L],""),""))</f>
        <v>NUDAL</v>
      </c>
      <c r="S23" s="3">
        <f t="shared" si="0"/>
        <v>3</v>
      </c>
      <c r="T23" s="3" t="str">
        <f>_xlfn.XLOOKUP(C23,Tabla42[ADEP],Tabla42[Sector],"")</f>
        <v>Sector 3</v>
      </c>
    </row>
    <row r="24" spans="1:20" x14ac:dyDescent="0.2">
      <c r="A24" s="13" t="s">
        <v>86</v>
      </c>
      <c r="B24" s="13" t="s">
        <v>18</v>
      </c>
      <c r="C24" s="13" t="s">
        <v>42</v>
      </c>
      <c r="D24" s="13" t="s">
        <v>20</v>
      </c>
      <c r="E24" s="13" t="s">
        <v>819</v>
      </c>
      <c r="F24" s="14">
        <v>46299.178495370375</v>
      </c>
      <c r="G24" s="13" t="s">
        <v>21</v>
      </c>
      <c r="H24" s="13" t="s">
        <v>1802</v>
      </c>
      <c r="I24" s="15">
        <v>360</v>
      </c>
      <c r="J24" s="13" t="s">
        <v>22</v>
      </c>
      <c r="K24" s="13" t="s">
        <v>23</v>
      </c>
      <c r="L24" s="15">
        <v>863</v>
      </c>
      <c r="M24" s="13" t="s">
        <v>350</v>
      </c>
      <c r="N24" s="14">
        <v>46299.222129629634</v>
      </c>
      <c r="O24" s="15">
        <v>360</v>
      </c>
      <c r="P24" s="13" t="s">
        <v>25</v>
      </c>
      <c r="Q24" s="15">
        <v>190</v>
      </c>
      <c r="R24" s="3" t="str">
        <f>IF(OR(G24="12R",G24="12L"),_xlfn.XLOOKUP(C24,Tabla42[ADEP],Tabla42[SID 12R],""),IF(OR(G24="30L",G24="30R"),_xlfn.XLOOKUP(C24,Tabla42[ADEP],Tabla42[SID 30L],""),""))</f>
        <v>UDGUV</v>
      </c>
      <c r="S24" s="3">
        <f t="shared" si="0"/>
        <v>4</v>
      </c>
      <c r="T24" s="3" t="str">
        <f>_xlfn.XLOOKUP(C24,Tabla42[ADEP],Tabla42[Sector],"")</f>
        <v>Sector 2</v>
      </c>
    </row>
    <row r="25" spans="1:20" x14ac:dyDescent="0.2">
      <c r="A25" s="13" t="s">
        <v>88</v>
      </c>
      <c r="B25" s="13" t="s">
        <v>18</v>
      </c>
      <c r="C25" s="13" t="s">
        <v>32</v>
      </c>
      <c r="D25" s="13" t="s">
        <v>20</v>
      </c>
      <c r="E25" s="13" t="s">
        <v>1010</v>
      </c>
      <c r="F25" s="14">
        <v>46299.429236111115</v>
      </c>
      <c r="G25" s="13" t="s">
        <v>21</v>
      </c>
      <c r="H25" s="13" t="s">
        <v>1803</v>
      </c>
      <c r="I25" s="15">
        <v>360</v>
      </c>
      <c r="J25" s="13" t="s">
        <v>22</v>
      </c>
      <c r="K25" s="13" t="s">
        <v>23</v>
      </c>
      <c r="L25" s="15">
        <v>869</v>
      </c>
      <c r="M25" s="13" t="s">
        <v>35</v>
      </c>
      <c r="N25" s="14">
        <v>46299.473657407405</v>
      </c>
      <c r="O25" s="15">
        <v>360</v>
      </c>
      <c r="P25" s="13" t="s">
        <v>25</v>
      </c>
      <c r="Q25" s="15">
        <v>190</v>
      </c>
      <c r="R25" s="3" t="str">
        <f>IF(OR(G25="12R",G25="12L"),_xlfn.XLOOKUP(C25,Tabla42[ADEP],Tabla42[SID 12R],""),IF(OR(G25="30L",G25="30R"),_xlfn.XLOOKUP(C25,Tabla42[ADEP],Tabla42[SID 30L],""),""))</f>
        <v>UDGUV</v>
      </c>
      <c r="S25" s="3">
        <f t="shared" si="0"/>
        <v>10</v>
      </c>
      <c r="T25" s="3" t="str">
        <f>_xlfn.XLOOKUP(C25,Tabla42[ADEP],Tabla42[Sector],"")</f>
        <v>Sector 2</v>
      </c>
    </row>
    <row r="26" spans="1:20" x14ac:dyDescent="0.2">
      <c r="A26" s="13" t="s">
        <v>90</v>
      </c>
      <c r="B26" s="13" t="s">
        <v>18</v>
      </c>
      <c r="C26" s="13" t="s">
        <v>42</v>
      </c>
      <c r="D26" s="13" t="s">
        <v>33</v>
      </c>
      <c r="E26" s="13" t="s">
        <v>281</v>
      </c>
      <c r="F26" s="14">
        <v>46299.436122685191</v>
      </c>
      <c r="G26" s="13" t="s">
        <v>21</v>
      </c>
      <c r="H26" s="13" t="s">
        <v>1804</v>
      </c>
      <c r="I26" s="15">
        <v>340</v>
      </c>
      <c r="J26" s="13" t="s">
        <v>22</v>
      </c>
      <c r="K26" s="13" t="s">
        <v>23</v>
      </c>
      <c r="L26" s="15">
        <v>860</v>
      </c>
      <c r="M26" s="13" t="s">
        <v>45</v>
      </c>
      <c r="N26" s="14">
        <v>46299.481365740736</v>
      </c>
      <c r="O26" s="15">
        <v>340</v>
      </c>
      <c r="P26" s="13" t="s">
        <v>25</v>
      </c>
      <c r="Q26" s="15">
        <v>190</v>
      </c>
      <c r="R26" s="3" t="str">
        <f>IF(OR(G26="12R",G26="12L"),_xlfn.XLOOKUP(C26,Tabla42[ADEP],Tabla42[SID 12R],""),IF(OR(G26="30L",G26="30R"),_xlfn.XLOOKUP(C26,Tabla42[ADEP],Tabla42[SID 30L],""),""))</f>
        <v>UDGUV</v>
      </c>
      <c r="S26" s="3">
        <f t="shared" si="0"/>
        <v>10</v>
      </c>
      <c r="T26" s="3" t="str">
        <f>_xlfn.XLOOKUP(C26,Tabla42[ADEP],Tabla42[Sector],"")</f>
        <v>Sector 2</v>
      </c>
    </row>
    <row r="27" spans="1:20" x14ac:dyDescent="0.2">
      <c r="A27" s="13" t="s">
        <v>92</v>
      </c>
      <c r="B27" s="13" t="s">
        <v>18</v>
      </c>
      <c r="C27" s="13" t="s">
        <v>93</v>
      </c>
      <c r="D27" s="13" t="s">
        <v>53</v>
      </c>
      <c r="E27" s="13" t="s">
        <v>393</v>
      </c>
      <c r="F27" s="14">
        <v>46299.4606712963</v>
      </c>
      <c r="G27" s="13" t="s">
        <v>21</v>
      </c>
      <c r="H27" s="13" t="s">
        <v>1805</v>
      </c>
      <c r="I27" s="15">
        <v>360</v>
      </c>
      <c r="J27" s="13" t="s">
        <v>22</v>
      </c>
      <c r="K27" s="13" t="s">
        <v>23</v>
      </c>
      <c r="L27" s="15">
        <v>932</v>
      </c>
      <c r="M27" s="13" t="s">
        <v>1806</v>
      </c>
      <c r="N27" s="14">
        <v>46299.510891203703</v>
      </c>
      <c r="O27" s="15">
        <v>183</v>
      </c>
      <c r="P27" s="13" t="s">
        <v>25</v>
      </c>
      <c r="Q27" s="15">
        <v>190</v>
      </c>
      <c r="R27" s="3" t="str">
        <f>IF(OR(G27="12R",G27="12L"),_xlfn.XLOOKUP(C27,Tabla42[ADEP],Tabla42[SID 12R],""),IF(OR(G27="30L",G27="30R"),_xlfn.XLOOKUP(C27,Tabla42[ADEP],Tabla42[SID 30L],""),""))</f>
        <v>UDGUV</v>
      </c>
      <c r="S27" s="3">
        <f t="shared" si="0"/>
        <v>11</v>
      </c>
      <c r="T27" s="3" t="str">
        <f>_xlfn.XLOOKUP(C27,Tabla42[ADEP],Tabla42[Sector],"")</f>
        <v>Sector 2</v>
      </c>
    </row>
    <row r="28" spans="1:20" x14ac:dyDescent="0.2">
      <c r="A28" s="13" t="s">
        <v>95</v>
      </c>
      <c r="B28" s="13" t="s">
        <v>18</v>
      </c>
      <c r="C28" s="13" t="s">
        <v>96</v>
      </c>
      <c r="D28" s="13" t="s">
        <v>20</v>
      </c>
      <c r="E28" s="13" t="s">
        <v>169</v>
      </c>
      <c r="F28" s="14">
        <v>46299.469826388886</v>
      </c>
      <c r="G28" s="13" t="s">
        <v>21</v>
      </c>
      <c r="H28" s="13" t="s">
        <v>1807</v>
      </c>
      <c r="I28" s="15">
        <v>360</v>
      </c>
      <c r="J28" s="13" t="s">
        <v>22</v>
      </c>
      <c r="K28" s="13" t="s">
        <v>23</v>
      </c>
      <c r="L28" s="15">
        <v>869</v>
      </c>
      <c r="M28" s="13" t="s">
        <v>45</v>
      </c>
      <c r="N28" s="14">
        <v>46299.515219907407</v>
      </c>
      <c r="O28" s="15">
        <v>360</v>
      </c>
      <c r="P28" s="13" t="s">
        <v>25</v>
      </c>
      <c r="Q28" s="15">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3" t="s">
        <v>100</v>
      </c>
      <c r="B29" s="13" t="s">
        <v>18</v>
      </c>
      <c r="C29" s="13" t="s">
        <v>42</v>
      </c>
      <c r="D29" s="13" t="s">
        <v>20</v>
      </c>
      <c r="E29" s="13" t="s">
        <v>57</v>
      </c>
      <c r="F29" s="14">
        <v>46299.475983796292</v>
      </c>
      <c r="G29" s="13" t="s">
        <v>21</v>
      </c>
      <c r="H29" s="13" t="s">
        <v>1808</v>
      </c>
      <c r="I29" s="15">
        <v>360</v>
      </c>
      <c r="J29" s="13" t="s">
        <v>22</v>
      </c>
      <c r="K29" s="13" t="s">
        <v>23</v>
      </c>
      <c r="L29" s="15">
        <v>873</v>
      </c>
      <c r="M29" s="13" t="s">
        <v>45</v>
      </c>
      <c r="N29" s="14">
        <v>46299.520648148144</v>
      </c>
      <c r="O29" s="15">
        <v>360</v>
      </c>
      <c r="P29" s="13" t="s">
        <v>25</v>
      </c>
      <c r="Q29" s="15">
        <v>190</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13" t="s">
        <v>98</v>
      </c>
      <c r="B30" s="13" t="s">
        <v>18</v>
      </c>
      <c r="C30" s="13" t="s">
        <v>42</v>
      </c>
      <c r="D30" s="13" t="s">
        <v>43</v>
      </c>
      <c r="E30" s="13" t="s">
        <v>637</v>
      </c>
      <c r="F30" s="14">
        <v>46299.47755787037</v>
      </c>
      <c r="G30" s="13" t="s">
        <v>21</v>
      </c>
      <c r="H30" s="13" t="s">
        <v>1809</v>
      </c>
      <c r="I30" s="15">
        <v>380</v>
      </c>
      <c r="J30" s="13" t="s">
        <v>22</v>
      </c>
      <c r="K30" s="13" t="s">
        <v>23</v>
      </c>
      <c r="L30" s="15">
        <v>861</v>
      </c>
      <c r="M30" s="13" t="s">
        <v>45</v>
      </c>
      <c r="N30" s="14">
        <v>46299.522569444445</v>
      </c>
      <c r="O30" s="15">
        <v>380</v>
      </c>
      <c r="P30" s="13" t="s">
        <v>25</v>
      </c>
      <c r="Q30" s="15">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3" t="s">
        <v>1036</v>
      </c>
      <c r="B31" s="13" t="s">
        <v>18</v>
      </c>
      <c r="C31" s="13" t="s">
        <v>49</v>
      </c>
      <c r="D31" s="13" t="s">
        <v>220</v>
      </c>
      <c r="E31" s="13"/>
      <c r="F31" s="14">
        <v>46299.479259259257</v>
      </c>
      <c r="G31" s="13" t="s">
        <v>21</v>
      </c>
      <c r="H31" s="13" t="s">
        <v>985</v>
      </c>
      <c r="I31" s="15">
        <v>430</v>
      </c>
      <c r="J31" s="13" t="s">
        <v>22</v>
      </c>
      <c r="K31" s="13" t="s">
        <v>50</v>
      </c>
      <c r="L31" s="15">
        <v>862</v>
      </c>
      <c r="M31" s="13" t="s">
        <v>45</v>
      </c>
      <c r="N31" s="14">
        <v>46299.525127314817</v>
      </c>
      <c r="O31" s="15">
        <v>430</v>
      </c>
      <c r="P31" s="13" t="s">
        <v>25</v>
      </c>
      <c r="Q31" s="15">
        <v>30</v>
      </c>
      <c r="R31" s="3" t="str">
        <f>IF(OR(G31="12R",G31="12L"),_xlfn.XLOOKUP(C31,Tabla42[ADEP],Tabla42[SID 12R],""),IF(OR(G31="30L",G31="30R"),_xlfn.XLOOKUP(C31,Tabla42[ADEP],Tabla42[SID 30L],""),""))</f>
        <v>UDGUV</v>
      </c>
      <c r="S31" s="3">
        <f t="shared" si="0"/>
        <v>11</v>
      </c>
      <c r="T31" s="3" t="str">
        <f>_xlfn.XLOOKUP(C31,Tabla42[ADEP],Tabla42[Sector],"")</f>
        <v>Sector 2</v>
      </c>
    </row>
    <row r="32" spans="1:20" x14ac:dyDescent="0.2">
      <c r="A32" s="13" t="s">
        <v>105</v>
      </c>
      <c r="B32" s="13" t="s">
        <v>18</v>
      </c>
      <c r="C32" s="13" t="s">
        <v>32</v>
      </c>
      <c r="D32" s="13" t="s">
        <v>20</v>
      </c>
      <c r="E32" s="13" t="s">
        <v>484</v>
      </c>
      <c r="F32" s="14">
        <v>46299.485543981486</v>
      </c>
      <c r="G32" s="13" t="s">
        <v>21</v>
      </c>
      <c r="H32" s="13" t="s">
        <v>1810</v>
      </c>
      <c r="I32" s="15">
        <v>360</v>
      </c>
      <c r="J32" s="13" t="s">
        <v>22</v>
      </c>
      <c r="K32" s="13" t="s">
        <v>23</v>
      </c>
      <c r="L32" s="15">
        <v>867</v>
      </c>
      <c r="M32" s="13" t="s">
        <v>35</v>
      </c>
      <c r="N32" s="14">
        <v>46299.530335648145</v>
      </c>
      <c r="O32" s="15">
        <v>360</v>
      </c>
      <c r="P32" s="13" t="s">
        <v>25</v>
      </c>
      <c r="Q32" s="15">
        <v>190</v>
      </c>
      <c r="R32" s="3" t="str">
        <f>IF(OR(G32="12R",G32="12L"),_xlfn.XLOOKUP(C32,Tabla42[ADEP],Tabla42[SID 12R],""),IF(OR(G32="30L",G32="30R"),_xlfn.XLOOKUP(C32,Tabla42[ADEP],Tabla42[SID 30L],""),""))</f>
        <v>UDGUV</v>
      </c>
      <c r="S32" s="3">
        <f t="shared" si="0"/>
        <v>11</v>
      </c>
      <c r="T32" s="3" t="str">
        <f>_xlfn.XLOOKUP(C32,Tabla42[ADEP],Tabla42[Sector],"")</f>
        <v>Sector 2</v>
      </c>
    </row>
    <row r="33" spans="1:20" x14ac:dyDescent="0.2">
      <c r="A33" s="13" t="s">
        <v>101</v>
      </c>
      <c r="B33" s="13" t="s">
        <v>18</v>
      </c>
      <c r="C33" s="13" t="s">
        <v>102</v>
      </c>
      <c r="D33" s="13" t="s">
        <v>53</v>
      </c>
      <c r="E33" s="13" t="s">
        <v>106</v>
      </c>
      <c r="F33" s="14">
        <v>46299.490173611106</v>
      </c>
      <c r="G33" s="13" t="s">
        <v>21</v>
      </c>
      <c r="H33" s="13" t="s">
        <v>104</v>
      </c>
      <c r="I33" s="15">
        <v>290</v>
      </c>
      <c r="J33" s="13" t="s">
        <v>22</v>
      </c>
      <c r="K33" s="13" t="s">
        <v>23</v>
      </c>
      <c r="L33" s="15">
        <v>136</v>
      </c>
      <c r="M33" s="13" t="s">
        <v>39</v>
      </c>
      <c r="N33" s="14">
        <v>46299.499803240746</v>
      </c>
      <c r="O33" s="15">
        <v>269</v>
      </c>
      <c r="P33" s="13" t="s">
        <v>25</v>
      </c>
      <c r="Q33" s="15">
        <v>190</v>
      </c>
      <c r="R33" s="3" t="str">
        <f>IF(OR(G33="12R",G33="12L"),_xlfn.XLOOKUP(C33,Tabla42[ADEP],Tabla42[SID 12R],""),IF(OR(G33="30L",G33="30R"),_xlfn.XLOOKUP(C33,Tabla42[ADEP],Tabla42[SID 30L],""),""))</f>
        <v>NUDAL</v>
      </c>
      <c r="S33" s="3">
        <f t="shared" si="0"/>
        <v>11</v>
      </c>
      <c r="T33" s="3" t="str">
        <f>_xlfn.XLOOKUP(C33,Tabla42[ADEP],Tabla42[Sector],"")</f>
        <v>Sector 3</v>
      </c>
    </row>
    <row r="34" spans="1:20" x14ac:dyDescent="0.2">
      <c r="A34" s="13" t="s">
        <v>108</v>
      </c>
      <c r="B34" s="13" t="s">
        <v>18</v>
      </c>
      <c r="C34" s="13" t="s">
        <v>109</v>
      </c>
      <c r="D34" s="13" t="s">
        <v>122</v>
      </c>
      <c r="E34" s="13" t="s">
        <v>576</v>
      </c>
      <c r="F34" s="14">
        <v>46299.502638888887</v>
      </c>
      <c r="G34" s="13" t="s">
        <v>21</v>
      </c>
      <c r="H34" s="13" t="s">
        <v>1047</v>
      </c>
      <c r="I34" s="15">
        <v>370</v>
      </c>
      <c r="J34" s="13" t="s">
        <v>22</v>
      </c>
      <c r="K34" s="13" t="s">
        <v>23</v>
      </c>
      <c r="L34" s="15">
        <v>147</v>
      </c>
      <c r="M34" s="13" t="s">
        <v>1811</v>
      </c>
      <c r="N34" s="14">
        <v>46299.512638888889</v>
      </c>
      <c r="O34" s="15">
        <v>291</v>
      </c>
      <c r="P34" s="13" t="s">
        <v>25</v>
      </c>
      <c r="Q34" s="15">
        <v>190</v>
      </c>
      <c r="R34" s="3" t="str">
        <f>IF(OR(G34="12R",G34="12L"),_xlfn.XLOOKUP(C34,Tabla42[ADEP],Tabla42[SID 12R],""),IF(OR(G34="30L",G34="30R"),_xlfn.XLOOKUP(C34,Tabla42[ADEP],Tabla42[SID 30L],""),""))</f>
        <v>TAKUX</v>
      </c>
      <c r="S34" s="3">
        <f t="shared" si="0"/>
        <v>12</v>
      </c>
      <c r="T34" s="3" t="str">
        <f>_xlfn.XLOOKUP(C34,Tabla42[ADEP],Tabla42[Sector],"")</f>
        <v>Sector 7</v>
      </c>
    </row>
    <row r="35" spans="1:20" x14ac:dyDescent="0.2">
      <c r="A35" s="13" t="s">
        <v>119</v>
      </c>
      <c r="B35" s="13" t="s">
        <v>18</v>
      </c>
      <c r="C35" s="13" t="s">
        <v>42</v>
      </c>
      <c r="D35" s="13" t="s">
        <v>43</v>
      </c>
      <c r="E35" s="13" t="s">
        <v>711</v>
      </c>
      <c r="F35" s="14">
        <v>46299.547893518524</v>
      </c>
      <c r="G35" s="13" t="s">
        <v>21</v>
      </c>
      <c r="H35" s="13" t="s">
        <v>1812</v>
      </c>
      <c r="I35" s="15">
        <v>360</v>
      </c>
      <c r="J35" s="13" t="s">
        <v>22</v>
      </c>
      <c r="K35" s="13" t="s">
        <v>23</v>
      </c>
      <c r="L35" s="15">
        <v>877</v>
      </c>
      <c r="M35" s="13" t="s">
        <v>45</v>
      </c>
      <c r="N35" s="14">
        <v>46299.593310185184</v>
      </c>
      <c r="O35" s="15">
        <v>360</v>
      </c>
      <c r="P35" s="13" t="s">
        <v>25</v>
      </c>
      <c r="Q35" s="15">
        <v>190</v>
      </c>
      <c r="R35" s="3" t="str">
        <f>IF(OR(G35="12R",G35="12L"),_xlfn.XLOOKUP(C35,Tabla42[ADEP],Tabla42[SID 12R],""),IF(OR(G35="30L",G35="30R"),_xlfn.XLOOKUP(C35,Tabla42[ADEP],Tabla42[SID 30L],""),""))</f>
        <v>UDGUV</v>
      </c>
      <c r="S35" s="3">
        <f t="shared" si="0"/>
        <v>13</v>
      </c>
      <c r="T35" s="3" t="str">
        <f>_xlfn.XLOOKUP(C35,Tabla42[ADEP],Tabla42[Sector],"")</f>
        <v>Sector 2</v>
      </c>
    </row>
    <row r="36" spans="1:20" x14ac:dyDescent="0.2">
      <c r="A36" s="13" t="s">
        <v>125</v>
      </c>
      <c r="B36" s="13" t="s">
        <v>18</v>
      </c>
      <c r="C36" s="13" t="s">
        <v>126</v>
      </c>
      <c r="D36" s="13" t="s">
        <v>122</v>
      </c>
      <c r="E36" s="13" t="s">
        <v>1813</v>
      </c>
      <c r="F36" s="14">
        <v>46299.548958333333</v>
      </c>
      <c r="G36" s="13" t="s">
        <v>21</v>
      </c>
      <c r="H36" s="13" t="s">
        <v>1814</v>
      </c>
      <c r="I36" s="15">
        <v>350</v>
      </c>
      <c r="J36" s="13" t="s">
        <v>22</v>
      </c>
      <c r="K36" s="13" t="s">
        <v>23</v>
      </c>
      <c r="L36" s="15">
        <v>360</v>
      </c>
      <c r="M36" s="13" t="s">
        <v>30</v>
      </c>
      <c r="N36" s="14">
        <v>46299.569120370375</v>
      </c>
      <c r="O36" s="15">
        <v>330</v>
      </c>
      <c r="P36" s="13" t="s">
        <v>25</v>
      </c>
      <c r="Q36" s="15">
        <v>40</v>
      </c>
      <c r="R36" s="3" t="str">
        <f>IF(OR(G36="12R",G36="12L"),_xlfn.XLOOKUP(C36,Tabla42[ADEP],Tabla42[SID 12R],""),IF(OR(G36="30L",G36="30R"),_xlfn.XLOOKUP(C36,Tabla42[ADEP],Tabla42[SID 30L],""),""))</f>
        <v>ENEBA</v>
      </c>
      <c r="S36" s="3">
        <f t="shared" si="0"/>
        <v>13</v>
      </c>
      <c r="T36" s="3" t="str">
        <f>_xlfn.XLOOKUP(C36,Tabla42[ADEP],Tabla42[Sector],"")</f>
        <v>Sector 3</v>
      </c>
    </row>
    <row r="37" spans="1:20" x14ac:dyDescent="0.2">
      <c r="A37" s="13" t="s">
        <v>115</v>
      </c>
      <c r="B37" s="13" t="s">
        <v>18</v>
      </c>
      <c r="C37" s="13" t="s">
        <v>116</v>
      </c>
      <c r="D37" s="13" t="s">
        <v>117</v>
      </c>
      <c r="E37" s="13" t="s">
        <v>391</v>
      </c>
      <c r="F37" s="14">
        <v>46299.561759259261</v>
      </c>
      <c r="G37" s="13" t="s">
        <v>21</v>
      </c>
      <c r="H37" s="13" t="s">
        <v>1815</v>
      </c>
      <c r="I37" s="15">
        <v>300</v>
      </c>
      <c r="J37" s="13" t="s">
        <v>22</v>
      </c>
      <c r="K37" s="13" t="s">
        <v>23</v>
      </c>
      <c r="L37" s="15">
        <v>435</v>
      </c>
      <c r="M37" s="13" t="s">
        <v>189</v>
      </c>
      <c r="N37" s="14">
        <v>46299.584687499999</v>
      </c>
      <c r="O37" s="15">
        <v>300</v>
      </c>
      <c r="P37" s="13" t="s">
        <v>25</v>
      </c>
      <c r="Q37" s="15">
        <v>40</v>
      </c>
      <c r="R37" s="3" t="str">
        <f>IF(OR(G37="12R",G37="12L"),_xlfn.XLOOKUP(C37,Tabla42[ADEP],Tabla42[SID 12R],""),IF(OR(G37="30L",G37="30R"),_xlfn.XLOOKUP(C37,Tabla42[ADEP],Tabla42[SID 30L],""),""))</f>
        <v>ENEBA</v>
      </c>
      <c r="S37" s="3">
        <f t="shared" si="0"/>
        <v>13</v>
      </c>
      <c r="T37" s="3" t="str">
        <f>_xlfn.XLOOKUP(C37,Tabla42[ADEP],Tabla42[Sector],"")</f>
        <v>Sector 3</v>
      </c>
    </row>
    <row r="38" spans="1:20" x14ac:dyDescent="0.2">
      <c r="A38" s="13" t="s">
        <v>998</v>
      </c>
      <c r="B38" s="13" t="s">
        <v>18</v>
      </c>
      <c r="C38" s="13" t="s">
        <v>37</v>
      </c>
      <c r="D38" s="13" t="s">
        <v>85</v>
      </c>
      <c r="E38" s="13" t="s">
        <v>342</v>
      </c>
      <c r="F38" s="14">
        <v>46299.56318287037</v>
      </c>
      <c r="G38" s="13" t="s">
        <v>21</v>
      </c>
      <c r="H38" s="13" t="s">
        <v>1816</v>
      </c>
      <c r="I38" s="15">
        <v>330</v>
      </c>
      <c r="J38" s="13" t="s">
        <v>22</v>
      </c>
      <c r="K38" s="13" t="s">
        <v>23</v>
      </c>
      <c r="L38" s="15">
        <v>140</v>
      </c>
      <c r="M38" s="13" t="s">
        <v>560</v>
      </c>
      <c r="N38" s="14">
        <v>46299.573287037041</v>
      </c>
      <c r="O38" s="15">
        <v>189</v>
      </c>
      <c r="P38" s="13" t="s">
        <v>40</v>
      </c>
      <c r="Q38" s="15">
        <v>190</v>
      </c>
      <c r="R38" s="3" t="str">
        <f>IF(OR(G38="12R",G38="12L"),_xlfn.XLOOKUP(C38,Tabla42[ADEP],Tabla42[SID 12R],""),IF(OR(G38="30L",G38="30R"),_xlfn.XLOOKUP(C38,Tabla42[ADEP],Tabla42[SID 30L],""),""))</f>
        <v>NUDAL</v>
      </c>
      <c r="S38" s="3">
        <f t="shared" si="0"/>
        <v>13</v>
      </c>
      <c r="T38" s="3" t="str">
        <f>_xlfn.XLOOKUP(C38,Tabla42[ADEP],Tabla42[Sector],"")</f>
        <v>Sector 3</v>
      </c>
    </row>
    <row r="39" spans="1:20" x14ac:dyDescent="0.2">
      <c r="A39" s="13" t="s">
        <v>107</v>
      </c>
      <c r="B39" s="13" t="s">
        <v>18</v>
      </c>
      <c r="C39" s="13" t="s">
        <v>42</v>
      </c>
      <c r="D39" s="13" t="s">
        <v>28</v>
      </c>
      <c r="E39" s="13" t="s">
        <v>1817</v>
      </c>
      <c r="F39" s="14">
        <v>46299.568645833337</v>
      </c>
      <c r="G39" s="13" t="s">
        <v>21</v>
      </c>
      <c r="H39" s="13" t="s">
        <v>1818</v>
      </c>
      <c r="I39" s="15">
        <v>380</v>
      </c>
      <c r="J39" s="13" t="s">
        <v>22</v>
      </c>
      <c r="K39" s="13" t="s">
        <v>23</v>
      </c>
      <c r="L39" s="15">
        <v>889</v>
      </c>
      <c r="M39" s="13" t="s">
        <v>45</v>
      </c>
      <c r="N39" s="14">
        <v>46299.61383101852</v>
      </c>
      <c r="O39" s="15">
        <v>380</v>
      </c>
      <c r="P39" s="13" t="s">
        <v>25</v>
      </c>
      <c r="Q39" s="15">
        <v>190</v>
      </c>
      <c r="R39" s="3" t="str">
        <f>IF(OR(G39="12R",G39="12L"),_xlfn.XLOOKUP(C39,Tabla42[ADEP],Tabla42[SID 12R],""),IF(OR(G39="30L",G39="30R"),_xlfn.XLOOKUP(C39,Tabla42[ADEP],Tabla42[SID 30L],""),""))</f>
        <v>UDGUV</v>
      </c>
      <c r="S39" s="3">
        <f t="shared" si="0"/>
        <v>13</v>
      </c>
      <c r="T39" s="3" t="str">
        <f>_xlfn.XLOOKUP(C39,Tabla42[ADEP],Tabla42[Sector],"")</f>
        <v>Sector 2</v>
      </c>
    </row>
    <row r="40" spans="1:20" x14ac:dyDescent="0.2">
      <c r="A40" s="13" t="s">
        <v>61</v>
      </c>
      <c r="B40" s="13" t="s">
        <v>18</v>
      </c>
      <c r="C40" s="13" t="s">
        <v>65</v>
      </c>
      <c r="D40" s="13" t="s">
        <v>63</v>
      </c>
      <c r="E40" s="13" t="s">
        <v>1819</v>
      </c>
      <c r="F40" s="14">
        <v>46299.584155092598</v>
      </c>
      <c r="G40" s="13" t="s">
        <v>21</v>
      </c>
      <c r="H40" s="13" t="s">
        <v>1820</v>
      </c>
      <c r="I40" s="15">
        <v>240</v>
      </c>
      <c r="J40" s="13" t="s">
        <v>22</v>
      </c>
      <c r="K40" s="13" t="s">
        <v>23</v>
      </c>
      <c r="L40" s="15">
        <v>352</v>
      </c>
      <c r="M40" s="13" t="s">
        <v>65</v>
      </c>
      <c r="N40" s="14">
        <v>46299.607557870375</v>
      </c>
      <c r="O40" s="15">
        <v>0</v>
      </c>
      <c r="P40" s="13" t="s">
        <v>25</v>
      </c>
      <c r="Q40" s="15">
        <v>190</v>
      </c>
      <c r="R40" s="3" t="str">
        <f>IF(OR(G40="12R",G40="12L"),_xlfn.XLOOKUP(C40,Tabla42[ADEP],Tabla42[SID 12R],""),IF(OR(G40="30L",G40="30R"),_xlfn.XLOOKUP(C40,Tabla42[ADEP],Tabla42[SID 30L],""),""))</f>
        <v>UDGUV</v>
      </c>
      <c r="S40" s="3">
        <f t="shared" si="0"/>
        <v>14</v>
      </c>
      <c r="T40" s="3" t="str">
        <f>_xlfn.XLOOKUP(C40,Tabla42[ADEP],Tabla42[Sector],"")</f>
        <v>Sector 2</v>
      </c>
    </row>
    <row r="41" spans="1:20" x14ac:dyDescent="0.2">
      <c r="A41" s="13" t="s">
        <v>457</v>
      </c>
      <c r="B41" s="13" t="s">
        <v>18</v>
      </c>
      <c r="C41" s="13" t="s">
        <v>510</v>
      </c>
      <c r="D41" s="13" t="s">
        <v>458</v>
      </c>
      <c r="E41" s="13"/>
      <c r="F41" s="14">
        <v>46299.587812500002</v>
      </c>
      <c r="G41" s="13" t="s">
        <v>21</v>
      </c>
      <c r="H41" s="13" t="s">
        <v>155</v>
      </c>
      <c r="I41" s="15">
        <v>65</v>
      </c>
      <c r="J41" s="13" t="s">
        <v>130</v>
      </c>
      <c r="K41" s="13" t="s">
        <v>50</v>
      </c>
      <c r="L41" s="15">
        <v>227</v>
      </c>
      <c r="M41" s="13" t="s">
        <v>510</v>
      </c>
      <c r="N41" s="14">
        <v>46299.6246875</v>
      </c>
      <c r="O41" s="15">
        <v>0</v>
      </c>
      <c r="P41" s="13" t="s">
        <v>129</v>
      </c>
      <c r="Q41" s="15">
        <v>15</v>
      </c>
      <c r="R41" s="3" t="str">
        <f>IF(OR(G41="12R",G41="12L"),_xlfn.XLOOKUP(C41,Tabla42[ADEP],Tabla42[SID 12R],""),IF(OR(G41="30L",G41="30R"),_xlfn.XLOOKUP(C41,Tabla42[ADEP],Tabla42[SID 30L],""),""))</f>
        <v/>
      </c>
      <c r="S41" s="3">
        <f t="shared" si="0"/>
        <v>14</v>
      </c>
      <c r="T41" s="3" t="str">
        <f>_xlfn.XLOOKUP(C41,Tabla42[ADEP],Tabla42[Sector],"")</f>
        <v/>
      </c>
    </row>
    <row r="42" spans="1:20" x14ac:dyDescent="0.2">
      <c r="A42" s="13" t="s">
        <v>171</v>
      </c>
      <c r="B42" s="13" t="s">
        <v>18</v>
      </c>
      <c r="C42" s="13" t="s">
        <v>510</v>
      </c>
      <c r="D42" s="13" t="s">
        <v>172</v>
      </c>
      <c r="E42" s="13"/>
      <c r="F42" s="14">
        <v>46299.589178240742</v>
      </c>
      <c r="G42" s="13" t="s">
        <v>21</v>
      </c>
      <c r="H42" s="13" t="s">
        <v>155</v>
      </c>
      <c r="I42" s="15">
        <v>25</v>
      </c>
      <c r="J42" s="13" t="s">
        <v>130</v>
      </c>
      <c r="K42" s="13" t="s">
        <v>50</v>
      </c>
      <c r="L42" s="15">
        <v>227</v>
      </c>
      <c r="M42" s="13" t="s">
        <v>510</v>
      </c>
      <c r="N42" s="14">
        <v>46299.635682870372</v>
      </c>
      <c r="O42" s="15">
        <v>0</v>
      </c>
      <c r="P42" s="13" t="s">
        <v>129</v>
      </c>
      <c r="Q42" s="15">
        <v>15</v>
      </c>
      <c r="R42" s="3" t="str">
        <f>IF(OR(G42="12R",G42="12L"),_xlfn.XLOOKUP(C42,Tabla42[ADEP],Tabla42[SID 12R],""),IF(OR(G42="30L",G42="30R"),_xlfn.XLOOKUP(C42,Tabla42[ADEP],Tabla42[SID 30L],""),""))</f>
        <v/>
      </c>
      <c r="S42" s="3">
        <f t="shared" si="0"/>
        <v>14</v>
      </c>
      <c r="T42" s="3" t="str">
        <f>_xlfn.XLOOKUP(C42,Tabla42[ADEP],Tabla42[Sector],"")</f>
        <v/>
      </c>
    </row>
    <row r="43" spans="1:20" x14ac:dyDescent="0.2">
      <c r="A43" s="13" t="s">
        <v>1821</v>
      </c>
      <c r="B43" s="13" t="s">
        <v>18</v>
      </c>
      <c r="C43" s="13" t="s">
        <v>209</v>
      </c>
      <c r="D43" s="13" t="s">
        <v>541</v>
      </c>
      <c r="E43" s="13"/>
      <c r="F43" s="14">
        <v>46299.599120370374</v>
      </c>
      <c r="G43" s="13" t="s">
        <v>21</v>
      </c>
      <c r="H43" s="13" t="s">
        <v>1822</v>
      </c>
      <c r="I43" s="15">
        <v>400</v>
      </c>
      <c r="J43" s="13" t="s">
        <v>22</v>
      </c>
      <c r="K43" s="13" t="s">
        <v>50</v>
      </c>
      <c r="L43" s="15">
        <v>513</v>
      </c>
      <c r="M43" s="13" t="s">
        <v>821</v>
      </c>
      <c r="N43" s="14">
        <v>46299.627916666665</v>
      </c>
      <c r="O43" s="15">
        <v>400</v>
      </c>
      <c r="P43" s="13" t="s">
        <v>25</v>
      </c>
      <c r="Q43" s="15">
        <v>40</v>
      </c>
      <c r="R43" s="3" t="str">
        <f>IF(OR(G43="12R",G43="12L"),_xlfn.XLOOKUP(C43,Tabla42[ADEP],Tabla42[SID 12R],""),IF(OR(G43="30L",G43="30R"),_xlfn.XLOOKUP(C43,Tabla42[ADEP],Tabla42[SID 30L],""),""))</f>
        <v>ENEBA</v>
      </c>
      <c r="S43" s="3">
        <f t="shared" si="0"/>
        <v>14</v>
      </c>
      <c r="T43" s="3" t="str">
        <f>_xlfn.XLOOKUP(C43,Tabla42[ADEP],Tabla42[Sector],"")</f>
        <v>Sector 3</v>
      </c>
    </row>
    <row r="44" spans="1:20" x14ac:dyDescent="0.2">
      <c r="A44" s="13" t="s">
        <v>127</v>
      </c>
      <c r="B44" s="13" t="s">
        <v>18</v>
      </c>
      <c r="C44" s="13" t="s">
        <v>128</v>
      </c>
      <c r="D44" s="13" t="s">
        <v>43</v>
      </c>
      <c r="E44" s="13" t="s">
        <v>1061</v>
      </c>
      <c r="F44" s="14">
        <v>46299.601643518516</v>
      </c>
      <c r="G44" s="13" t="s">
        <v>21</v>
      </c>
      <c r="H44" s="13" t="s">
        <v>1823</v>
      </c>
      <c r="I44" s="15">
        <v>330</v>
      </c>
      <c r="J44" s="13" t="s">
        <v>22</v>
      </c>
      <c r="K44" s="13" t="s">
        <v>23</v>
      </c>
      <c r="L44" s="15">
        <v>367</v>
      </c>
      <c r="M44" s="13" t="s">
        <v>30</v>
      </c>
      <c r="N44" s="14">
        <v>46299.622962962967</v>
      </c>
      <c r="O44" s="15">
        <v>330</v>
      </c>
      <c r="P44" s="13" t="s">
        <v>25</v>
      </c>
      <c r="Q44" s="15">
        <v>40</v>
      </c>
      <c r="R44" s="3" t="str">
        <f>IF(OR(G44="12R",G44="12L"),_xlfn.XLOOKUP(C44,Tabla42[ADEP],Tabla42[SID 12R],""),IF(OR(G44="30L",G44="30R"),_xlfn.XLOOKUP(C44,Tabla42[ADEP],Tabla42[SID 30L],""),""))</f>
        <v>OMSUK</v>
      </c>
      <c r="S44" s="3">
        <f t="shared" si="0"/>
        <v>14</v>
      </c>
      <c r="T44" s="3" t="str">
        <f>_xlfn.XLOOKUP(C44,Tabla42[ADEP],Tabla42[Sector],"")</f>
        <v>Sector 3</v>
      </c>
    </row>
    <row r="45" spans="1:20" x14ac:dyDescent="0.2">
      <c r="A45" s="13" t="s">
        <v>131</v>
      </c>
      <c r="B45" s="13" t="s">
        <v>18</v>
      </c>
      <c r="C45" s="13" t="s">
        <v>42</v>
      </c>
      <c r="D45" s="13" t="s">
        <v>43</v>
      </c>
      <c r="E45" s="13" t="s">
        <v>527</v>
      </c>
      <c r="F45" s="14">
        <v>46299.602858796294</v>
      </c>
      <c r="G45" s="13" t="s">
        <v>21</v>
      </c>
      <c r="H45" s="13" t="s">
        <v>1824</v>
      </c>
      <c r="I45" s="15">
        <v>360</v>
      </c>
      <c r="J45" s="13" t="s">
        <v>22</v>
      </c>
      <c r="K45" s="13" t="s">
        <v>23</v>
      </c>
      <c r="L45" s="15">
        <v>861</v>
      </c>
      <c r="M45" s="13" t="s">
        <v>45</v>
      </c>
      <c r="N45" s="14">
        <v>46299.647453703699</v>
      </c>
      <c r="O45" s="15">
        <v>360</v>
      </c>
      <c r="P45" s="13" t="s">
        <v>25</v>
      </c>
      <c r="Q45" s="15">
        <v>190</v>
      </c>
      <c r="R45" s="3" t="str">
        <f>IF(OR(G45="12R",G45="12L"),_xlfn.XLOOKUP(C45,Tabla42[ADEP],Tabla42[SID 12R],""),IF(OR(G45="30L",G45="30R"),_xlfn.XLOOKUP(C45,Tabla42[ADEP],Tabla42[SID 30L],""),""))</f>
        <v>UDGUV</v>
      </c>
      <c r="S45" s="3">
        <f t="shared" si="0"/>
        <v>14</v>
      </c>
      <c r="T45" s="3" t="str">
        <f>_xlfn.XLOOKUP(C45,Tabla42[ADEP],Tabla42[Sector],"")</f>
        <v>Sector 2</v>
      </c>
    </row>
    <row r="46" spans="1:20" x14ac:dyDescent="0.2">
      <c r="A46" s="13" t="s">
        <v>135</v>
      </c>
      <c r="B46" s="13" t="s">
        <v>18</v>
      </c>
      <c r="C46" s="13" t="s">
        <v>32</v>
      </c>
      <c r="D46" s="13" t="s">
        <v>53</v>
      </c>
      <c r="E46" s="13" t="s">
        <v>410</v>
      </c>
      <c r="F46" s="14">
        <v>46299.630462962959</v>
      </c>
      <c r="G46" s="13" t="s">
        <v>21</v>
      </c>
      <c r="H46" s="13" t="s">
        <v>1825</v>
      </c>
      <c r="I46" s="15">
        <v>380</v>
      </c>
      <c r="J46" s="13" t="s">
        <v>22</v>
      </c>
      <c r="K46" s="13" t="s">
        <v>23</v>
      </c>
      <c r="L46" s="15">
        <v>889</v>
      </c>
      <c r="M46" s="13" t="s">
        <v>953</v>
      </c>
      <c r="N46" s="14">
        <v>46299.676041666666</v>
      </c>
      <c r="O46" s="15">
        <v>380</v>
      </c>
      <c r="P46" s="13" t="s">
        <v>25</v>
      </c>
      <c r="Q46" s="15">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3" t="s">
        <v>146</v>
      </c>
      <c r="B47" s="13" t="s">
        <v>18</v>
      </c>
      <c r="C47" s="13" t="s">
        <v>96</v>
      </c>
      <c r="D47" s="13" t="s">
        <v>60</v>
      </c>
      <c r="E47" s="13" t="s">
        <v>144</v>
      </c>
      <c r="F47" s="14">
        <v>46299.647245370375</v>
      </c>
      <c r="G47" s="13" t="s">
        <v>21</v>
      </c>
      <c r="H47" s="13" t="s">
        <v>1826</v>
      </c>
      <c r="I47" s="15">
        <v>360</v>
      </c>
      <c r="J47" s="13" t="s">
        <v>22</v>
      </c>
      <c r="K47" s="13" t="s">
        <v>23</v>
      </c>
      <c r="L47" s="15">
        <v>898</v>
      </c>
      <c r="M47" s="13" t="s">
        <v>1827</v>
      </c>
      <c r="N47" s="14">
        <v>46299.693240740744</v>
      </c>
      <c r="O47" s="15">
        <v>360</v>
      </c>
      <c r="P47" s="13" t="s">
        <v>25</v>
      </c>
      <c r="Q47" s="15">
        <v>190</v>
      </c>
      <c r="R47" s="3" t="str">
        <f>IF(OR(G47="12R",G47="12L"),_xlfn.XLOOKUP(C47,Tabla42[ADEP],Tabla42[SID 12R],""),IF(OR(G47="30L",G47="30R"),_xlfn.XLOOKUP(C47,Tabla42[ADEP],Tabla42[SID 30L],""),""))</f>
        <v>UDGUV</v>
      </c>
      <c r="S47" s="3">
        <f t="shared" si="0"/>
        <v>15</v>
      </c>
      <c r="T47" s="3" t="str">
        <f>_xlfn.XLOOKUP(C47,Tabla42[ADEP],Tabla42[Sector],"")</f>
        <v>Sector 2</v>
      </c>
    </row>
    <row r="48" spans="1:20" x14ac:dyDescent="0.2">
      <c r="A48" s="13" t="s">
        <v>142</v>
      </c>
      <c r="B48" s="13" t="s">
        <v>18</v>
      </c>
      <c r="C48" s="13" t="s">
        <v>42</v>
      </c>
      <c r="D48" s="13" t="s">
        <v>20</v>
      </c>
      <c r="E48" s="13" t="s">
        <v>712</v>
      </c>
      <c r="F48" s="14">
        <v>46299.651805555557</v>
      </c>
      <c r="G48" s="13" t="s">
        <v>21</v>
      </c>
      <c r="H48" s="13" t="s">
        <v>1828</v>
      </c>
      <c r="I48" s="15">
        <v>360</v>
      </c>
      <c r="J48" s="13" t="s">
        <v>22</v>
      </c>
      <c r="K48" s="13" t="s">
        <v>23</v>
      </c>
      <c r="L48" s="15">
        <v>863</v>
      </c>
      <c r="M48" s="13" t="s">
        <v>45</v>
      </c>
      <c r="N48" s="14">
        <v>46299.69604166667</v>
      </c>
      <c r="O48" s="15">
        <v>360</v>
      </c>
      <c r="P48" s="13" t="s">
        <v>25</v>
      </c>
      <c r="Q48" s="15">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3" t="s">
        <v>425</v>
      </c>
      <c r="B49" s="13" t="s">
        <v>18</v>
      </c>
      <c r="C49" s="13" t="s">
        <v>49</v>
      </c>
      <c r="D49" s="13" t="s">
        <v>53</v>
      </c>
      <c r="E49" s="13" t="s">
        <v>727</v>
      </c>
      <c r="F49" s="14">
        <v>46299.653356481482</v>
      </c>
      <c r="G49" s="13" t="s">
        <v>21</v>
      </c>
      <c r="H49" s="13" t="s">
        <v>518</v>
      </c>
      <c r="I49" s="15">
        <v>380</v>
      </c>
      <c r="J49" s="13" t="s">
        <v>22</v>
      </c>
      <c r="K49" s="13" t="s">
        <v>23</v>
      </c>
      <c r="L49" s="15">
        <v>859</v>
      </c>
      <c r="M49" s="13" t="s">
        <v>45</v>
      </c>
      <c r="N49" s="14">
        <v>46299.697511574079</v>
      </c>
      <c r="O49" s="15">
        <v>380</v>
      </c>
      <c r="P49" s="13" t="s">
        <v>25</v>
      </c>
      <c r="Q49" s="15">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13" t="s">
        <v>151</v>
      </c>
      <c r="B50" s="13" t="s">
        <v>18</v>
      </c>
      <c r="C50" s="13" t="s">
        <v>96</v>
      </c>
      <c r="D50" s="13" t="s">
        <v>122</v>
      </c>
      <c r="E50" s="13" t="s">
        <v>553</v>
      </c>
      <c r="F50" s="14">
        <v>46299.654837962968</v>
      </c>
      <c r="G50" s="13" t="s">
        <v>21</v>
      </c>
      <c r="H50" s="13" t="s">
        <v>1829</v>
      </c>
      <c r="I50" s="15">
        <v>380</v>
      </c>
      <c r="J50" s="13" t="s">
        <v>22</v>
      </c>
      <c r="K50" s="13" t="s">
        <v>23</v>
      </c>
      <c r="L50" s="15">
        <v>871</v>
      </c>
      <c r="M50" s="13" t="s">
        <v>45</v>
      </c>
      <c r="N50" s="14">
        <v>46299.700497685189</v>
      </c>
      <c r="O50" s="15">
        <v>380</v>
      </c>
      <c r="P50" s="13" t="s">
        <v>25</v>
      </c>
      <c r="Q50" s="15">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3" t="s">
        <v>145</v>
      </c>
      <c r="B51" s="13" t="s">
        <v>18</v>
      </c>
      <c r="C51" s="13" t="s">
        <v>19</v>
      </c>
      <c r="D51" s="13" t="s">
        <v>53</v>
      </c>
      <c r="E51" s="13" t="s">
        <v>376</v>
      </c>
      <c r="F51" s="14">
        <v>46299.659282407403</v>
      </c>
      <c r="G51" s="13" t="s">
        <v>21</v>
      </c>
      <c r="H51" s="13" t="s">
        <v>1830</v>
      </c>
      <c r="I51" s="15">
        <v>380</v>
      </c>
      <c r="J51" s="13" t="s">
        <v>22</v>
      </c>
      <c r="K51" s="13" t="s">
        <v>23</v>
      </c>
      <c r="L51" s="15">
        <v>891</v>
      </c>
      <c r="M51" s="13" t="s">
        <v>24</v>
      </c>
      <c r="N51" s="14">
        <v>46299.705104166671</v>
      </c>
      <c r="O51" s="15">
        <v>380</v>
      </c>
      <c r="P51" s="13" t="s">
        <v>25</v>
      </c>
      <c r="Q51" s="15">
        <v>190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13" t="s">
        <v>148</v>
      </c>
      <c r="B52" s="13" t="s">
        <v>18</v>
      </c>
      <c r="C52" s="13" t="s">
        <v>42</v>
      </c>
      <c r="D52" s="13" t="s">
        <v>60</v>
      </c>
      <c r="E52" s="13" t="s">
        <v>621</v>
      </c>
      <c r="F52" s="14">
        <v>46299.662777777776</v>
      </c>
      <c r="G52" s="13" t="s">
        <v>21</v>
      </c>
      <c r="H52" s="13" t="s">
        <v>1831</v>
      </c>
      <c r="I52" s="15">
        <v>360</v>
      </c>
      <c r="J52" s="13" t="s">
        <v>22</v>
      </c>
      <c r="K52" s="13" t="s">
        <v>23</v>
      </c>
      <c r="L52" s="15">
        <v>859</v>
      </c>
      <c r="M52" s="13" t="s">
        <v>45</v>
      </c>
      <c r="N52" s="14">
        <v>46299.70694444445</v>
      </c>
      <c r="O52" s="15">
        <v>340</v>
      </c>
      <c r="P52" s="13" t="s">
        <v>25</v>
      </c>
      <c r="Q52" s="15">
        <v>190</v>
      </c>
      <c r="R52" s="3" t="str">
        <f>IF(OR(G52="12R",G52="12L"),_xlfn.XLOOKUP(C52,Tabla42[ADEP],Tabla42[SID 12R],""),IF(OR(G52="30L",G52="30R"),_xlfn.XLOOKUP(C52,Tabla42[ADEP],Tabla42[SID 30L],""),""))</f>
        <v>UDGUV</v>
      </c>
      <c r="S52" s="3">
        <f t="shared" si="0"/>
        <v>15</v>
      </c>
      <c r="T52" s="3" t="str">
        <f>_xlfn.XLOOKUP(C52,Tabla42[ADEP],Tabla42[Sector],"")</f>
        <v>Sector 2</v>
      </c>
    </row>
    <row r="53" spans="1:20" x14ac:dyDescent="0.2">
      <c r="A53" s="13" t="s">
        <v>429</v>
      </c>
      <c r="B53" s="13" t="s">
        <v>18</v>
      </c>
      <c r="C53" s="13" t="s">
        <v>121</v>
      </c>
      <c r="D53" s="13" t="s">
        <v>122</v>
      </c>
      <c r="E53" s="13" t="s">
        <v>1832</v>
      </c>
      <c r="F53" s="14">
        <v>46299.674282407403</v>
      </c>
      <c r="G53" s="13" t="s">
        <v>21</v>
      </c>
      <c r="H53" s="13" t="s">
        <v>1833</v>
      </c>
      <c r="I53" s="15">
        <v>360</v>
      </c>
      <c r="J53" s="13" t="s">
        <v>22</v>
      </c>
      <c r="K53" s="13" t="s">
        <v>23</v>
      </c>
      <c r="L53" s="15">
        <v>534</v>
      </c>
      <c r="M53" s="13" t="s">
        <v>123</v>
      </c>
      <c r="N53" s="14">
        <v>46299.702835648146</v>
      </c>
      <c r="O53" s="15">
        <v>360</v>
      </c>
      <c r="P53" s="13" t="s">
        <v>25</v>
      </c>
      <c r="Q53" s="15">
        <v>40</v>
      </c>
      <c r="R53" s="3" t="str">
        <f>IF(OR(G53="12R",G53="12L"),_xlfn.XLOOKUP(C53,Tabla42[ADEP],Tabla42[SID 12R],""),IF(OR(G53="30L",G53="30R"),_xlfn.XLOOKUP(C53,Tabla42[ADEP],Tabla42[SID 30L],""),""))</f>
        <v>ENEBA</v>
      </c>
      <c r="S53" s="3">
        <f t="shared" si="0"/>
        <v>16</v>
      </c>
      <c r="T53" s="3" t="str">
        <f>_xlfn.XLOOKUP(C53,Tabla42[ADEP],Tabla42[Sector],"")</f>
        <v>Sector 3</v>
      </c>
    </row>
    <row r="54" spans="1:20" x14ac:dyDescent="0.2">
      <c r="A54" s="13" t="s">
        <v>156</v>
      </c>
      <c r="B54" s="13" t="s">
        <v>18</v>
      </c>
      <c r="C54" s="13" t="s">
        <v>109</v>
      </c>
      <c r="D54" s="13" t="s">
        <v>28</v>
      </c>
      <c r="E54" s="13" t="s">
        <v>1013</v>
      </c>
      <c r="F54" s="14">
        <v>46299.677905092598</v>
      </c>
      <c r="G54" s="13" t="s">
        <v>21</v>
      </c>
      <c r="H54" s="13" t="s">
        <v>1834</v>
      </c>
      <c r="I54" s="15">
        <v>370</v>
      </c>
      <c r="J54" s="13" t="s">
        <v>22</v>
      </c>
      <c r="K54" s="13" t="s">
        <v>23</v>
      </c>
      <c r="L54" s="15">
        <v>148</v>
      </c>
      <c r="M54" s="13" t="s">
        <v>547</v>
      </c>
      <c r="N54" s="14">
        <v>46299.688449074078</v>
      </c>
      <c r="O54" s="15">
        <v>271</v>
      </c>
      <c r="P54" s="13" t="s">
        <v>25</v>
      </c>
      <c r="Q54" s="15">
        <v>190</v>
      </c>
      <c r="R54" s="3" t="str">
        <f>IF(OR(G54="12R",G54="12L"),_xlfn.XLOOKUP(C54,Tabla42[ADEP],Tabla42[SID 12R],""),IF(OR(G54="30L",G54="30R"),_xlfn.XLOOKUP(C54,Tabla42[ADEP],Tabla42[SID 30L],""),""))</f>
        <v>TAKUX</v>
      </c>
      <c r="S54" s="3">
        <f t="shared" si="0"/>
        <v>16</v>
      </c>
      <c r="T54" s="3" t="str">
        <f>_xlfn.XLOOKUP(C54,Tabla42[ADEP],Tabla42[Sector],"")</f>
        <v>Sector 7</v>
      </c>
    </row>
    <row r="55" spans="1:20" x14ac:dyDescent="0.2">
      <c r="A55" s="13" t="s">
        <v>364</v>
      </c>
      <c r="B55" s="13" t="s">
        <v>18</v>
      </c>
      <c r="C55" s="13" t="s">
        <v>27</v>
      </c>
      <c r="D55" s="13" t="s">
        <v>28</v>
      </c>
      <c r="E55" s="13" t="s">
        <v>987</v>
      </c>
      <c r="F55" s="14">
        <v>46299.679236111115</v>
      </c>
      <c r="G55" s="13" t="s">
        <v>21</v>
      </c>
      <c r="H55" s="13" t="s">
        <v>1835</v>
      </c>
      <c r="I55" s="15">
        <v>330</v>
      </c>
      <c r="J55" s="13" t="s">
        <v>22</v>
      </c>
      <c r="K55" s="13" t="s">
        <v>23</v>
      </c>
      <c r="L55" s="15">
        <v>230</v>
      </c>
      <c r="M55" s="13" t="s">
        <v>355</v>
      </c>
      <c r="N55" s="14">
        <v>46299.694293981476</v>
      </c>
      <c r="O55" s="15">
        <v>298</v>
      </c>
      <c r="P55" s="13" t="s">
        <v>25</v>
      </c>
      <c r="Q55" s="15">
        <v>40</v>
      </c>
      <c r="R55" s="3" t="str">
        <f>IF(OR(G55="12R",G55="12L"),_xlfn.XLOOKUP(C55,Tabla42[ADEP],Tabla42[SID 12R],""),IF(OR(G55="30L",G55="30R"),_xlfn.XLOOKUP(C55,Tabla42[ADEP],Tabla42[SID 30L],""),""))</f>
        <v>OMSUK</v>
      </c>
      <c r="S55" s="3">
        <f t="shared" si="0"/>
        <v>16</v>
      </c>
      <c r="T55" s="3" t="str">
        <f>_xlfn.XLOOKUP(C55,Tabla42[ADEP],Tabla42[Sector],"")</f>
        <v>Sector 3</v>
      </c>
    </row>
    <row r="56" spans="1:20" x14ac:dyDescent="0.2">
      <c r="A56" s="13" t="s">
        <v>365</v>
      </c>
      <c r="B56" s="13" t="s">
        <v>18</v>
      </c>
      <c r="C56" s="13" t="s">
        <v>96</v>
      </c>
      <c r="D56" s="13" t="s">
        <v>53</v>
      </c>
      <c r="E56" s="13" t="s">
        <v>97</v>
      </c>
      <c r="F56" s="14">
        <v>46299.681655092594</v>
      </c>
      <c r="G56" s="13" t="s">
        <v>21</v>
      </c>
      <c r="H56" s="13" t="s">
        <v>366</v>
      </c>
      <c r="I56" s="15">
        <v>380</v>
      </c>
      <c r="J56" s="13" t="s">
        <v>22</v>
      </c>
      <c r="K56" s="13" t="s">
        <v>141</v>
      </c>
      <c r="L56" s="15">
        <v>859</v>
      </c>
      <c r="M56" s="13" t="s">
        <v>45</v>
      </c>
      <c r="N56" s="14">
        <v>46299.726284722223</v>
      </c>
      <c r="O56" s="15">
        <v>380</v>
      </c>
      <c r="P56" s="13" t="s">
        <v>25</v>
      </c>
      <c r="Q56" s="15">
        <v>190</v>
      </c>
      <c r="R56" s="3" t="str">
        <f>IF(OR(G56="12R",G56="12L"),_xlfn.XLOOKUP(C56,Tabla42[ADEP],Tabla42[SID 12R],""),IF(OR(G56="30L",G56="30R"),_xlfn.XLOOKUP(C56,Tabla42[ADEP],Tabla42[SID 30L],""),""))</f>
        <v>UDGUV</v>
      </c>
      <c r="S56" s="3">
        <f t="shared" si="0"/>
        <v>16</v>
      </c>
      <c r="T56" s="3" t="str">
        <f>_xlfn.XLOOKUP(C56,Tabla42[ADEP],Tabla42[Sector],"")</f>
        <v>Sector 2</v>
      </c>
    </row>
    <row r="57" spans="1:20" x14ac:dyDescent="0.2">
      <c r="A57" s="13" t="s">
        <v>163</v>
      </c>
      <c r="B57" s="13" t="s">
        <v>18</v>
      </c>
      <c r="C57" s="13" t="s">
        <v>164</v>
      </c>
      <c r="D57" s="13" t="s">
        <v>43</v>
      </c>
      <c r="E57" s="13" t="s">
        <v>490</v>
      </c>
      <c r="F57" s="14">
        <v>46299.682627314818</v>
      </c>
      <c r="G57" s="13" t="s">
        <v>21</v>
      </c>
      <c r="H57" s="13" t="s">
        <v>1836</v>
      </c>
      <c r="I57" s="15">
        <v>330</v>
      </c>
      <c r="J57" s="13" t="s">
        <v>22</v>
      </c>
      <c r="K57" s="13" t="s">
        <v>23</v>
      </c>
      <c r="L57" s="15">
        <v>360</v>
      </c>
      <c r="M57" s="13" t="s">
        <v>30</v>
      </c>
      <c r="N57" s="14">
        <v>46299.703842592593</v>
      </c>
      <c r="O57" s="15">
        <v>330</v>
      </c>
      <c r="P57" s="13" t="s">
        <v>25</v>
      </c>
      <c r="Q57" s="15">
        <v>40</v>
      </c>
      <c r="R57" s="3" t="str">
        <f>IF(OR(G57="12R",G57="12L"),_xlfn.XLOOKUP(C57,Tabla42[ADEP],Tabla42[SID 12R],""),IF(OR(G57="30L",G57="30R"),_xlfn.XLOOKUP(C57,Tabla42[ADEP],Tabla42[SID 30L],""),""))</f>
        <v>OMSUK</v>
      </c>
      <c r="S57" s="3">
        <f t="shared" si="0"/>
        <v>16</v>
      </c>
      <c r="T57" s="3" t="str">
        <f>_xlfn.XLOOKUP(C57,Tabla42[ADEP],Tabla42[Sector],"")</f>
        <v>Sector 3</v>
      </c>
    </row>
    <row r="58" spans="1:20" x14ac:dyDescent="0.2">
      <c r="A58" s="13" t="s">
        <v>159</v>
      </c>
      <c r="B58" s="13" t="s">
        <v>18</v>
      </c>
      <c r="C58" s="13" t="s">
        <v>160</v>
      </c>
      <c r="D58" s="13" t="s">
        <v>33</v>
      </c>
      <c r="E58" s="13" t="s">
        <v>275</v>
      </c>
      <c r="F58" s="14">
        <v>46299.685601851852</v>
      </c>
      <c r="G58" s="13" t="s">
        <v>21</v>
      </c>
      <c r="H58" s="13" t="s">
        <v>1837</v>
      </c>
      <c r="I58" s="15">
        <v>380</v>
      </c>
      <c r="J58" s="13" t="s">
        <v>22</v>
      </c>
      <c r="K58" s="13" t="s">
        <v>23</v>
      </c>
      <c r="L58" s="15">
        <v>368</v>
      </c>
      <c r="M58" s="13" t="s">
        <v>1838</v>
      </c>
      <c r="N58" s="14">
        <v>46299.707685185189</v>
      </c>
      <c r="O58" s="15">
        <v>380</v>
      </c>
      <c r="P58" s="13" t="s">
        <v>25</v>
      </c>
      <c r="Q58" s="15">
        <v>190</v>
      </c>
      <c r="R58" s="3" t="str">
        <f>IF(OR(G58="12R",G58="12L"),_xlfn.XLOOKUP(C58,Tabla42[ADEP],Tabla42[SID 12R],""),IF(OR(G58="30L",G58="30R"),_xlfn.XLOOKUP(C58,Tabla42[ADEP],Tabla42[SID 30L],""),""))</f>
        <v>CZM</v>
      </c>
      <c r="S58" s="3">
        <f t="shared" si="0"/>
        <v>16</v>
      </c>
      <c r="T58" s="3" t="str">
        <f>_xlfn.XLOOKUP(C58,Tabla42[ADEP],Tabla42[Sector],"")</f>
        <v>Sector 7</v>
      </c>
    </row>
    <row r="59" spans="1:20" x14ac:dyDescent="0.2">
      <c r="A59" s="13" t="s">
        <v>161</v>
      </c>
      <c r="B59" s="13" t="s">
        <v>18</v>
      </c>
      <c r="C59" s="13" t="s">
        <v>27</v>
      </c>
      <c r="D59" s="13" t="s">
        <v>60</v>
      </c>
      <c r="E59" s="13" t="s">
        <v>638</v>
      </c>
      <c r="F59" s="14">
        <v>46299.686956018515</v>
      </c>
      <c r="G59" s="13" t="s">
        <v>21</v>
      </c>
      <c r="H59" s="13" t="s">
        <v>1839</v>
      </c>
      <c r="I59" s="15">
        <v>330</v>
      </c>
      <c r="J59" s="13" t="s">
        <v>22</v>
      </c>
      <c r="K59" s="13" t="s">
        <v>23</v>
      </c>
      <c r="L59" s="15">
        <v>364</v>
      </c>
      <c r="M59" s="13" t="s">
        <v>30</v>
      </c>
      <c r="N59" s="14">
        <v>46299.708969907406</v>
      </c>
      <c r="O59" s="15">
        <v>330</v>
      </c>
      <c r="P59" s="13" t="s">
        <v>25</v>
      </c>
      <c r="Q59" s="15">
        <v>190</v>
      </c>
      <c r="R59" s="3" t="str">
        <f>IF(OR(G59="12R",G59="12L"),_xlfn.XLOOKUP(C59,Tabla42[ADEP],Tabla42[SID 12R],""),IF(OR(G59="30L",G59="30R"),_xlfn.XLOOKUP(C59,Tabla42[ADEP],Tabla42[SID 30L],""),""))</f>
        <v>OMSUK</v>
      </c>
      <c r="S59" s="3">
        <f t="shared" si="0"/>
        <v>16</v>
      </c>
      <c r="T59" s="3" t="str">
        <f>_xlfn.XLOOKUP(C59,Tabla42[ADEP],Tabla42[Sector],"")</f>
        <v>Sector 3</v>
      </c>
    </row>
    <row r="60" spans="1:20" x14ac:dyDescent="0.2">
      <c r="A60" s="13" t="s">
        <v>175</v>
      </c>
      <c r="B60" s="13" t="s">
        <v>18</v>
      </c>
      <c r="C60" s="13" t="s">
        <v>52</v>
      </c>
      <c r="D60" s="13" t="s">
        <v>20</v>
      </c>
      <c r="E60" s="13" t="s">
        <v>431</v>
      </c>
      <c r="F60" s="14">
        <v>46299.689722222218</v>
      </c>
      <c r="G60" s="13" t="s">
        <v>21</v>
      </c>
      <c r="H60" s="13" t="s">
        <v>1840</v>
      </c>
      <c r="I60" s="15">
        <v>390</v>
      </c>
      <c r="J60" s="13" t="s">
        <v>22</v>
      </c>
      <c r="K60" s="13" t="s">
        <v>23</v>
      </c>
      <c r="L60" s="15">
        <v>219</v>
      </c>
      <c r="M60" s="13" t="s">
        <v>55</v>
      </c>
      <c r="N60" s="14">
        <v>46299.703668981485</v>
      </c>
      <c r="O60" s="15">
        <v>362</v>
      </c>
      <c r="P60" s="13" t="s">
        <v>25</v>
      </c>
      <c r="Q60" s="15">
        <v>190</v>
      </c>
      <c r="R60" s="3" t="str">
        <f>IF(OR(G60="12R",G60="12L"),_xlfn.XLOOKUP(C60,Tabla42[ADEP],Tabla42[SID 12R],""),IF(OR(G60="30L",G60="30R"),_xlfn.XLOOKUP(C60,Tabla42[ADEP],Tabla42[SID 30L],""),""))</f>
        <v>CZM</v>
      </c>
      <c r="S60" s="3">
        <f t="shared" si="0"/>
        <v>16</v>
      </c>
      <c r="T60" s="3" t="str">
        <f>_xlfn.XLOOKUP(C60,Tabla42[ADEP],Tabla42[Sector],"")</f>
        <v>Sector 7</v>
      </c>
    </row>
    <row r="61" spans="1:20" x14ac:dyDescent="0.2">
      <c r="A61" s="13" t="s">
        <v>150</v>
      </c>
      <c r="B61" s="13" t="s">
        <v>18</v>
      </c>
      <c r="C61" s="13" t="s">
        <v>32</v>
      </c>
      <c r="D61" s="13" t="s">
        <v>20</v>
      </c>
      <c r="E61" s="13" t="s">
        <v>374</v>
      </c>
      <c r="F61" s="14">
        <v>46299.691643518519</v>
      </c>
      <c r="G61" s="13" t="s">
        <v>21</v>
      </c>
      <c r="H61" s="13" t="s">
        <v>1841</v>
      </c>
      <c r="I61" s="15">
        <v>360</v>
      </c>
      <c r="J61" s="13" t="s">
        <v>22</v>
      </c>
      <c r="K61" s="13" t="s">
        <v>23</v>
      </c>
      <c r="L61" s="15">
        <v>871</v>
      </c>
      <c r="M61" s="13" t="s">
        <v>35</v>
      </c>
      <c r="N61" s="14">
        <v>46299.736886574072</v>
      </c>
      <c r="O61" s="15">
        <v>360</v>
      </c>
      <c r="P61" s="13" t="s">
        <v>25</v>
      </c>
      <c r="Q61" s="15">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13" t="s">
        <v>152</v>
      </c>
      <c r="B62" s="13" t="s">
        <v>18</v>
      </c>
      <c r="C62" s="13" t="s">
        <v>153</v>
      </c>
      <c r="D62" s="13" t="s">
        <v>33</v>
      </c>
      <c r="E62" s="13" t="s">
        <v>236</v>
      </c>
      <c r="F62" s="14">
        <v>46299.69321759259</v>
      </c>
      <c r="G62" s="13" t="s">
        <v>21</v>
      </c>
      <c r="H62" s="13" t="s">
        <v>1842</v>
      </c>
      <c r="I62" s="15">
        <v>340</v>
      </c>
      <c r="J62" s="13" t="s">
        <v>22</v>
      </c>
      <c r="K62" s="13" t="s">
        <v>23</v>
      </c>
      <c r="L62" s="15">
        <v>873</v>
      </c>
      <c r="M62" s="13" t="s">
        <v>35</v>
      </c>
      <c r="N62" s="14">
        <v>46299.739606481482</v>
      </c>
      <c r="O62" s="15">
        <v>340</v>
      </c>
      <c r="P62" s="13" t="s">
        <v>25</v>
      </c>
      <c r="Q62" s="15">
        <v>190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13" t="s">
        <v>208</v>
      </c>
      <c r="B63" s="13" t="s">
        <v>18</v>
      </c>
      <c r="C63" s="13" t="s">
        <v>209</v>
      </c>
      <c r="D63" s="13" t="s">
        <v>110</v>
      </c>
      <c r="E63" s="13" t="s">
        <v>390</v>
      </c>
      <c r="F63" s="14">
        <v>46299.694155092591</v>
      </c>
      <c r="G63" s="13" t="s">
        <v>21</v>
      </c>
      <c r="H63" s="13" t="s">
        <v>1843</v>
      </c>
      <c r="I63" s="15">
        <v>380</v>
      </c>
      <c r="J63" s="13" t="s">
        <v>22</v>
      </c>
      <c r="K63" s="13" t="s">
        <v>23</v>
      </c>
      <c r="L63" s="15">
        <v>519</v>
      </c>
      <c r="M63" s="13" t="s">
        <v>123</v>
      </c>
      <c r="N63" s="14">
        <v>46299.721053240741</v>
      </c>
      <c r="O63" s="15">
        <v>380</v>
      </c>
      <c r="P63" s="13" t="s">
        <v>25</v>
      </c>
      <c r="Q63" s="15">
        <v>40</v>
      </c>
      <c r="R63" s="3" t="str">
        <f>IF(OR(G63="12R",G63="12L"),_xlfn.XLOOKUP(C63,Tabla42[ADEP],Tabla42[SID 12R],""),IF(OR(G63="30L",G63="30R"),_xlfn.XLOOKUP(C63,Tabla42[ADEP],Tabla42[SID 30L],""),""))</f>
        <v>ENEBA</v>
      </c>
      <c r="S63" s="3">
        <f t="shared" si="0"/>
        <v>16</v>
      </c>
      <c r="T63" s="3" t="str">
        <f>_xlfn.XLOOKUP(C63,Tabla42[ADEP],Tabla42[Sector],"")</f>
        <v>Sector 3</v>
      </c>
    </row>
    <row r="64" spans="1:20" x14ac:dyDescent="0.2">
      <c r="A64" s="13" t="s">
        <v>523</v>
      </c>
      <c r="B64" s="13" t="s">
        <v>18</v>
      </c>
      <c r="C64" s="13" t="s">
        <v>109</v>
      </c>
      <c r="D64" s="13" t="s">
        <v>110</v>
      </c>
      <c r="E64" s="13" t="s">
        <v>1844</v>
      </c>
      <c r="F64" s="14">
        <v>46299.695185185185</v>
      </c>
      <c r="G64" s="13" t="s">
        <v>21</v>
      </c>
      <c r="H64" s="13" t="s">
        <v>1845</v>
      </c>
      <c r="I64" s="15">
        <v>390</v>
      </c>
      <c r="J64" s="13" t="s">
        <v>22</v>
      </c>
      <c r="K64" s="13" t="s">
        <v>23</v>
      </c>
      <c r="L64" s="15">
        <v>150</v>
      </c>
      <c r="M64" s="13" t="s">
        <v>111</v>
      </c>
      <c r="N64" s="14">
        <v>46299.705266203702</v>
      </c>
      <c r="O64" s="15">
        <v>290</v>
      </c>
      <c r="P64" s="13" t="s">
        <v>25</v>
      </c>
      <c r="Q64" s="15">
        <v>190</v>
      </c>
      <c r="R64" s="3" t="str">
        <f>IF(OR(G64="12R",G64="12L"),_xlfn.XLOOKUP(C64,Tabla42[ADEP],Tabla42[SID 12R],""),IF(OR(G64="30L",G64="30R"),_xlfn.XLOOKUP(C64,Tabla42[ADEP],Tabla42[SID 30L],""),""))</f>
        <v>TAKUX</v>
      </c>
      <c r="S64" s="3">
        <f t="shared" si="0"/>
        <v>16</v>
      </c>
      <c r="T64" s="3" t="str">
        <f>_xlfn.XLOOKUP(C64,Tabla42[ADEP],Tabla42[Sector],"")</f>
        <v>Sector 7</v>
      </c>
    </row>
    <row r="65" spans="1:20" x14ac:dyDescent="0.2">
      <c r="A65" s="13" t="s">
        <v>180</v>
      </c>
      <c r="B65" s="13" t="s">
        <v>18</v>
      </c>
      <c r="C65" s="13" t="s">
        <v>133</v>
      </c>
      <c r="D65" s="13" t="s">
        <v>60</v>
      </c>
      <c r="E65" s="13" t="s">
        <v>162</v>
      </c>
      <c r="F65" s="14">
        <v>46299.696469907409</v>
      </c>
      <c r="G65" s="13" t="s">
        <v>21</v>
      </c>
      <c r="H65" s="13" t="s">
        <v>1846</v>
      </c>
      <c r="I65" s="15">
        <v>350</v>
      </c>
      <c r="J65" s="13" t="s">
        <v>22</v>
      </c>
      <c r="K65" s="13" t="s">
        <v>23</v>
      </c>
      <c r="L65" s="15">
        <v>350</v>
      </c>
      <c r="M65" s="13" t="s">
        <v>30</v>
      </c>
      <c r="N65" s="14">
        <v>46299.717291666668</v>
      </c>
      <c r="O65" s="15">
        <v>330</v>
      </c>
      <c r="P65" s="13" t="s">
        <v>25</v>
      </c>
      <c r="Q65" s="15">
        <v>40</v>
      </c>
      <c r="R65" s="3" t="str">
        <f>IF(OR(G65="12R",G65="12L"),_xlfn.XLOOKUP(C65,Tabla42[ADEP],Tabla42[SID 12R],""),IF(OR(G65="30L",G65="30R"),_xlfn.XLOOKUP(C65,Tabla42[ADEP],Tabla42[SID 30L],""),""))</f>
        <v>OMSUK</v>
      </c>
      <c r="S65" s="3">
        <f t="shared" si="0"/>
        <v>16</v>
      </c>
      <c r="T65" s="3" t="str">
        <f>_xlfn.XLOOKUP(C65,Tabla42[ADEP],Tabla42[Sector],"")</f>
        <v>Sector 3</v>
      </c>
    </row>
    <row r="66" spans="1:20" x14ac:dyDescent="0.2">
      <c r="A66" s="13" t="s">
        <v>181</v>
      </c>
      <c r="B66" s="13" t="s">
        <v>18</v>
      </c>
      <c r="C66" s="13" t="s">
        <v>42</v>
      </c>
      <c r="D66" s="13" t="s">
        <v>122</v>
      </c>
      <c r="E66" s="13" t="s">
        <v>982</v>
      </c>
      <c r="F66" s="14">
        <v>46299.697627314818</v>
      </c>
      <c r="G66" s="13" t="s">
        <v>21</v>
      </c>
      <c r="H66" s="13" t="s">
        <v>771</v>
      </c>
      <c r="I66" s="15">
        <v>360</v>
      </c>
      <c r="J66" s="13" t="s">
        <v>22</v>
      </c>
      <c r="K66" s="13" t="s">
        <v>23</v>
      </c>
      <c r="L66" s="15">
        <v>859</v>
      </c>
      <c r="M66" s="13" t="s">
        <v>45</v>
      </c>
      <c r="N66" s="14">
        <v>46299.742210648154</v>
      </c>
      <c r="O66" s="15">
        <v>360</v>
      </c>
      <c r="P66" s="13" t="s">
        <v>25</v>
      </c>
      <c r="Q66" s="15">
        <v>190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13" t="s">
        <v>432</v>
      </c>
      <c r="B67" s="13" t="s">
        <v>18</v>
      </c>
      <c r="C67" s="13" t="s">
        <v>233</v>
      </c>
      <c r="D67" s="13" t="s">
        <v>122</v>
      </c>
      <c r="E67" s="13" t="s">
        <v>972</v>
      </c>
      <c r="F67" s="14">
        <v>46299.698807870373</v>
      </c>
      <c r="G67" s="13" t="s">
        <v>21</v>
      </c>
      <c r="H67" s="13" t="s">
        <v>1847</v>
      </c>
      <c r="I67" s="15">
        <v>360</v>
      </c>
      <c r="J67" s="13" t="s">
        <v>22</v>
      </c>
      <c r="K67" s="13" t="s">
        <v>23</v>
      </c>
      <c r="L67" s="15">
        <v>530</v>
      </c>
      <c r="M67" s="13" t="s">
        <v>123</v>
      </c>
      <c r="N67" s="14">
        <v>46299.727592592593</v>
      </c>
      <c r="O67" s="15">
        <v>380</v>
      </c>
      <c r="P67" s="13" t="s">
        <v>25</v>
      </c>
      <c r="Q67" s="15">
        <v>40</v>
      </c>
      <c r="R67" s="3" t="str">
        <f>IF(OR(G67="12R",G67="12L"),_xlfn.XLOOKUP(C67,Tabla42[ADEP],Tabla42[SID 12R],""),IF(OR(G67="30L",G67="30R"),_xlfn.XLOOKUP(C67,Tabla42[ADEP],Tabla42[SID 30L],""),""))</f>
        <v>UDGUV</v>
      </c>
      <c r="S67" s="3">
        <f t="shared" ref="S67:S130" si="1">HOUR(F67)</f>
        <v>16</v>
      </c>
      <c r="T67" s="3" t="str">
        <f>_xlfn.XLOOKUP(C67,Tabla42[ADEP],Tabla42[Sector],"")</f>
        <v>Sector 2</v>
      </c>
    </row>
    <row r="68" spans="1:20" x14ac:dyDescent="0.2">
      <c r="A68" s="13" t="s">
        <v>430</v>
      </c>
      <c r="B68" s="13" t="s">
        <v>18</v>
      </c>
      <c r="C68" s="13" t="s">
        <v>265</v>
      </c>
      <c r="D68" s="13" t="s">
        <v>33</v>
      </c>
      <c r="E68" s="13" t="s">
        <v>491</v>
      </c>
      <c r="F68" s="14">
        <v>46299.699884259258</v>
      </c>
      <c r="G68" s="13" t="s">
        <v>21</v>
      </c>
      <c r="H68" s="13" t="s">
        <v>1848</v>
      </c>
      <c r="I68" s="15">
        <v>380</v>
      </c>
      <c r="J68" s="13" t="s">
        <v>22</v>
      </c>
      <c r="K68" s="13" t="s">
        <v>23</v>
      </c>
      <c r="L68" s="15">
        <v>868</v>
      </c>
      <c r="M68" s="13" t="s">
        <v>167</v>
      </c>
      <c r="N68" s="14">
        <v>46299.745601851857</v>
      </c>
      <c r="O68" s="15">
        <v>380</v>
      </c>
      <c r="P68" s="13" t="s">
        <v>25</v>
      </c>
      <c r="Q68" s="15">
        <v>190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13" t="s">
        <v>177</v>
      </c>
      <c r="B69" s="13" t="s">
        <v>18</v>
      </c>
      <c r="C69" s="13" t="s">
        <v>109</v>
      </c>
      <c r="D69" s="13" t="s">
        <v>122</v>
      </c>
      <c r="E69" s="13" t="s">
        <v>999</v>
      </c>
      <c r="F69" s="14">
        <v>46299.702673611115</v>
      </c>
      <c r="G69" s="13" t="s">
        <v>21</v>
      </c>
      <c r="H69" s="13" t="s">
        <v>1849</v>
      </c>
      <c r="I69" s="15">
        <v>370</v>
      </c>
      <c r="J69" s="13" t="s">
        <v>22</v>
      </c>
      <c r="K69" s="13" t="s">
        <v>23</v>
      </c>
      <c r="L69" s="15">
        <v>146</v>
      </c>
      <c r="M69" s="13" t="s">
        <v>486</v>
      </c>
      <c r="N69" s="14">
        <v>46299.712534722217</v>
      </c>
      <c r="O69" s="15">
        <v>284</v>
      </c>
      <c r="P69" s="13" t="s">
        <v>25</v>
      </c>
      <c r="Q69" s="15">
        <v>190</v>
      </c>
      <c r="R69" s="3" t="str">
        <f>IF(OR(G69="12R",G69="12L"),_xlfn.XLOOKUP(C69,Tabla42[ADEP],Tabla42[SID 12R],""),IF(OR(G69="30L",G69="30R"),_xlfn.XLOOKUP(C69,Tabla42[ADEP],Tabla42[SID 30L],""),""))</f>
        <v>TAKUX</v>
      </c>
      <c r="S69" s="3">
        <f t="shared" si="1"/>
        <v>16</v>
      </c>
      <c r="T69" s="3" t="str">
        <f>_xlfn.XLOOKUP(C69,Tabla42[ADEP],Tabla42[Sector],"")</f>
        <v>Sector 7</v>
      </c>
    </row>
    <row r="70" spans="1:20" x14ac:dyDescent="0.2">
      <c r="A70" s="13" t="s">
        <v>143</v>
      </c>
      <c r="B70" s="13" t="s">
        <v>18</v>
      </c>
      <c r="C70" s="13" t="s">
        <v>32</v>
      </c>
      <c r="D70" s="13" t="s">
        <v>20</v>
      </c>
      <c r="E70" s="13" t="s">
        <v>1010</v>
      </c>
      <c r="F70" s="14">
        <v>46299.709004629629</v>
      </c>
      <c r="G70" s="13" t="s">
        <v>21</v>
      </c>
      <c r="H70" s="13" t="s">
        <v>352</v>
      </c>
      <c r="I70" s="15">
        <v>360</v>
      </c>
      <c r="J70" s="13" t="s">
        <v>22</v>
      </c>
      <c r="K70" s="13" t="s">
        <v>23</v>
      </c>
      <c r="L70" s="15">
        <v>878</v>
      </c>
      <c r="M70" s="13" t="s">
        <v>35</v>
      </c>
      <c r="N70" s="14">
        <v>46299.75371527778</v>
      </c>
      <c r="O70" s="15">
        <v>360</v>
      </c>
      <c r="P70" s="13" t="s">
        <v>25</v>
      </c>
      <c r="Q70" s="15">
        <v>190</v>
      </c>
      <c r="R70" s="3" t="str">
        <f>IF(OR(G70="12R",G70="12L"),_xlfn.XLOOKUP(C70,Tabla42[ADEP],Tabla42[SID 12R],""),IF(OR(G70="30L",G70="30R"),_xlfn.XLOOKUP(C70,Tabla42[ADEP],Tabla42[SID 30L],""),""))</f>
        <v>UDGUV</v>
      </c>
      <c r="S70" s="3">
        <f t="shared" si="1"/>
        <v>17</v>
      </c>
      <c r="T70" s="3" t="str">
        <f>_xlfn.XLOOKUP(C70,Tabla42[ADEP],Tabla42[Sector],"")</f>
        <v>Sector 2</v>
      </c>
    </row>
    <row r="71" spans="1:20" x14ac:dyDescent="0.2">
      <c r="A71" s="13" t="s">
        <v>656</v>
      </c>
      <c r="B71" s="13" t="s">
        <v>18</v>
      </c>
      <c r="C71" s="13" t="s">
        <v>657</v>
      </c>
      <c r="D71" s="13" t="s">
        <v>28</v>
      </c>
      <c r="E71" s="13" t="s">
        <v>1068</v>
      </c>
      <c r="F71" s="14">
        <v>46299.714016203703</v>
      </c>
      <c r="G71" s="13" t="s">
        <v>21</v>
      </c>
      <c r="H71" s="13" t="s">
        <v>1850</v>
      </c>
      <c r="I71" s="15">
        <v>370</v>
      </c>
      <c r="J71" s="13" t="s">
        <v>22</v>
      </c>
      <c r="K71" s="13" t="s">
        <v>23</v>
      </c>
      <c r="L71" s="15">
        <v>360</v>
      </c>
      <c r="M71" s="13" t="s">
        <v>30</v>
      </c>
      <c r="N71" s="14">
        <v>46299.734965277778</v>
      </c>
      <c r="O71" s="15">
        <v>350</v>
      </c>
      <c r="P71" s="13" t="s">
        <v>25</v>
      </c>
      <c r="Q71" s="15">
        <v>40</v>
      </c>
      <c r="R71" s="3" t="str">
        <f>IF(OR(G71="12R",G71="12L"),_xlfn.XLOOKUP(C71,Tabla42[ADEP],Tabla42[SID 12R],""),IF(OR(G71="30L",G71="30R"),_xlfn.XLOOKUP(C71,Tabla42[ADEP],Tabla42[SID 30L],""),""))</f>
        <v>OMSUK</v>
      </c>
      <c r="S71" s="3">
        <f t="shared" si="1"/>
        <v>17</v>
      </c>
      <c r="T71" s="3" t="str">
        <f>_xlfn.XLOOKUP(C71,Tabla42[ADEP],Tabla42[Sector],"")</f>
        <v>Sector 3</v>
      </c>
    </row>
    <row r="72" spans="1:20" x14ac:dyDescent="0.2">
      <c r="A72" s="13" t="s">
        <v>524</v>
      </c>
      <c r="B72" s="13" t="s">
        <v>18</v>
      </c>
      <c r="C72" s="13" t="s">
        <v>19</v>
      </c>
      <c r="D72" s="13" t="s">
        <v>20</v>
      </c>
      <c r="E72" s="13" t="s">
        <v>76</v>
      </c>
      <c r="F72" s="14">
        <v>46299.715428240743</v>
      </c>
      <c r="G72" s="13" t="s">
        <v>21</v>
      </c>
      <c r="H72" s="13" t="s">
        <v>1851</v>
      </c>
      <c r="I72" s="15">
        <v>360</v>
      </c>
      <c r="J72" s="13" t="s">
        <v>22</v>
      </c>
      <c r="K72" s="13" t="s">
        <v>141</v>
      </c>
      <c r="L72" s="15">
        <v>932</v>
      </c>
      <c r="M72" s="13" t="s">
        <v>1852</v>
      </c>
      <c r="N72" s="14">
        <v>46299.763541666667</v>
      </c>
      <c r="O72" s="15">
        <v>360</v>
      </c>
      <c r="P72" s="13" t="s">
        <v>25</v>
      </c>
      <c r="Q72" s="15">
        <v>190</v>
      </c>
      <c r="R72" s="3" t="str">
        <f>IF(OR(G72="12R",G72="12L"),_xlfn.XLOOKUP(C72,Tabla42[ADEP],Tabla42[SID 12R],""),IF(OR(G72="30L",G72="30R"),_xlfn.XLOOKUP(C72,Tabla42[ADEP],Tabla42[SID 30L],""),""))</f>
        <v>UDGUV</v>
      </c>
      <c r="S72" s="3">
        <f t="shared" si="1"/>
        <v>17</v>
      </c>
      <c r="T72" s="3" t="str">
        <f>_xlfn.XLOOKUP(C72,Tabla42[ADEP],Tabla42[Sector],"")</f>
        <v>Sector 2</v>
      </c>
    </row>
    <row r="73" spans="1:20" x14ac:dyDescent="0.2">
      <c r="A73" s="13" t="s">
        <v>222</v>
      </c>
      <c r="B73" s="13" t="s">
        <v>18</v>
      </c>
      <c r="C73" s="13" t="s">
        <v>223</v>
      </c>
      <c r="D73" s="13" t="s">
        <v>110</v>
      </c>
      <c r="E73" s="13" t="s">
        <v>1853</v>
      </c>
      <c r="F73" s="14">
        <v>46299.716666666667</v>
      </c>
      <c r="G73" s="13" t="s">
        <v>21</v>
      </c>
      <c r="H73" s="13" t="s">
        <v>1854</v>
      </c>
      <c r="I73" s="15">
        <v>370</v>
      </c>
      <c r="J73" s="13" t="s">
        <v>22</v>
      </c>
      <c r="K73" s="13" t="s">
        <v>23</v>
      </c>
      <c r="L73" s="15">
        <v>136</v>
      </c>
      <c r="M73" s="13" t="s">
        <v>39</v>
      </c>
      <c r="N73" s="14">
        <v>46299.726157407407</v>
      </c>
      <c r="O73" s="15">
        <v>292</v>
      </c>
      <c r="P73" s="13" t="s">
        <v>25</v>
      </c>
      <c r="Q73" s="15">
        <v>190</v>
      </c>
      <c r="R73" s="3" t="str">
        <f>IF(OR(G73="12R",G73="12L"),_xlfn.XLOOKUP(C73,Tabla42[ADEP],Tabla42[SID 12R],""),IF(OR(G73="30L",G73="30R"),_xlfn.XLOOKUP(C73,Tabla42[ADEP],Tabla42[SID 30L],""),""))</f>
        <v>OMSUK</v>
      </c>
      <c r="S73" s="3">
        <f t="shared" si="1"/>
        <v>17</v>
      </c>
      <c r="T73" s="3" t="str">
        <f>_xlfn.XLOOKUP(C73,Tabla42[ADEP],Tabla42[Sector],"")</f>
        <v>Sector 3</v>
      </c>
    </row>
    <row r="74" spans="1:20" x14ac:dyDescent="0.2">
      <c r="A74" s="13" t="s">
        <v>183</v>
      </c>
      <c r="B74" s="13" t="s">
        <v>18</v>
      </c>
      <c r="C74" s="13" t="s">
        <v>184</v>
      </c>
      <c r="D74" s="13" t="s">
        <v>60</v>
      </c>
      <c r="E74" s="13" t="s">
        <v>805</v>
      </c>
      <c r="F74" s="14">
        <v>46299.71811342593</v>
      </c>
      <c r="G74" s="13" t="s">
        <v>21</v>
      </c>
      <c r="H74" s="13" t="s">
        <v>828</v>
      </c>
      <c r="I74" s="15">
        <v>350</v>
      </c>
      <c r="J74" s="13" t="s">
        <v>22</v>
      </c>
      <c r="K74" s="13" t="s">
        <v>23</v>
      </c>
      <c r="L74" s="15">
        <v>360</v>
      </c>
      <c r="M74" s="13" t="s">
        <v>30</v>
      </c>
      <c r="N74" s="14">
        <v>46299.73946759259</v>
      </c>
      <c r="O74" s="15">
        <v>330</v>
      </c>
      <c r="P74" s="13" t="s">
        <v>25</v>
      </c>
      <c r="Q74" s="15">
        <v>40</v>
      </c>
      <c r="R74" s="3" t="str">
        <f>IF(OR(G74="12R",G74="12L"),_xlfn.XLOOKUP(C74,Tabla42[ADEP],Tabla42[SID 12R],""),IF(OR(G74="30L",G74="30R"),_xlfn.XLOOKUP(C74,Tabla42[ADEP],Tabla42[SID 30L],""),""))</f>
        <v>OMSUK</v>
      </c>
      <c r="S74" s="3">
        <f t="shared" si="1"/>
        <v>17</v>
      </c>
      <c r="T74" s="3" t="str">
        <f>_xlfn.XLOOKUP(C74,Tabla42[ADEP],Tabla42[Sector],"")</f>
        <v>Sector 3</v>
      </c>
    </row>
    <row r="75" spans="1:20" x14ac:dyDescent="0.2">
      <c r="A75" s="13" t="s">
        <v>178</v>
      </c>
      <c r="B75" s="13" t="s">
        <v>18</v>
      </c>
      <c r="C75" s="13" t="s">
        <v>179</v>
      </c>
      <c r="D75" s="13" t="s">
        <v>53</v>
      </c>
      <c r="E75" s="13" t="s">
        <v>393</v>
      </c>
      <c r="F75" s="14">
        <v>46299.722048611111</v>
      </c>
      <c r="G75" s="13" t="s">
        <v>21</v>
      </c>
      <c r="H75" s="13" t="s">
        <v>1855</v>
      </c>
      <c r="I75" s="15">
        <v>380</v>
      </c>
      <c r="J75" s="13" t="s">
        <v>22</v>
      </c>
      <c r="K75" s="13" t="s">
        <v>23</v>
      </c>
      <c r="L75" s="15">
        <v>834</v>
      </c>
      <c r="M75" s="13" t="s">
        <v>179</v>
      </c>
      <c r="N75" s="14">
        <v>46299.767465277779</v>
      </c>
      <c r="O75" s="15">
        <v>15</v>
      </c>
      <c r="P75" s="13" t="s">
        <v>25</v>
      </c>
      <c r="Q75" s="15">
        <v>190</v>
      </c>
      <c r="R75" s="3" t="str">
        <f>IF(OR(G75="12R",G75="12L"),_xlfn.XLOOKUP(C75,Tabla42[ADEP],Tabla42[SID 12R],""),IF(OR(G75="30L",G75="30R"),_xlfn.XLOOKUP(C75,Tabla42[ADEP],Tabla42[SID 30L],""),""))</f>
        <v>UDGUV</v>
      </c>
      <c r="S75" s="3">
        <f t="shared" si="1"/>
        <v>17</v>
      </c>
      <c r="T75" s="3" t="str">
        <f>_xlfn.XLOOKUP(C75,Tabla42[ADEP],Tabla42[Sector],"")</f>
        <v>Sector 2</v>
      </c>
    </row>
    <row r="76" spans="1:20" x14ac:dyDescent="0.2">
      <c r="A76" s="13" t="s">
        <v>642</v>
      </c>
      <c r="B76" s="13" t="s">
        <v>18</v>
      </c>
      <c r="C76" s="13" t="s">
        <v>643</v>
      </c>
      <c r="D76" s="13" t="s">
        <v>243</v>
      </c>
      <c r="E76" s="13" t="s">
        <v>1856</v>
      </c>
      <c r="F76" s="14">
        <v>46299.724722222221</v>
      </c>
      <c r="G76" s="13" t="s">
        <v>21</v>
      </c>
      <c r="H76" s="13" t="s">
        <v>1857</v>
      </c>
      <c r="I76" s="15">
        <v>390</v>
      </c>
      <c r="J76" s="13" t="s">
        <v>22</v>
      </c>
      <c r="K76" s="13" t="s">
        <v>23</v>
      </c>
      <c r="L76" s="15">
        <v>219</v>
      </c>
      <c r="M76" s="13" t="s">
        <v>55</v>
      </c>
      <c r="N76" s="14">
        <v>46299.738506944443</v>
      </c>
      <c r="O76" s="15">
        <v>285</v>
      </c>
      <c r="P76" s="13" t="s">
        <v>40</v>
      </c>
      <c r="Q76" s="15">
        <v>190</v>
      </c>
      <c r="R76" s="3" t="str">
        <f>IF(OR(G76="12R",G76="12L"),_xlfn.XLOOKUP(C76,Tabla42[ADEP],Tabla42[SID 12R],""),IF(OR(G76="30L",G76="30R"),_xlfn.XLOOKUP(C76,Tabla42[ADEP],Tabla42[SID 30L],""),""))</f>
        <v>CZM</v>
      </c>
      <c r="S76" s="3">
        <f t="shared" si="1"/>
        <v>17</v>
      </c>
      <c r="T76" s="3" t="str">
        <f>_xlfn.XLOOKUP(C76,Tabla42[ADEP],Tabla42[Sector],"")</f>
        <v>Sector 7</v>
      </c>
    </row>
    <row r="77" spans="1:20" x14ac:dyDescent="0.2">
      <c r="A77" s="13" t="s">
        <v>187</v>
      </c>
      <c r="B77" s="13" t="s">
        <v>18</v>
      </c>
      <c r="C77" s="13" t="s">
        <v>188</v>
      </c>
      <c r="D77" s="13" t="s">
        <v>117</v>
      </c>
      <c r="E77" s="13" t="s">
        <v>258</v>
      </c>
      <c r="F77" s="14">
        <v>46299.726967592593</v>
      </c>
      <c r="G77" s="13" t="s">
        <v>21</v>
      </c>
      <c r="H77" s="13" t="s">
        <v>1858</v>
      </c>
      <c r="I77" s="15">
        <v>330</v>
      </c>
      <c r="J77" s="13" t="s">
        <v>22</v>
      </c>
      <c r="K77" s="13" t="s">
        <v>23</v>
      </c>
      <c r="L77" s="15">
        <v>363</v>
      </c>
      <c r="M77" s="13" t="s">
        <v>30</v>
      </c>
      <c r="N77" s="14">
        <v>46299.747499999998</v>
      </c>
      <c r="O77" s="15">
        <v>310</v>
      </c>
      <c r="P77" s="13" t="s">
        <v>25</v>
      </c>
      <c r="Q77" s="15">
        <v>40</v>
      </c>
      <c r="R77" s="3" t="str">
        <f>IF(OR(G77="12R",G77="12L"),_xlfn.XLOOKUP(C77,Tabla42[ADEP],Tabla42[SID 12R],""),IF(OR(G77="30L",G77="30R"),_xlfn.XLOOKUP(C77,Tabla42[ADEP],Tabla42[SID 30L],""),""))</f>
        <v>ENEBA</v>
      </c>
      <c r="S77" s="3">
        <f t="shared" si="1"/>
        <v>17</v>
      </c>
      <c r="T77" s="3" t="str">
        <f>_xlfn.XLOOKUP(C77,Tabla42[ADEP],Tabla42[Sector],"")</f>
        <v>Sector 3</v>
      </c>
    </row>
    <row r="78" spans="1:20" x14ac:dyDescent="0.2">
      <c r="A78" s="13" t="s">
        <v>284</v>
      </c>
      <c r="B78" s="13" t="s">
        <v>18</v>
      </c>
      <c r="C78" s="13" t="s">
        <v>137</v>
      </c>
      <c r="D78" s="13" t="s">
        <v>60</v>
      </c>
      <c r="E78" s="13" t="s">
        <v>1859</v>
      </c>
      <c r="F78" s="14">
        <v>46299.732719907406</v>
      </c>
      <c r="G78" s="13" t="s">
        <v>21</v>
      </c>
      <c r="H78" s="13" t="s">
        <v>386</v>
      </c>
      <c r="I78" s="15">
        <v>350</v>
      </c>
      <c r="J78" s="13" t="s">
        <v>22</v>
      </c>
      <c r="K78" s="13" t="s">
        <v>23</v>
      </c>
      <c r="L78" s="15">
        <v>136</v>
      </c>
      <c r="M78" s="13" t="s">
        <v>39</v>
      </c>
      <c r="N78" s="14">
        <v>46299.742152777777</v>
      </c>
      <c r="O78" s="15">
        <v>233</v>
      </c>
      <c r="P78" s="13" t="s">
        <v>25</v>
      </c>
      <c r="Q78" s="15">
        <v>190</v>
      </c>
      <c r="R78" s="3" t="str">
        <f>IF(OR(G78="12R",G78="12L"),_xlfn.XLOOKUP(C78,Tabla42[ADEP],Tabla42[SID 12R],""),IF(OR(G78="30L",G78="30R"),_xlfn.XLOOKUP(C78,Tabla42[ADEP],Tabla42[SID 30L],""),""))</f>
        <v>NUDAL</v>
      </c>
      <c r="S78" s="3">
        <f t="shared" si="1"/>
        <v>17</v>
      </c>
      <c r="T78" s="3" t="str">
        <f>_xlfn.XLOOKUP(C78,Tabla42[ADEP],Tabla42[Sector],"")</f>
        <v>Sector 3</v>
      </c>
    </row>
    <row r="79" spans="1:20" x14ac:dyDescent="0.2">
      <c r="A79" s="13" t="s">
        <v>192</v>
      </c>
      <c r="B79" s="13" t="s">
        <v>18</v>
      </c>
      <c r="C79" s="13" t="s">
        <v>193</v>
      </c>
      <c r="D79" s="13" t="s">
        <v>60</v>
      </c>
      <c r="E79" s="13" t="s">
        <v>531</v>
      </c>
      <c r="F79" s="14">
        <v>46299.733900462961</v>
      </c>
      <c r="G79" s="13" t="s">
        <v>21</v>
      </c>
      <c r="H79" s="13" t="s">
        <v>1860</v>
      </c>
      <c r="I79" s="15">
        <v>330</v>
      </c>
      <c r="J79" s="13" t="s">
        <v>22</v>
      </c>
      <c r="K79" s="13" t="s">
        <v>23</v>
      </c>
      <c r="L79" s="15">
        <v>359</v>
      </c>
      <c r="M79" s="13" t="s">
        <v>30</v>
      </c>
      <c r="N79" s="14">
        <v>46299.754537037035</v>
      </c>
      <c r="O79" s="15">
        <v>330</v>
      </c>
      <c r="P79" s="13" t="s">
        <v>25</v>
      </c>
      <c r="Q79" s="15">
        <v>40</v>
      </c>
      <c r="R79" s="3" t="str">
        <f>IF(OR(G79="12R",G79="12L"),_xlfn.XLOOKUP(C79,Tabla42[ADEP],Tabla42[SID 12R],""),IF(OR(G79="30L",G79="30R"),_xlfn.XLOOKUP(C79,Tabla42[ADEP],Tabla42[SID 30L],""),""))</f>
        <v>ENEBA</v>
      </c>
      <c r="S79" s="3">
        <f t="shared" si="1"/>
        <v>17</v>
      </c>
      <c r="T79" s="3" t="str">
        <f>_xlfn.XLOOKUP(C79,Tabla42[ADEP],Tabla42[Sector],"")</f>
        <v>Sector 3</v>
      </c>
    </row>
    <row r="80" spans="1:20" x14ac:dyDescent="0.2">
      <c r="A80" s="13" t="s">
        <v>1861</v>
      </c>
      <c r="B80" s="13" t="s">
        <v>18</v>
      </c>
      <c r="C80" s="13" t="s">
        <v>65</v>
      </c>
      <c r="D80" s="13" t="s">
        <v>124</v>
      </c>
      <c r="E80" s="13"/>
      <c r="F80" s="14">
        <v>46299.735266203701</v>
      </c>
      <c r="G80" s="13" t="s">
        <v>21</v>
      </c>
      <c r="H80" s="13" t="s">
        <v>1021</v>
      </c>
      <c r="I80" s="15">
        <v>240</v>
      </c>
      <c r="J80" s="13" t="s">
        <v>22</v>
      </c>
      <c r="K80" s="13" t="s">
        <v>50</v>
      </c>
      <c r="L80" s="15">
        <v>358</v>
      </c>
      <c r="M80" s="13" t="s">
        <v>65</v>
      </c>
      <c r="N80" s="14">
        <v>46299.761273148149</v>
      </c>
      <c r="O80" s="15">
        <v>0</v>
      </c>
      <c r="P80" s="13" t="s">
        <v>25</v>
      </c>
      <c r="Q80" s="15">
        <v>30</v>
      </c>
      <c r="R80" s="3" t="str">
        <f>IF(OR(G80="12R",G80="12L"),_xlfn.XLOOKUP(C80,Tabla42[ADEP],Tabla42[SID 12R],""),IF(OR(G80="30L",G80="30R"),_xlfn.XLOOKUP(C80,Tabla42[ADEP],Tabla42[SID 30L],""),""))</f>
        <v>UDGUV</v>
      </c>
      <c r="S80" s="3">
        <f t="shared" si="1"/>
        <v>17</v>
      </c>
      <c r="T80" s="3" t="str">
        <f>_xlfn.XLOOKUP(C80,Tabla42[ADEP],Tabla42[Sector],"")</f>
        <v>Sector 2</v>
      </c>
    </row>
    <row r="81" spans="1:20" x14ac:dyDescent="0.2">
      <c r="A81" s="13" t="s">
        <v>1201</v>
      </c>
      <c r="B81" s="13" t="s">
        <v>18</v>
      </c>
      <c r="C81" s="13" t="s">
        <v>592</v>
      </c>
      <c r="D81" s="13" t="s">
        <v>28</v>
      </c>
      <c r="E81" s="13" t="s">
        <v>1862</v>
      </c>
      <c r="F81" s="14">
        <v>46299.737777777773</v>
      </c>
      <c r="G81" s="13" t="s">
        <v>21</v>
      </c>
      <c r="H81" s="13" t="s">
        <v>1863</v>
      </c>
      <c r="I81" s="15">
        <v>350</v>
      </c>
      <c r="J81" s="13" t="s">
        <v>22</v>
      </c>
      <c r="K81" s="13" t="s">
        <v>23</v>
      </c>
      <c r="L81" s="15">
        <v>359</v>
      </c>
      <c r="M81" s="13" t="s">
        <v>30</v>
      </c>
      <c r="N81" s="14">
        <v>46299.757951388892</v>
      </c>
      <c r="O81" s="15">
        <v>310</v>
      </c>
      <c r="P81" s="13" t="s">
        <v>25</v>
      </c>
      <c r="Q81" s="15">
        <v>40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13" t="s">
        <v>211</v>
      </c>
      <c r="B82" s="13" t="s">
        <v>18</v>
      </c>
      <c r="C82" s="13" t="s">
        <v>212</v>
      </c>
      <c r="D82" s="13" t="s">
        <v>53</v>
      </c>
      <c r="E82" s="13" t="s">
        <v>415</v>
      </c>
      <c r="F82" s="14">
        <v>46299.739398148144</v>
      </c>
      <c r="G82" s="13" t="s">
        <v>21</v>
      </c>
      <c r="H82" s="13" t="s">
        <v>1864</v>
      </c>
      <c r="I82" s="15">
        <v>390</v>
      </c>
      <c r="J82" s="13" t="s">
        <v>22</v>
      </c>
      <c r="K82" s="13" t="s">
        <v>23</v>
      </c>
      <c r="L82" s="15">
        <v>153</v>
      </c>
      <c r="M82" s="13" t="s">
        <v>111</v>
      </c>
      <c r="N82" s="14">
        <v>46299.750162037039</v>
      </c>
      <c r="O82" s="15">
        <v>299</v>
      </c>
      <c r="P82" s="13" t="s">
        <v>25</v>
      </c>
      <c r="Q82" s="15">
        <v>190</v>
      </c>
      <c r="R82" s="3" t="str">
        <f>IF(OR(G82="12R",G82="12L"),_xlfn.XLOOKUP(C82,Tabla42[ADEP],Tabla42[SID 12R],""),IF(OR(G82="30L",G82="30R"),_xlfn.XLOOKUP(C82,Tabla42[ADEP],Tabla42[SID 30L],""),""))</f>
        <v>TAKUX</v>
      </c>
      <c r="S82" s="3">
        <f t="shared" si="1"/>
        <v>17</v>
      </c>
      <c r="T82" s="3" t="str">
        <f>_xlfn.XLOOKUP(C82,Tabla42[ADEP],Tabla42[Sector],"")</f>
        <v>Sector 7</v>
      </c>
    </row>
    <row r="83" spans="1:20" x14ac:dyDescent="0.2">
      <c r="A83" s="13" t="s">
        <v>186</v>
      </c>
      <c r="B83" s="13" t="s">
        <v>18</v>
      </c>
      <c r="C83" s="13" t="s">
        <v>121</v>
      </c>
      <c r="D83" s="13" t="s">
        <v>20</v>
      </c>
      <c r="E83" s="13" t="s">
        <v>267</v>
      </c>
      <c r="F83" s="14">
        <v>46299.747800925921</v>
      </c>
      <c r="G83" s="13" t="s">
        <v>21</v>
      </c>
      <c r="H83" s="13" t="s">
        <v>1865</v>
      </c>
      <c r="I83" s="15">
        <v>340</v>
      </c>
      <c r="J83" s="13" t="s">
        <v>22</v>
      </c>
      <c r="K83" s="13" t="s">
        <v>23</v>
      </c>
      <c r="L83" s="15">
        <v>541</v>
      </c>
      <c r="M83" s="13" t="s">
        <v>123</v>
      </c>
      <c r="N83" s="14">
        <v>46299.775682870371</v>
      </c>
      <c r="O83" s="15">
        <v>340</v>
      </c>
      <c r="P83" s="13" t="s">
        <v>25</v>
      </c>
      <c r="Q83" s="15">
        <v>40</v>
      </c>
      <c r="R83" s="3" t="str">
        <f>IF(OR(G83="12R",G83="12L"),_xlfn.XLOOKUP(C83,Tabla42[ADEP],Tabla42[SID 12R],""),IF(OR(G83="30L",G83="30R"),_xlfn.XLOOKUP(C83,Tabla42[ADEP],Tabla42[SID 30L],""),""))</f>
        <v>ENEBA</v>
      </c>
      <c r="S83" s="3">
        <f t="shared" si="1"/>
        <v>17</v>
      </c>
      <c r="T83" s="3" t="str">
        <f>_xlfn.XLOOKUP(C83,Tabla42[ADEP],Tabla42[Sector],"")</f>
        <v>Sector 3</v>
      </c>
    </row>
    <row r="84" spans="1:20" x14ac:dyDescent="0.2">
      <c r="A84" s="13" t="s">
        <v>221</v>
      </c>
      <c r="B84" s="13" t="s">
        <v>18</v>
      </c>
      <c r="C84" s="13" t="s">
        <v>42</v>
      </c>
      <c r="D84" s="13" t="s">
        <v>43</v>
      </c>
      <c r="E84" s="13" t="s">
        <v>182</v>
      </c>
      <c r="F84" s="14">
        <v>46299.750949074078</v>
      </c>
      <c r="G84" s="13" t="s">
        <v>21</v>
      </c>
      <c r="H84" s="13" t="s">
        <v>343</v>
      </c>
      <c r="I84" s="15">
        <v>360</v>
      </c>
      <c r="J84" s="13" t="s">
        <v>22</v>
      </c>
      <c r="K84" s="13" t="s">
        <v>23</v>
      </c>
      <c r="L84" s="15">
        <v>859</v>
      </c>
      <c r="M84" s="13" t="s">
        <v>45</v>
      </c>
      <c r="N84" s="14">
        <v>46299.796319444446</v>
      </c>
      <c r="O84" s="15">
        <v>360</v>
      </c>
      <c r="P84" s="13" t="s">
        <v>25</v>
      </c>
      <c r="Q84" s="15">
        <v>190</v>
      </c>
      <c r="R84" s="3" t="str">
        <f>IF(OR(G84="12R",G84="12L"),_xlfn.XLOOKUP(C84,Tabla42[ADEP],Tabla42[SID 12R],""),IF(OR(G84="30L",G84="30R"),_xlfn.XLOOKUP(C84,Tabla42[ADEP],Tabla42[SID 30L],""),""))</f>
        <v>UDGUV</v>
      </c>
      <c r="S84" s="3">
        <f t="shared" si="1"/>
        <v>18</v>
      </c>
      <c r="T84" s="3" t="str">
        <f>_xlfn.XLOOKUP(C84,Tabla42[ADEP],Tabla42[Sector],"")</f>
        <v>Sector 2</v>
      </c>
    </row>
    <row r="85" spans="1:20" x14ac:dyDescent="0.2">
      <c r="A85" s="13" t="s">
        <v>437</v>
      </c>
      <c r="B85" s="13" t="s">
        <v>18</v>
      </c>
      <c r="C85" s="13" t="s">
        <v>438</v>
      </c>
      <c r="D85" s="13" t="s">
        <v>53</v>
      </c>
      <c r="E85" s="13" t="s">
        <v>433</v>
      </c>
      <c r="F85" s="14">
        <v>46299.752314814818</v>
      </c>
      <c r="G85" s="13" t="s">
        <v>21</v>
      </c>
      <c r="H85" s="13" t="s">
        <v>1866</v>
      </c>
      <c r="I85" s="15">
        <v>380</v>
      </c>
      <c r="J85" s="13" t="s">
        <v>22</v>
      </c>
      <c r="K85" s="13" t="s">
        <v>23</v>
      </c>
      <c r="L85" s="15">
        <v>1007</v>
      </c>
      <c r="M85" s="13" t="s">
        <v>439</v>
      </c>
      <c r="N85" s="14">
        <v>46299.806898148148</v>
      </c>
      <c r="O85" s="15">
        <v>229</v>
      </c>
      <c r="P85" s="13" t="s">
        <v>25</v>
      </c>
      <c r="Q85" s="15">
        <v>190</v>
      </c>
      <c r="R85" s="3" t="str">
        <f>IF(OR(G85="12R",G85="12L"),_xlfn.XLOOKUP(C85,Tabla42[ADEP],Tabla42[SID 12R],""),IF(OR(G85="30L",G85="30R"),_xlfn.XLOOKUP(C85,Tabla42[ADEP],Tabla42[SID 30L],""),""))</f>
        <v>UDGUV</v>
      </c>
      <c r="S85" s="3">
        <f t="shared" si="1"/>
        <v>18</v>
      </c>
      <c r="T85" s="3" t="str">
        <f>_xlfn.XLOOKUP(C85,Tabla42[ADEP],Tabla42[Sector],"")</f>
        <v>Sector 2</v>
      </c>
    </row>
    <row r="86" spans="1:20" x14ac:dyDescent="0.2">
      <c r="A86" s="13" t="s">
        <v>216</v>
      </c>
      <c r="B86" s="13" t="s">
        <v>18</v>
      </c>
      <c r="C86" s="13" t="s">
        <v>32</v>
      </c>
      <c r="D86" s="13" t="s">
        <v>20</v>
      </c>
      <c r="E86" s="13" t="s">
        <v>57</v>
      </c>
      <c r="F86" s="14">
        <v>46299.759039351848</v>
      </c>
      <c r="G86" s="13" t="s">
        <v>21</v>
      </c>
      <c r="H86" s="13" t="s">
        <v>1867</v>
      </c>
      <c r="I86" s="15">
        <v>340</v>
      </c>
      <c r="J86" s="13" t="s">
        <v>22</v>
      </c>
      <c r="K86" s="13" t="s">
        <v>23</v>
      </c>
      <c r="L86" s="15">
        <v>873</v>
      </c>
      <c r="M86" s="13" t="s">
        <v>35</v>
      </c>
      <c r="N86" s="14">
        <v>46299.804363425923</v>
      </c>
      <c r="O86" s="15">
        <v>340</v>
      </c>
      <c r="P86" s="13" t="s">
        <v>25</v>
      </c>
      <c r="Q86" s="15">
        <v>190</v>
      </c>
      <c r="R86" s="3" t="str">
        <f>IF(OR(G86="12R",G86="12L"),_xlfn.XLOOKUP(C86,Tabla42[ADEP],Tabla42[SID 12R],""),IF(OR(G86="30L",G86="30R"),_xlfn.XLOOKUP(C86,Tabla42[ADEP],Tabla42[SID 30L],""),""))</f>
        <v>UDGUV</v>
      </c>
      <c r="S86" s="3">
        <f t="shared" si="1"/>
        <v>18</v>
      </c>
      <c r="T86" s="3" t="str">
        <f>_xlfn.XLOOKUP(C86,Tabla42[ADEP],Tabla42[Sector],"")</f>
        <v>Sector 2</v>
      </c>
    </row>
    <row r="87" spans="1:20" x14ac:dyDescent="0.2">
      <c r="A87" s="13" t="s">
        <v>214</v>
      </c>
      <c r="B87" s="13" t="s">
        <v>18</v>
      </c>
      <c r="C87" s="13" t="s">
        <v>215</v>
      </c>
      <c r="D87" s="13" t="s">
        <v>60</v>
      </c>
      <c r="E87" s="13" t="s">
        <v>1868</v>
      </c>
      <c r="F87" s="14">
        <v>46299.759629629625</v>
      </c>
      <c r="G87" s="13" t="s">
        <v>21</v>
      </c>
      <c r="H87" s="13" t="s">
        <v>1869</v>
      </c>
      <c r="I87" s="15">
        <v>350</v>
      </c>
      <c r="J87" s="13" t="s">
        <v>22</v>
      </c>
      <c r="K87" s="13" t="s">
        <v>23</v>
      </c>
      <c r="L87" s="15">
        <v>365</v>
      </c>
      <c r="M87" s="13" t="s">
        <v>30</v>
      </c>
      <c r="N87" s="14">
        <v>46299.780150462961</v>
      </c>
      <c r="O87" s="15">
        <v>309</v>
      </c>
      <c r="P87" s="13" t="s">
        <v>25</v>
      </c>
      <c r="Q87" s="15">
        <v>40</v>
      </c>
      <c r="R87" s="3" t="str">
        <f>IF(OR(G87="12R",G87="12L"),_xlfn.XLOOKUP(C87,Tabla42[ADEP],Tabla42[SID 12R],""),IF(OR(G87="30L",G87="30R"),_xlfn.XLOOKUP(C87,Tabla42[ADEP],Tabla42[SID 30L],""),""))</f>
        <v>OMSUK</v>
      </c>
      <c r="S87" s="3">
        <f t="shared" si="1"/>
        <v>18</v>
      </c>
      <c r="T87" s="3" t="str">
        <f>_xlfn.XLOOKUP(C87,Tabla42[ADEP],Tabla42[Sector],"")</f>
        <v>Sector 3</v>
      </c>
    </row>
    <row r="88" spans="1:20" x14ac:dyDescent="0.2">
      <c r="A88" s="13" t="s">
        <v>213</v>
      </c>
      <c r="B88" s="13" t="s">
        <v>18</v>
      </c>
      <c r="C88" s="13" t="s">
        <v>19</v>
      </c>
      <c r="D88" s="13" t="s">
        <v>53</v>
      </c>
      <c r="E88" s="13" t="s">
        <v>631</v>
      </c>
      <c r="F88" s="14">
        <v>46299.761192129634</v>
      </c>
      <c r="G88" s="13" t="s">
        <v>21</v>
      </c>
      <c r="H88" s="13" t="s">
        <v>1870</v>
      </c>
      <c r="I88" s="15">
        <v>380</v>
      </c>
      <c r="J88" s="13" t="s">
        <v>22</v>
      </c>
      <c r="K88" s="13" t="s">
        <v>23</v>
      </c>
      <c r="L88" s="15">
        <v>873</v>
      </c>
      <c r="M88" s="13" t="s">
        <v>1871</v>
      </c>
      <c r="N88" s="14">
        <v>46299.80678240741</v>
      </c>
      <c r="O88" s="15">
        <v>380</v>
      </c>
      <c r="P88" s="13" t="s">
        <v>25</v>
      </c>
      <c r="Q88" s="15">
        <v>190</v>
      </c>
      <c r="R88" s="3" t="str">
        <f>IF(OR(G88="12R",G88="12L"),_xlfn.XLOOKUP(C88,Tabla42[ADEP],Tabla42[SID 12R],""),IF(OR(G88="30L",G88="30R"),_xlfn.XLOOKUP(C88,Tabla42[ADEP],Tabla42[SID 30L],""),""))</f>
        <v>UDGUV</v>
      </c>
      <c r="S88" s="3">
        <f t="shared" si="1"/>
        <v>18</v>
      </c>
      <c r="T88" s="3" t="str">
        <f>_xlfn.XLOOKUP(C88,Tabla42[ADEP],Tabla42[Sector],"")</f>
        <v>Sector 2</v>
      </c>
    </row>
    <row r="89" spans="1:20" x14ac:dyDescent="0.2">
      <c r="A89" s="13" t="s">
        <v>217</v>
      </c>
      <c r="B89" s="13" t="s">
        <v>18</v>
      </c>
      <c r="C89" s="13" t="s">
        <v>158</v>
      </c>
      <c r="D89" s="13" t="s">
        <v>20</v>
      </c>
      <c r="E89" s="13" t="s">
        <v>587</v>
      </c>
      <c r="F89" s="14">
        <v>46299.76190972222</v>
      </c>
      <c r="G89" s="13" t="s">
        <v>21</v>
      </c>
      <c r="H89" s="13" t="s">
        <v>1872</v>
      </c>
      <c r="I89" s="15">
        <v>350</v>
      </c>
      <c r="J89" s="13" t="s">
        <v>22</v>
      </c>
      <c r="K89" s="13" t="s">
        <v>23</v>
      </c>
      <c r="L89" s="15">
        <v>365</v>
      </c>
      <c r="M89" s="13" t="s">
        <v>30</v>
      </c>
      <c r="N89" s="14">
        <v>46299.782777777778</v>
      </c>
      <c r="O89" s="15">
        <v>330</v>
      </c>
      <c r="P89" s="13" t="s">
        <v>25</v>
      </c>
      <c r="Q89" s="15">
        <v>40</v>
      </c>
      <c r="R89" s="3" t="str">
        <f>IF(OR(G89="12R",G89="12L"),_xlfn.XLOOKUP(C89,Tabla42[ADEP],Tabla42[SID 12R],""),IF(OR(G89="30L",G89="30R"),_xlfn.XLOOKUP(C89,Tabla42[ADEP],Tabla42[SID 30L],""),""))</f>
        <v>OMSUK</v>
      </c>
      <c r="S89" s="3">
        <f t="shared" si="1"/>
        <v>18</v>
      </c>
      <c r="T89" s="3" t="str">
        <f>_xlfn.XLOOKUP(C89,Tabla42[ADEP],Tabla42[Sector],"")</f>
        <v>Sector 3</v>
      </c>
    </row>
    <row r="90" spans="1:20" x14ac:dyDescent="0.2">
      <c r="A90" s="13" t="s">
        <v>202</v>
      </c>
      <c r="B90" s="13" t="s">
        <v>18</v>
      </c>
      <c r="C90" s="13" t="s">
        <v>32</v>
      </c>
      <c r="D90" s="13" t="s">
        <v>60</v>
      </c>
      <c r="E90" s="13" t="s">
        <v>690</v>
      </c>
      <c r="F90" s="14">
        <v>46299.762673611112</v>
      </c>
      <c r="G90" s="13" t="s">
        <v>21</v>
      </c>
      <c r="H90" s="13" t="s">
        <v>1873</v>
      </c>
      <c r="I90" s="15">
        <v>340</v>
      </c>
      <c r="J90" s="13" t="s">
        <v>22</v>
      </c>
      <c r="K90" s="13" t="s">
        <v>23</v>
      </c>
      <c r="L90" s="15">
        <v>872</v>
      </c>
      <c r="M90" s="13" t="s">
        <v>35</v>
      </c>
      <c r="N90" s="14">
        <v>46299.807268518518</v>
      </c>
      <c r="O90" s="15">
        <v>360</v>
      </c>
      <c r="P90" s="13" t="s">
        <v>25</v>
      </c>
      <c r="Q90" s="15">
        <v>190</v>
      </c>
      <c r="R90" s="3" t="str">
        <f>IF(OR(G90="12R",G90="12L"),_xlfn.XLOOKUP(C90,Tabla42[ADEP],Tabla42[SID 12R],""),IF(OR(G90="30L",G90="30R"),_xlfn.XLOOKUP(C90,Tabla42[ADEP],Tabla42[SID 30L],""),""))</f>
        <v>UDGUV</v>
      </c>
      <c r="S90" s="3">
        <f t="shared" si="1"/>
        <v>18</v>
      </c>
      <c r="T90" s="3" t="str">
        <f>_xlfn.XLOOKUP(C90,Tabla42[ADEP],Tabla42[Sector],"")</f>
        <v>Sector 2</v>
      </c>
    </row>
    <row r="91" spans="1:20" x14ac:dyDescent="0.2">
      <c r="A91" s="13" t="s">
        <v>232</v>
      </c>
      <c r="B91" s="13" t="s">
        <v>18</v>
      </c>
      <c r="C91" s="13" t="s">
        <v>233</v>
      </c>
      <c r="D91" s="13" t="s">
        <v>28</v>
      </c>
      <c r="E91" s="13" t="s">
        <v>608</v>
      </c>
      <c r="F91" s="14">
        <v>46299.763506944444</v>
      </c>
      <c r="G91" s="13" t="s">
        <v>21</v>
      </c>
      <c r="H91" s="13" t="s">
        <v>1874</v>
      </c>
      <c r="I91" s="15">
        <v>360</v>
      </c>
      <c r="J91" s="13" t="s">
        <v>22</v>
      </c>
      <c r="K91" s="13" t="s">
        <v>23</v>
      </c>
      <c r="L91" s="15">
        <v>575</v>
      </c>
      <c r="M91" s="13" t="s">
        <v>123</v>
      </c>
      <c r="N91" s="14">
        <v>46299.793495370366</v>
      </c>
      <c r="O91" s="15">
        <v>360</v>
      </c>
      <c r="P91" s="13" t="s">
        <v>25</v>
      </c>
      <c r="Q91" s="15">
        <v>40</v>
      </c>
      <c r="R91" s="3" t="str">
        <f>IF(OR(G91="12R",G91="12L"),_xlfn.XLOOKUP(C91,Tabla42[ADEP],Tabla42[SID 12R],""),IF(OR(G91="30L",G91="30R"),_xlfn.XLOOKUP(C91,Tabla42[ADEP],Tabla42[SID 30L],""),""))</f>
        <v>UDGUV</v>
      </c>
      <c r="S91" s="3">
        <f t="shared" si="1"/>
        <v>18</v>
      </c>
      <c r="T91" s="3" t="str">
        <f>_xlfn.XLOOKUP(C91,Tabla42[ADEP],Tabla42[Sector],"")</f>
        <v>Sector 2</v>
      </c>
    </row>
    <row r="92" spans="1:20" x14ac:dyDescent="0.2">
      <c r="A92" s="13" t="s">
        <v>237</v>
      </c>
      <c r="B92" s="13" t="s">
        <v>18</v>
      </c>
      <c r="C92" s="13" t="s">
        <v>116</v>
      </c>
      <c r="D92" s="13" t="s">
        <v>117</v>
      </c>
      <c r="E92" s="13" t="s">
        <v>960</v>
      </c>
      <c r="F92" s="14">
        <v>46299.764837962968</v>
      </c>
      <c r="G92" s="13" t="s">
        <v>21</v>
      </c>
      <c r="H92" s="13" t="s">
        <v>1875</v>
      </c>
      <c r="I92" s="15">
        <v>340</v>
      </c>
      <c r="J92" s="13" t="s">
        <v>22</v>
      </c>
      <c r="K92" s="13" t="s">
        <v>23</v>
      </c>
      <c r="L92" s="15">
        <v>588</v>
      </c>
      <c r="M92" s="13" t="s">
        <v>123</v>
      </c>
      <c r="N92" s="14">
        <v>46299.795543981483</v>
      </c>
      <c r="O92" s="15">
        <v>340</v>
      </c>
      <c r="P92" s="13" t="s">
        <v>25</v>
      </c>
      <c r="Q92" s="15">
        <v>40</v>
      </c>
      <c r="R92" s="3" t="str">
        <f>IF(OR(G92="12R",G92="12L"),_xlfn.XLOOKUP(C92,Tabla42[ADEP],Tabla42[SID 12R],""),IF(OR(G92="30L",G92="30R"),_xlfn.XLOOKUP(C92,Tabla42[ADEP],Tabla42[SID 30L],""),""))</f>
        <v>ENEBA</v>
      </c>
      <c r="S92" s="3">
        <f t="shared" si="1"/>
        <v>18</v>
      </c>
      <c r="T92" s="3" t="str">
        <f>_xlfn.XLOOKUP(C92,Tabla42[ADEP],Tabla42[Sector],"")</f>
        <v>Sector 3</v>
      </c>
    </row>
    <row r="93" spans="1:20" x14ac:dyDescent="0.2">
      <c r="A93" s="13" t="s">
        <v>1876</v>
      </c>
      <c r="B93" s="13" t="s">
        <v>18</v>
      </c>
      <c r="C93" s="13" t="s">
        <v>93</v>
      </c>
      <c r="D93" s="13" t="s">
        <v>689</v>
      </c>
      <c r="E93" s="13"/>
      <c r="F93" s="14">
        <v>46299.76563657407</v>
      </c>
      <c r="G93" s="13" t="s">
        <v>21</v>
      </c>
      <c r="H93" s="13" t="s">
        <v>1877</v>
      </c>
      <c r="I93" s="15">
        <v>400</v>
      </c>
      <c r="J93" s="13" t="s">
        <v>22</v>
      </c>
      <c r="K93" s="13" t="s">
        <v>50</v>
      </c>
      <c r="L93" s="15">
        <v>874</v>
      </c>
      <c r="M93" s="13" t="s">
        <v>94</v>
      </c>
      <c r="N93" s="14">
        <v>46299.8121412037</v>
      </c>
      <c r="O93" s="15">
        <v>214</v>
      </c>
      <c r="P93" s="13" t="s">
        <v>25</v>
      </c>
      <c r="Q93" s="15">
        <v>30</v>
      </c>
      <c r="R93" s="3" t="str">
        <f>IF(OR(G93="12R",G93="12L"),_xlfn.XLOOKUP(C93,Tabla42[ADEP],Tabla42[SID 12R],""),IF(OR(G93="30L",G93="30R"),_xlfn.XLOOKUP(C93,Tabla42[ADEP],Tabla42[SID 30L],""),""))</f>
        <v>UDGUV</v>
      </c>
      <c r="S93" s="3">
        <f t="shared" si="1"/>
        <v>18</v>
      </c>
      <c r="T93" s="3" t="str">
        <f>_xlfn.XLOOKUP(C93,Tabla42[ADEP],Tabla42[Sector],"")</f>
        <v>Sector 2</v>
      </c>
    </row>
    <row r="94" spans="1:20" x14ac:dyDescent="0.2">
      <c r="A94" s="13" t="s">
        <v>244</v>
      </c>
      <c r="B94" s="13" t="s">
        <v>18</v>
      </c>
      <c r="C94" s="13" t="s">
        <v>126</v>
      </c>
      <c r="D94" s="13" t="s">
        <v>60</v>
      </c>
      <c r="E94" s="13" t="s">
        <v>252</v>
      </c>
      <c r="F94" s="14">
        <v>46299.766215277778</v>
      </c>
      <c r="G94" s="13" t="s">
        <v>21</v>
      </c>
      <c r="H94" s="13" t="s">
        <v>1878</v>
      </c>
      <c r="I94" s="15">
        <v>350</v>
      </c>
      <c r="J94" s="13" t="s">
        <v>22</v>
      </c>
      <c r="K94" s="13" t="s">
        <v>23</v>
      </c>
      <c r="L94" s="15">
        <v>364</v>
      </c>
      <c r="M94" s="13" t="s">
        <v>30</v>
      </c>
      <c r="N94" s="14">
        <v>46299.786516203705</v>
      </c>
      <c r="O94" s="15">
        <v>310</v>
      </c>
      <c r="P94" s="13" t="s">
        <v>25</v>
      </c>
      <c r="Q94" s="15">
        <v>40</v>
      </c>
      <c r="R94" s="3" t="str">
        <f>IF(OR(G94="12R",G94="12L"),_xlfn.XLOOKUP(C94,Tabla42[ADEP],Tabla42[SID 12R],""),IF(OR(G94="30L",G94="30R"),_xlfn.XLOOKUP(C94,Tabla42[ADEP],Tabla42[SID 30L],""),""))</f>
        <v>ENEBA</v>
      </c>
      <c r="S94" s="3">
        <f t="shared" si="1"/>
        <v>18</v>
      </c>
      <c r="T94" s="3" t="str">
        <f>_xlfn.XLOOKUP(C94,Tabla42[ADEP],Tabla42[Sector],"")</f>
        <v>Sector 3</v>
      </c>
    </row>
    <row r="95" spans="1:20" x14ac:dyDescent="0.2">
      <c r="A95" s="13" t="s">
        <v>203</v>
      </c>
      <c r="B95" s="13" t="s">
        <v>18</v>
      </c>
      <c r="C95" s="13" t="s">
        <v>204</v>
      </c>
      <c r="D95" s="13" t="s">
        <v>53</v>
      </c>
      <c r="E95" s="13" t="s">
        <v>1643</v>
      </c>
      <c r="F95" s="14">
        <v>46299.768935185188</v>
      </c>
      <c r="G95" s="13" t="s">
        <v>21</v>
      </c>
      <c r="H95" s="13" t="s">
        <v>1879</v>
      </c>
      <c r="I95" s="15">
        <v>370</v>
      </c>
      <c r="J95" s="13" t="s">
        <v>22</v>
      </c>
      <c r="K95" s="13" t="s">
        <v>23</v>
      </c>
      <c r="L95" s="15">
        <v>150</v>
      </c>
      <c r="M95" s="13" t="s">
        <v>111</v>
      </c>
      <c r="N95" s="14">
        <v>46299.779467592598</v>
      </c>
      <c r="O95" s="15">
        <v>290</v>
      </c>
      <c r="P95" s="13" t="s">
        <v>25</v>
      </c>
      <c r="Q95" s="15">
        <v>190</v>
      </c>
      <c r="R95" s="3" t="str">
        <f>IF(OR(G95="12R",G95="12L"),_xlfn.XLOOKUP(C95,Tabla42[ADEP],Tabla42[SID 12R],""),IF(OR(G95="30L",G95="30R"),_xlfn.XLOOKUP(C95,Tabla42[ADEP],Tabla42[SID 30L],""),""))</f>
        <v>TAKUX</v>
      </c>
      <c r="S95" s="3">
        <f t="shared" si="1"/>
        <v>18</v>
      </c>
      <c r="T95" s="3" t="str">
        <f>_xlfn.XLOOKUP(C95,Tabla42[ADEP],Tabla42[Sector],"")</f>
        <v>Sector 7</v>
      </c>
    </row>
    <row r="96" spans="1:20" x14ac:dyDescent="0.2">
      <c r="A96" s="13" t="s">
        <v>205</v>
      </c>
      <c r="B96" s="13" t="s">
        <v>18</v>
      </c>
      <c r="C96" s="13" t="s">
        <v>206</v>
      </c>
      <c r="D96" s="13" t="s">
        <v>20</v>
      </c>
      <c r="E96" s="13" t="s">
        <v>169</v>
      </c>
      <c r="F96" s="14">
        <v>46299.770069444443</v>
      </c>
      <c r="G96" s="13" t="s">
        <v>21</v>
      </c>
      <c r="H96" s="13" t="s">
        <v>326</v>
      </c>
      <c r="I96" s="15">
        <v>360</v>
      </c>
      <c r="J96" s="13" t="s">
        <v>22</v>
      </c>
      <c r="K96" s="13" t="s">
        <v>23</v>
      </c>
      <c r="L96" s="15">
        <v>859</v>
      </c>
      <c r="M96" s="13" t="s">
        <v>45</v>
      </c>
      <c r="N96" s="14">
        <v>46299.813576388886</v>
      </c>
      <c r="O96" s="15">
        <v>360</v>
      </c>
      <c r="P96" s="13" t="s">
        <v>25</v>
      </c>
      <c r="Q96" s="15">
        <v>190</v>
      </c>
      <c r="R96" s="3" t="str">
        <f>IF(OR(G96="12R",G96="12L"),_xlfn.XLOOKUP(C96,Tabla42[ADEP],Tabla42[SID 12R],""),IF(OR(G96="30L",G96="30R"),_xlfn.XLOOKUP(C96,Tabla42[ADEP],Tabla42[SID 30L],""),""))</f>
        <v>UDGUV</v>
      </c>
      <c r="S96" s="3">
        <f t="shared" si="1"/>
        <v>18</v>
      </c>
      <c r="T96" s="3" t="str">
        <f>_xlfn.XLOOKUP(C96,Tabla42[ADEP],Tabla42[Sector],"")</f>
        <v>Sector 2</v>
      </c>
    </row>
    <row r="97" spans="1:20" x14ac:dyDescent="0.2">
      <c r="A97" s="13" t="s">
        <v>227</v>
      </c>
      <c r="B97" s="13" t="s">
        <v>18</v>
      </c>
      <c r="C97" s="13" t="s">
        <v>133</v>
      </c>
      <c r="D97" s="13" t="s">
        <v>60</v>
      </c>
      <c r="E97" s="13" t="s">
        <v>810</v>
      </c>
      <c r="F97" s="14">
        <v>46299.770844907413</v>
      </c>
      <c r="G97" s="13" t="s">
        <v>21</v>
      </c>
      <c r="H97" s="13" t="s">
        <v>1880</v>
      </c>
      <c r="I97" s="15">
        <v>310</v>
      </c>
      <c r="J97" s="13" t="s">
        <v>22</v>
      </c>
      <c r="K97" s="13" t="s">
        <v>23</v>
      </c>
      <c r="L97" s="15">
        <v>221</v>
      </c>
      <c r="M97" s="13" t="s">
        <v>355</v>
      </c>
      <c r="N97" s="14">
        <v>46299.785659722227</v>
      </c>
      <c r="O97" s="15">
        <v>235</v>
      </c>
      <c r="P97" s="13" t="s">
        <v>25</v>
      </c>
      <c r="Q97" s="15">
        <v>40</v>
      </c>
      <c r="R97" s="3" t="str">
        <f>IF(OR(G97="12R",G97="12L"),_xlfn.XLOOKUP(C97,Tabla42[ADEP],Tabla42[SID 12R],""),IF(OR(G97="30L",G97="30R"),_xlfn.XLOOKUP(C97,Tabla42[ADEP],Tabla42[SID 30L],""),""))</f>
        <v>OMSUK</v>
      </c>
      <c r="S97" s="3">
        <f t="shared" si="1"/>
        <v>18</v>
      </c>
      <c r="T97" s="3" t="str">
        <f>_xlfn.XLOOKUP(C97,Tabla42[ADEP],Tabla42[Sector],"")</f>
        <v>Sector 3</v>
      </c>
    </row>
    <row r="98" spans="1:20" x14ac:dyDescent="0.2">
      <c r="A98" s="13" t="s">
        <v>373</v>
      </c>
      <c r="B98" s="13" t="s">
        <v>18</v>
      </c>
      <c r="C98" s="13" t="s">
        <v>32</v>
      </c>
      <c r="D98" s="13" t="s">
        <v>20</v>
      </c>
      <c r="E98" s="13" t="s">
        <v>484</v>
      </c>
      <c r="F98" s="14">
        <v>46299.772395833337</v>
      </c>
      <c r="G98" s="13" t="s">
        <v>21</v>
      </c>
      <c r="H98" s="13" t="s">
        <v>1881</v>
      </c>
      <c r="I98" s="15">
        <v>340</v>
      </c>
      <c r="J98" s="13" t="s">
        <v>22</v>
      </c>
      <c r="K98" s="13" t="s">
        <v>141</v>
      </c>
      <c r="L98" s="15">
        <v>863</v>
      </c>
      <c r="M98" s="13" t="s">
        <v>35</v>
      </c>
      <c r="N98" s="14">
        <v>46299.816805555558</v>
      </c>
      <c r="O98" s="15">
        <v>340</v>
      </c>
      <c r="P98" s="13" t="s">
        <v>25</v>
      </c>
      <c r="Q98" s="15">
        <v>190</v>
      </c>
      <c r="R98" s="3" t="str">
        <f>IF(OR(G98="12R",G98="12L"),_xlfn.XLOOKUP(C98,Tabla42[ADEP],Tabla42[SID 12R],""),IF(OR(G98="30L",G98="30R"),_xlfn.XLOOKUP(C98,Tabla42[ADEP],Tabla42[SID 30L],""),""))</f>
        <v>UDGUV</v>
      </c>
      <c r="S98" s="3">
        <f t="shared" si="1"/>
        <v>18</v>
      </c>
      <c r="T98" s="3" t="str">
        <f>_xlfn.XLOOKUP(C98,Tabla42[ADEP],Tabla42[Sector],"")</f>
        <v>Sector 2</v>
      </c>
    </row>
    <row r="99" spans="1:20" x14ac:dyDescent="0.2">
      <c r="A99" s="13" t="s">
        <v>1688</v>
      </c>
      <c r="B99" s="13" t="s">
        <v>18</v>
      </c>
      <c r="C99" s="13" t="s">
        <v>478</v>
      </c>
      <c r="D99" s="13" t="s">
        <v>122</v>
      </c>
      <c r="E99" s="13" t="s">
        <v>1882</v>
      </c>
      <c r="F99" s="14">
        <v>46299.773958333331</v>
      </c>
      <c r="G99" s="13" t="s">
        <v>21</v>
      </c>
      <c r="H99" s="13" t="s">
        <v>1883</v>
      </c>
      <c r="I99" s="15">
        <v>360</v>
      </c>
      <c r="J99" s="13" t="s">
        <v>22</v>
      </c>
      <c r="K99" s="13" t="s">
        <v>23</v>
      </c>
      <c r="L99" s="15">
        <v>869</v>
      </c>
      <c r="M99" s="13" t="s">
        <v>35</v>
      </c>
      <c r="N99" s="14">
        <v>46299.817835648151</v>
      </c>
      <c r="O99" s="15">
        <v>360</v>
      </c>
      <c r="P99" s="13" t="s">
        <v>25</v>
      </c>
      <c r="Q99" s="15">
        <v>190</v>
      </c>
      <c r="R99" s="3" t="str">
        <f>IF(OR(G99="12R",G99="12L"),_xlfn.XLOOKUP(C99,Tabla42[ADEP],Tabla42[SID 12R],""),IF(OR(G99="30L",G99="30R"),_xlfn.XLOOKUP(C99,Tabla42[ADEP],Tabla42[SID 30L],""),""))</f>
        <v>ENEBA</v>
      </c>
      <c r="S99" s="3">
        <f t="shared" si="1"/>
        <v>18</v>
      </c>
      <c r="T99" s="3" t="str">
        <f>_xlfn.XLOOKUP(C99,Tabla42[ADEP],Tabla42[Sector],"")</f>
        <v>Sector 3</v>
      </c>
    </row>
    <row r="100" spans="1:20" x14ac:dyDescent="0.2">
      <c r="A100" s="13" t="s">
        <v>228</v>
      </c>
      <c r="B100" s="13" t="s">
        <v>18</v>
      </c>
      <c r="C100" s="13" t="s">
        <v>27</v>
      </c>
      <c r="D100" s="13" t="s">
        <v>28</v>
      </c>
      <c r="E100" s="13" t="s">
        <v>482</v>
      </c>
      <c r="F100" s="14">
        <v>46299.775034722217</v>
      </c>
      <c r="G100" s="13" t="s">
        <v>21</v>
      </c>
      <c r="H100" s="13" t="s">
        <v>1884</v>
      </c>
      <c r="I100" s="15">
        <v>350</v>
      </c>
      <c r="J100" s="13" t="s">
        <v>22</v>
      </c>
      <c r="K100" s="13" t="s">
        <v>23</v>
      </c>
      <c r="L100" s="15">
        <v>352</v>
      </c>
      <c r="M100" s="13" t="s">
        <v>30</v>
      </c>
      <c r="N100" s="14">
        <v>46299.795023148152</v>
      </c>
      <c r="O100" s="15">
        <v>350</v>
      </c>
      <c r="P100" s="13" t="s">
        <v>25</v>
      </c>
      <c r="Q100" s="15">
        <v>40</v>
      </c>
      <c r="R100" s="3" t="str">
        <f>IF(OR(G100="12R",G100="12L"),_xlfn.XLOOKUP(C100,Tabla42[ADEP],Tabla42[SID 12R],""),IF(OR(G100="30L",G100="30R"),_xlfn.XLOOKUP(C100,Tabla42[ADEP],Tabla42[SID 30L],""),""))</f>
        <v>OMSUK</v>
      </c>
      <c r="S100" s="3">
        <f t="shared" si="1"/>
        <v>18</v>
      </c>
      <c r="T100" s="3" t="str">
        <f>_xlfn.XLOOKUP(C100,Tabla42[ADEP],Tabla42[Sector],"")</f>
        <v>Sector 3</v>
      </c>
    </row>
    <row r="101" spans="1:20" x14ac:dyDescent="0.2">
      <c r="A101" s="13" t="s">
        <v>1885</v>
      </c>
      <c r="B101" s="13" t="s">
        <v>18</v>
      </c>
      <c r="C101" s="13" t="s">
        <v>49</v>
      </c>
      <c r="D101" s="13" t="s">
        <v>198</v>
      </c>
      <c r="E101" s="13" t="s">
        <v>1886</v>
      </c>
      <c r="F101" s="14">
        <v>46299.775775462964</v>
      </c>
      <c r="G101" s="13" t="s">
        <v>21</v>
      </c>
      <c r="H101" s="13" t="s">
        <v>1887</v>
      </c>
      <c r="I101" s="15">
        <v>430</v>
      </c>
      <c r="J101" s="13" t="s">
        <v>22</v>
      </c>
      <c r="K101" s="13" t="s">
        <v>50</v>
      </c>
      <c r="L101" s="15">
        <v>862</v>
      </c>
      <c r="M101" s="13" t="s">
        <v>45</v>
      </c>
      <c r="N101" s="14">
        <v>46299.826863425929</v>
      </c>
      <c r="O101" s="15">
        <v>430</v>
      </c>
      <c r="P101" s="13" t="s">
        <v>25</v>
      </c>
      <c r="Q101" s="15">
        <v>30</v>
      </c>
      <c r="R101" s="3" t="str">
        <f>IF(OR(G101="12R",G101="12L"),_xlfn.XLOOKUP(C101,Tabla42[ADEP],Tabla42[SID 12R],""),IF(OR(G101="30L",G101="30R"),_xlfn.XLOOKUP(C101,Tabla42[ADEP],Tabla42[SID 30L],""),""))</f>
        <v>UDGUV</v>
      </c>
      <c r="S101" s="3">
        <f t="shared" si="1"/>
        <v>18</v>
      </c>
      <c r="T101" s="3" t="str">
        <f>_xlfn.XLOOKUP(C101,Tabla42[ADEP],Tabla42[Sector],"")</f>
        <v>Sector 2</v>
      </c>
    </row>
    <row r="102" spans="1:20" x14ac:dyDescent="0.2">
      <c r="A102" s="13" t="s">
        <v>238</v>
      </c>
      <c r="B102" s="13" t="s">
        <v>18</v>
      </c>
      <c r="C102" s="13" t="s">
        <v>239</v>
      </c>
      <c r="D102" s="13" t="s">
        <v>20</v>
      </c>
      <c r="E102" s="13" t="s">
        <v>562</v>
      </c>
      <c r="F102" s="14">
        <v>46299.778113425928</v>
      </c>
      <c r="G102" s="13" t="s">
        <v>21</v>
      </c>
      <c r="H102" s="13" t="s">
        <v>1888</v>
      </c>
      <c r="I102" s="15">
        <v>360</v>
      </c>
      <c r="J102" s="13" t="s">
        <v>22</v>
      </c>
      <c r="K102" s="13" t="s">
        <v>23</v>
      </c>
      <c r="L102" s="15">
        <v>867</v>
      </c>
      <c r="M102" s="13" t="s">
        <v>35</v>
      </c>
      <c r="N102" s="14">
        <v>46299.82335648148</v>
      </c>
      <c r="O102" s="15">
        <v>360</v>
      </c>
      <c r="P102" s="13" t="s">
        <v>25</v>
      </c>
      <c r="Q102" s="15">
        <v>190</v>
      </c>
      <c r="R102" s="3" t="str">
        <f>IF(OR(G102="12R",G102="12L"),_xlfn.XLOOKUP(C102,Tabla42[ADEP],Tabla42[SID 12R],""),IF(OR(G102="30L",G102="30R"),_xlfn.XLOOKUP(C102,Tabla42[ADEP],Tabla42[SID 30L],""),""))</f>
        <v>UDGUV</v>
      </c>
      <c r="S102" s="3">
        <f t="shared" si="1"/>
        <v>18</v>
      </c>
      <c r="T102" s="3" t="str">
        <f>_xlfn.XLOOKUP(C102,Tabla42[ADEP],Tabla42[Sector],"")</f>
        <v>Sector 2</v>
      </c>
    </row>
    <row r="103" spans="1:20" x14ac:dyDescent="0.2">
      <c r="A103" s="13" t="s">
        <v>457</v>
      </c>
      <c r="B103" s="13" t="s">
        <v>18</v>
      </c>
      <c r="C103" s="13" t="s">
        <v>510</v>
      </c>
      <c r="D103" s="13" t="s">
        <v>458</v>
      </c>
      <c r="E103" s="13"/>
      <c r="F103" s="14">
        <v>46299.780856481477</v>
      </c>
      <c r="G103" s="13" t="s">
        <v>21</v>
      </c>
      <c r="H103" s="13" t="s">
        <v>155</v>
      </c>
      <c r="I103" s="15">
        <v>65</v>
      </c>
      <c r="J103" s="13" t="s">
        <v>130</v>
      </c>
      <c r="K103" s="13" t="s">
        <v>50</v>
      </c>
      <c r="L103" s="15">
        <v>227</v>
      </c>
      <c r="M103" s="13" t="s">
        <v>510</v>
      </c>
      <c r="N103" s="14">
        <v>46299.815879629634</v>
      </c>
      <c r="O103" s="15">
        <v>0</v>
      </c>
      <c r="P103" s="13" t="s">
        <v>129</v>
      </c>
      <c r="Q103" s="15">
        <v>15</v>
      </c>
      <c r="R103" s="3" t="str">
        <f>IF(OR(G103="12R",G103="12L"),_xlfn.XLOOKUP(C103,Tabla42[ADEP],Tabla42[SID 12R],""),IF(OR(G103="30L",G103="30R"),_xlfn.XLOOKUP(C103,Tabla42[ADEP],Tabla42[SID 30L],""),""))</f>
        <v/>
      </c>
      <c r="S103" s="3">
        <f t="shared" si="1"/>
        <v>18</v>
      </c>
      <c r="T103" s="3" t="str">
        <f>_xlfn.XLOOKUP(C103,Tabla42[ADEP],Tabla42[Sector],"")</f>
        <v/>
      </c>
    </row>
    <row r="104" spans="1:20" x14ac:dyDescent="0.2">
      <c r="A104" s="13" t="s">
        <v>240</v>
      </c>
      <c r="B104" s="13" t="s">
        <v>18</v>
      </c>
      <c r="C104" s="13" t="s">
        <v>116</v>
      </c>
      <c r="D104" s="13" t="s">
        <v>117</v>
      </c>
      <c r="E104" s="13" t="s">
        <v>1344</v>
      </c>
      <c r="F104" s="14">
        <v>46299.783553240741</v>
      </c>
      <c r="G104" s="13" t="s">
        <v>21</v>
      </c>
      <c r="H104" s="13" t="s">
        <v>1889</v>
      </c>
      <c r="I104" s="15">
        <v>300</v>
      </c>
      <c r="J104" s="13" t="s">
        <v>22</v>
      </c>
      <c r="K104" s="13" t="s">
        <v>23</v>
      </c>
      <c r="L104" s="15">
        <v>571</v>
      </c>
      <c r="M104" s="13" t="s">
        <v>123</v>
      </c>
      <c r="N104" s="14">
        <v>46299.81313657407</v>
      </c>
      <c r="O104" s="15">
        <v>340</v>
      </c>
      <c r="P104" s="13" t="s">
        <v>25</v>
      </c>
      <c r="Q104" s="15">
        <v>40</v>
      </c>
      <c r="R104" s="3" t="str">
        <f>IF(OR(G104="12R",G104="12L"),_xlfn.XLOOKUP(C104,Tabla42[ADEP],Tabla42[SID 12R],""),IF(OR(G104="30L",G104="30R"),_xlfn.XLOOKUP(C104,Tabla42[ADEP],Tabla42[SID 30L],""),""))</f>
        <v>ENEBA</v>
      </c>
      <c r="S104" s="3">
        <f t="shared" si="1"/>
        <v>18</v>
      </c>
      <c r="T104" s="3" t="str">
        <f>_xlfn.XLOOKUP(C104,Tabla42[ADEP],Tabla42[Sector],"")</f>
        <v>Sector 3</v>
      </c>
    </row>
    <row r="105" spans="1:20" x14ac:dyDescent="0.2">
      <c r="A105" s="13" t="s">
        <v>1890</v>
      </c>
      <c r="B105" s="13" t="s">
        <v>18</v>
      </c>
      <c r="C105" s="13" t="s">
        <v>807</v>
      </c>
      <c r="D105" s="13" t="s">
        <v>687</v>
      </c>
      <c r="E105" s="13"/>
      <c r="F105" s="14">
        <v>46299.785081018519</v>
      </c>
      <c r="G105" s="13" t="s">
        <v>21</v>
      </c>
      <c r="H105" s="13" t="s">
        <v>1891</v>
      </c>
      <c r="I105" s="15">
        <v>350</v>
      </c>
      <c r="J105" s="13" t="s">
        <v>22</v>
      </c>
      <c r="K105" s="13" t="s">
        <v>50</v>
      </c>
      <c r="L105" s="15">
        <v>219</v>
      </c>
      <c r="M105" s="13" t="s">
        <v>55</v>
      </c>
      <c r="N105" s="14">
        <v>46299.799490740741</v>
      </c>
      <c r="O105" s="15">
        <v>279</v>
      </c>
      <c r="P105" s="13" t="s">
        <v>25</v>
      </c>
      <c r="Q105" s="15">
        <v>30</v>
      </c>
      <c r="R105" s="3" t="str">
        <f>IF(OR(G105="12R",G105="12L"),_xlfn.XLOOKUP(C105,Tabla42[ADEP],Tabla42[SID 12R],""),IF(OR(G105="30L",G105="30R"),_xlfn.XLOOKUP(C105,Tabla42[ADEP],Tabla42[SID 30L],""),""))</f>
        <v/>
      </c>
      <c r="S105" s="3">
        <f t="shared" si="1"/>
        <v>18</v>
      </c>
      <c r="T105" s="3" t="str">
        <f>_xlfn.XLOOKUP(C105,Tabla42[ADEP],Tabla42[Sector],"")</f>
        <v/>
      </c>
    </row>
    <row r="106" spans="1:20" x14ac:dyDescent="0.2">
      <c r="A106" s="13" t="s">
        <v>597</v>
      </c>
      <c r="B106" s="13" t="s">
        <v>18</v>
      </c>
      <c r="C106" s="13" t="s">
        <v>598</v>
      </c>
      <c r="D106" s="13" t="s">
        <v>28</v>
      </c>
      <c r="E106" s="13" t="s">
        <v>1033</v>
      </c>
      <c r="F106" s="14">
        <v>46299.786597222221</v>
      </c>
      <c r="G106" s="13" t="s">
        <v>21</v>
      </c>
      <c r="H106" s="13" t="s">
        <v>1892</v>
      </c>
      <c r="I106" s="15">
        <v>360</v>
      </c>
      <c r="J106" s="13" t="s">
        <v>22</v>
      </c>
      <c r="K106" s="13" t="s">
        <v>23</v>
      </c>
      <c r="L106" s="15">
        <v>446</v>
      </c>
      <c r="M106" s="13" t="s">
        <v>189</v>
      </c>
      <c r="N106" s="14">
        <v>46299.810983796298</v>
      </c>
      <c r="O106" s="15">
        <v>360</v>
      </c>
      <c r="P106" s="13" t="s">
        <v>25</v>
      </c>
      <c r="Q106" s="15">
        <v>40</v>
      </c>
      <c r="R106" s="3" t="str">
        <f>IF(OR(G106="12R",G106="12L"),_xlfn.XLOOKUP(C106,Tabla42[ADEP],Tabla42[SID 12R],""),IF(OR(G106="30L",G106="30R"),_xlfn.XLOOKUP(C106,Tabla42[ADEP],Tabla42[SID 30L],""),""))</f>
        <v>OMSUK</v>
      </c>
      <c r="S106" s="3">
        <f t="shared" si="1"/>
        <v>18</v>
      </c>
      <c r="T106" s="3" t="str">
        <f>_xlfn.XLOOKUP(C106,Tabla42[ADEP],Tabla42[Sector],"")</f>
        <v>Sector 3</v>
      </c>
    </row>
    <row r="107" spans="1:20" x14ac:dyDescent="0.2">
      <c r="A107" s="13" t="s">
        <v>449</v>
      </c>
      <c r="B107" s="13" t="s">
        <v>18</v>
      </c>
      <c r="C107" s="13" t="s">
        <v>96</v>
      </c>
      <c r="D107" s="13" t="s">
        <v>53</v>
      </c>
      <c r="E107" s="13" t="s">
        <v>106</v>
      </c>
      <c r="F107" s="14">
        <v>46299.790706018517</v>
      </c>
      <c r="G107" s="13" t="s">
        <v>21</v>
      </c>
      <c r="H107" s="13" t="s">
        <v>1893</v>
      </c>
      <c r="I107" s="15">
        <v>380</v>
      </c>
      <c r="J107" s="13" t="s">
        <v>22</v>
      </c>
      <c r="K107" s="13" t="s">
        <v>141</v>
      </c>
      <c r="L107" s="15">
        <v>876</v>
      </c>
      <c r="M107" s="13" t="s">
        <v>45</v>
      </c>
      <c r="N107" s="14">
        <v>46299.836087962962</v>
      </c>
      <c r="O107" s="15">
        <v>380</v>
      </c>
      <c r="P107" s="13" t="s">
        <v>25</v>
      </c>
      <c r="Q107" s="15">
        <v>190</v>
      </c>
      <c r="R107" s="3" t="str">
        <f>IF(OR(G107="12R",G107="12L"),_xlfn.XLOOKUP(C107,Tabla42[ADEP],Tabla42[SID 12R],""),IF(OR(G107="30L",G107="30R"),_xlfn.XLOOKUP(C107,Tabla42[ADEP],Tabla42[SID 30L],""),""))</f>
        <v>UDGUV</v>
      </c>
      <c r="S107" s="3">
        <f t="shared" si="1"/>
        <v>18</v>
      </c>
      <c r="T107" s="3" t="str">
        <f>_xlfn.XLOOKUP(C107,Tabla42[ADEP],Tabla42[Sector],"")</f>
        <v>Sector 2</v>
      </c>
    </row>
    <row r="108" spans="1:20" x14ac:dyDescent="0.2">
      <c r="A108" s="13" t="s">
        <v>229</v>
      </c>
      <c r="B108" s="13" t="s">
        <v>18</v>
      </c>
      <c r="C108" s="13" t="s">
        <v>230</v>
      </c>
      <c r="D108" s="13" t="s">
        <v>231</v>
      </c>
      <c r="E108" s="13" t="s">
        <v>591</v>
      </c>
      <c r="F108" s="14">
        <v>46299.792164351849</v>
      </c>
      <c r="G108" s="13" t="s">
        <v>21</v>
      </c>
      <c r="H108" s="13" t="s">
        <v>1894</v>
      </c>
      <c r="I108" s="15">
        <v>100</v>
      </c>
      <c r="J108" s="13" t="s">
        <v>22</v>
      </c>
      <c r="K108" s="13" t="s">
        <v>23</v>
      </c>
      <c r="L108" s="15">
        <v>333</v>
      </c>
      <c r="M108" s="13" t="s">
        <v>230</v>
      </c>
      <c r="N108" s="14">
        <v>46299.8596412037</v>
      </c>
      <c r="O108" s="15">
        <v>0</v>
      </c>
      <c r="P108" s="13" t="s">
        <v>129</v>
      </c>
      <c r="Q108" s="15">
        <v>40</v>
      </c>
      <c r="R108" s="3" t="str">
        <f>IF(OR(G108="12R",G108="12L"),_xlfn.XLOOKUP(C108,Tabla42[ADEP],Tabla42[SID 12R],""),IF(OR(G108="30L",G108="30R"),_xlfn.XLOOKUP(C108,Tabla42[ADEP],Tabla42[SID 30L],""),""))</f>
        <v>CZM</v>
      </c>
      <c r="S108" s="3">
        <f t="shared" si="1"/>
        <v>19</v>
      </c>
      <c r="T108" s="3" t="str">
        <f>_xlfn.XLOOKUP(C108,Tabla42[ADEP],Tabla42[Sector],"")</f>
        <v>Sector 7</v>
      </c>
    </row>
    <row r="109" spans="1:20" x14ac:dyDescent="0.2">
      <c r="A109" s="13" t="s">
        <v>245</v>
      </c>
      <c r="B109" s="13" t="s">
        <v>18</v>
      </c>
      <c r="C109" s="13" t="s">
        <v>109</v>
      </c>
      <c r="D109" s="13" t="s">
        <v>122</v>
      </c>
      <c r="E109" s="13" t="s">
        <v>818</v>
      </c>
      <c r="F109" s="14">
        <v>46299.794629629629</v>
      </c>
      <c r="G109" s="13" t="s">
        <v>21</v>
      </c>
      <c r="H109" s="13" t="s">
        <v>1895</v>
      </c>
      <c r="I109" s="15">
        <v>370</v>
      </c>
      <c r="J109" s="13" t="s">
        <v>22</v>
      </c>
      <c r="K109" s="13" t="s">
        <v>23</v>
      </c>
      <c r="L109" s="15">
        <v>153</v>
      </c>
      <c r="M109" s="13" t="s">
        <v>111</v>
      </c>
      <c r="N109" s="14">
        <v>46299.805023148147</v>
      </c>
      <c r="O109" s="15">
        <v>250</v>
      </c>
      <c r="P109" s="13" t="s">
        <v>25</v>
      </c>
      <c r="Q109" s="15">
        <v>190</v>
      </c>
      <c r="R109" s="3" t="str">
        <f>IF(OR(G109="12R",G109="12L"),_xlfn.XLOOKUP(C109,Tabla42[ADEP],Tabla42[SID 12R],""),IF(OR(G109="30L",G109="30R"),_xlfn.XLOOKUP(C109,Tabla42[ADEP],Tabla42[SID 30L],""),""))</f>
        <v>TAKUX</v>
      </c>
      <c r="S109" s="3">
        <f t="shared" si="1"/>
        <v>19</v>
      </c>
      <c r="T109" s="3" t="str">
        <f>_xlfn.XLOOKUP(C109,Tabla42[ADEP],Tabla42[Sector],"")</f>
        <v>Sector 7</v>
      </c>
    </row>
    <row r="110" spans="1:20" x14ac:dyDescent="0.2">
      <c r="A110" s="13" t="s">
        <v>460</v>
      </c>
      <c r="B110" s="13" t="s">
        <v>18</v>
      </c>
      <c r="C110" s="13" t="s">
        <v>126</v>
      </c>
      <c r="D110" s="13" t="s">
        <v>20</v>
      </c>
      <c r="E110" s="13" t="s">
        <v>1896</v>
      </c>
      <c r="F110" s="14">
        <v>46299.795624999999</v>
      </c>
      <c r="G110" s="13" t="s">
        <v>21</v>
      </c>
      <c r="H110" s="13" t="s">
        <v>1897</v>
      </c>
      <c r="I110" s="15">
        <v>350</v>
      </c>
      <c r="J110" s="13" t="s">
        <v>22</v>
      </c>
      <c r="K110" s="13" t="s">
        <v>23</v>
      </c>
      <c r="L110" s="15">
        <v>360</v>
      </c>
      <c r="M110" s="13" t="s">
        <v>30</v>
      </c>
      <c r="N110" s="14">
        <v>46299.816828703704</v>
      </c>
      <c r="O110" s="15">
        <v>350</v>
      </c>
      <c r="P110" s="13" t="s">
        <v>25</v>
      </c>
      <c r="Q110" s="15">
        <v>40</v>
      </c>
      <c r="R110" s="3" t="str">
        <f>IF(OR(G110="12R",G110="12L"),_xlfn.XLOOKUP(C110,Tabla42[ADEP],Tabla42[SID 12R],""),IF(OR(G110="30L",G110="30R"),_xlfn.XLOOKUP(C110,Tabla42[ADEP],Tabla42[SID 30L],""),""))</f>
        <v>ENEBA</v>
      </c>
      <c r="S110" s="3">
        <f t="shared" si="1"/>
        <v>19</v>
      </c>
      <c r="T110" s="3" t="str">
        <f>_xlfn.XLOOKUP(C110,Tabla42[ADEP],Tabla42[Sector],"")</f>
        <v>Sector 3</v>
      </c>
    </row>
    <row r="111" spans="1:20" x14ac:dyDescent="0.2">
      <c r="A111" s="13" t="s">
        <v>285</v>
      </c>
      <c r="B111" s="13" t="s">
        <v>18</v>
      </c>
      <c r="C111" s="13" t="s">
        <v>160</v>
      </c>
      <c r="D111" s="13" t="s">
        <v>33</v>
      </c>
      <c r="E111" s="13" t="s">
        <v>465</v>
      </c>
      <c r="F111" s="14">
        <v>46299.798472222217</v>
      </c>
      <c r="G111" s="13" t="s">
        <v>21</v>
      </c>
      <c r="H111" s="13" t="s">
        <v>1898</v>
      </c>
      <c r="I111" s="15">
        <v>340</v>
      </c>
      <c r="J111" s="13" t="s">
        <v>22</v>
      </c>
      <c r="K111" s="13" t="s">
        <v>23</v>
      </c>
      <c r="L111" s="15">
        <v>338</v>
      </c>
      <c r="M111" s="13" t="s">
        <v>1899</v>
      </c>
      <c r="N111" s="14">
        <v>46299.817395833335</v>
      </c>
      <c r="O111" s="15">
        <v>340</v>
      </c>
      <c r="P111" s="13" t="s">
        <v>25</v>
      </c>
      <c r="Q111" s="15">
        <v>190</v>
      </c>
      <c r="R111" s="3" t="str">
        <f>IF(OR(G111="12R",G111="12L"),_xlfn.XLOOKUP(C111,Tabla42[ADEP],Tabla42[SID 12R],""),IF(OR(G111="30L",G111="30R"),_xlfn.XLOOKUP(C111,Tabla42[ADEP],Tabla42[SID 30L],""),""))</f>
        <v>CZM</v>
      </c>
      <c r="S111" s="3">
        <f t="shared" si="1"/>
        <v>19</v>
      </c>
      <c r="T111" s="3" t="str">
        <f>_xlfn.XLOOKUP(C111,Tabla42[ADEP],Tabla42[Sector],"")</f>
        <v>Sector 7</v>
      </c>
    </row>
    <row r="112" spans="1:20" x14ac:dyDescent="0.2">
      <c r="A112" s="13" t="s">
        <v>241</v>
      </c>
      <c r="B112" s="13" t="s">
        <v>18</v>
      </c>
      <c r="C112" s="13" t="s">
        <v>121</v>
      </c>
      <c r="D112" s="13" t="s">
        <v>60</v>
      </c>
      <c r="E112" s="13" t="s">
        <v>640</v>
      </c>
      <c r="F112" s="14">
        <v>46299.799178240741</v>
      </c>
      <c r="G112" s="13" t="s">
        <v>21</v>
      </c>
      <c r="H112" s="13" t="s">
        <v>1900</v>
      </c>
      <c r="I112" s="15">
        <v>360</v>
      </c>
      <c r="J112" s="13" t="s">
        <v>22</v>
      </c>
      <c r="K112" s="13" t="s">
        <v>23</v>
      </c>
      <c r="L112" s="15">
        <v>586</v>
      </c>
      <c r="M112" s="13" t="s">
        <v>123</v>
      </c>
      <c r="N112" s="14">
        <v>46299.829675925925</v>
      </c>
      <c r="O112" s="15">
        <v>360</v>
      </c>
      <c r="P112" s="13" t="s">
        <v>25</v>
      </c>
      <c r="Q112" s="15">
        <v>40</v>
      </c>
      <c r="R112" s="3" t="str">
        <f>IF(OR(G112="12R",G112="12L"),_xlfn.XLOOKUP(C112,Tabla42[ADEP],Tabla42[SID 12R],""),IF(OR(G112="30L",G112="30R"),_xlfn.XLOOKUP(C112,Tabla42[ADEP],Tabla42[SID 30L],""),""))</f>
        <v>ENEBA</v>
      </c>
      <c r="S112" s="3">
        <f t="shared" si="1"/>
        <v>19</v>
      </c>
      <c r="T112" s="3" t="str">
        <f>_xlfn.XLOOKUP(C112,Tabla42[ADEP],Tabla42[Sector],"")</f>
        <v>Sector 3</v>
      </c>
    </row>
    <row r="113" spans="1:20" x14ac:dyDescent="0.2">
      <c r="A113" s="13" t="s">
        <v>445</v>
      </c>
      <c r="B113" s="13" t="s">
        <v>18</v>
      </c>
      <c r="C113" s="13" t="s">
        <v>263</v>
      </c>
      <c r="D113" s="13" t="s">
        <v>110</v>
      </c>
      <c r="E113" s="13" t="s">
        <v>1901</v>
      </c>
      <c r="F113" s="14">
        <v>46299.800405092596</v>
      </c>
      <c r="G113" s="13" t="s">
        <v>21</v>
      </c>
      <c r="H113" s="13" t="s">
        <v>446</v>
      </c>
      <c r="I113" s="15">
        <v>350</v>
      </c>
      <c r="J113" s="13" t="s">
        <v>22</v>
      </c>
      <c r="K113" s="13" t="s">
        <v>23</v>
      </c>
      <c r="L113" s="15">
        <v>136</v>
      </c>
      <c r="M113" s="13" t="s">
        <v>39</v>
      </c>
      <c r="N113" s="14">
        <v>46299.809027777781</v>
      </c>
      <c r="O113" s="15">
        <v>288</v>
      </c>
      <c r="P113" s="13" t="s">
        <v>25</v>
      </c>
      <c r="Q113" s="15">
        <v>190</v>
      </c>
      <c r="R113" s="3" t="str">
        <f>IF(OR(G113="12R",G113="12L"),_xlfn.XLOOKUP(C113,Tabla42[ADEP],Tabla42[SID 12R],""),IF(OR(G113="30L",G113="30R"),_xlfn.XLOOKUP(C113,Tabla42[ADEP],Tabla42[SID 30L],""),""))</f>
        <v>OMSUK</v>
      </c>
      <c r="S113" s="3">
        <f t="shared" si="1"/>
        <v>19</v>
      </c>
      <c r="T113" s="3" t="str">
        <f>_xlfn.XLOOKUP(C113,Tabla42[ADEP],Tabla42[Sector],"")</f>
        <v>Sector 3</v>
      </c>
    </row>
    <row r="114" spans="1:20" x14ac:dyDescent="0.2">
      <c r="A114" s="13" t="s">
        <v>358</v>
      </c>
      <c r="B114" s="13" t="s">
        <v>18</v>
      </c>
      <c r="C114" s="13" t="s">
        <v>359</v>
      </c>
      <c r="D114" s="13" t="s">
        <v>33</v>
      </c>
      <c r="E114" s="13" t="s">
        <v>395</v>
      </c>
      <c r="F114" s="14">
        <v>46299.80263888889</v>
      </c>
      <c r="G114" s="13" t="s">
        <v>21</v>
      </c>
      <c r="H114" s="13" t="s">
        <v>1902</v>
      </c>
      <c r="I114" s="15">
        <v>350</v>
      </c>
      <c r="J114" s="13" t="s">
        <v>22</v>
      </c>
      <c r="K114" s="13" t="s">
        <v>23</v>
      </c>
      <c r="L114" s="15">
        <v>359</v>
      </c>
      <c r="M114" s="13" t="s">
        <v>30</v>
      </c>
      <c r="N114" s="14">
        <v>46299.822974537034</v>
      </c>
      <c r="O114" s="15">
        <v>330</v>
      </c>
      <c r="P114" s="13" t="s">
        <v>25</v>
      </c>
      <c r="Q114" s="15">
        <v>40</v>
      </c>
      <c r="R114" s="3" t="str">
        <f>IF(OR(G114="12R",G114="12L"),_xlfn.XLOOKUP(C114,Tabla42[ADEP],Tabla42[SID 12R],""),IF(OR(G114="30L",G114="30R"),_xlfn.XLOOKUP(C114,Tabla42[ADEP],Tabla42[SID 30L],""),""))</f>
        <v>OMSUK</v>
      </c>
      <c r="S114" s="3">
        <f t="shared" si="1"/>
        <v>19</v>
      </c>
      <c r="T114" s="3" t="str">
        <f>_xlfn.XLOOKUP(C114,Tabla42[ADEP],Tabla42[Sector],"")</f>
        <v>Sector 3</v>
      </c>
    </row>
    <row r="115" spans="1:20" x14ac:dyDescent="0.2">
      <c r="A115" s="13" t="s">
        <v>235</v>
      </c>
      <c r="B115" s="13" t="s">
        <v>18</v>
      </c>
      <c r="C115" s="13" t="s">
        <v>62</v>
      </c>
      <c r="D115" s="13" t="s">
        <v>33</v>
      </c>
      <c r="E115" s="13" t="s">
        <v>685</v>
      </c>
      <c r="F115" s="14">
        <v>46299.803518518514</v>
      </c>
      <c r="G115" s="13" t="s">
        <v>21</v>
      </c>
      <c r="H115" s="13" t="s">
        <v>1903</v>
      </c>
      <c r="I115" s="15">
        <v>380</v>
      </c>
      <c r="J115" s="13" t="s">
        <v>22</v>
      </c>
      <c r="K115" s="13" t="s">
        <v>23</v>
      </c>
      <c r="L115" s="15">
        <v>866</v>
      </c>
      <c r="M115" s="13" t="s">
        <v>167</v>
      </c>
      <c r="N115" s="14">
        <v>46299.848692129628</v>
      </c>
      <c r="O115" s="15">
        <v>360</v>
      </c>
      <c r="P115" s="13" t="s">
        <v>25</v>
      </c>
      <c r="Q115" s="15">
        <v>190</v>
      </c>
      <c r="R115" s="3" t="str">
        <f>IF(OR(G115="12R",G115="12L"),_xlfn.XLOOKUP(C115,Tabla42[ADEP],Tabla42[SID 12R],""),IF(OR(G115="30L",G115="30R"),_xlfn.XLOOKUP(C115,Tabla42[ADEP],Tabla42[SID 30L],""),""))</f>
        <v>UDGUV</v>
      </c>
      <c r="S115" s="3">
        <f t="shared" si="1"/>
        <v>19</v>
      </c>
      <c r="T115" s="3" t="str">
        <f>_xlfn.XLOOKUP(C115,Tabla42[ADEP],Tabla42[Sector],"")</f>
        <v>Sector 2</v>
      </c>
    </row>
    <row r="116" spans="1:20" x14ac:dyDescent="0.2">
      <c r="A116" s="13" t="s">
        <v>251</v>
      </c>
      <c r="B116" s="13" t="s">
        <v>18</v>
      </c>
      <c r="C116" s="13" t="s">
        <v>126</v>
      </c>
      <c r="D116" s="13" t="s">
        <v>60</v>
      </c>
      <c r="E116" s="13" t="s">
        <v>1035</v>
      </c>
      <c r="F116" s="14">
        <v>46299.804224537038</v>
      </c>
      <c r="G116" s="13" t="s">
        <v>21</v>
      </c>
      <c r="H116" s="13" t="s">
        <v>1904</v>
      </c>
      <c r="I116" s="15">
        <v>330</v>
      </c>
      <c r="J116" s="13" t="s">
        <v>22</v>
      </c>
      <c r="K116" s="13" t="s">
        <v>23</v>
      </c>
      <c r="L116" s="15">
        <v>365</v>
      </c>
      <c r="M116" s="13" t="s">
        <v>30</v>
      </c>
      <c r="N116" s="14">
        <v>46299.825775462959</v>
      </c>
      <c r="O116" s="15">
        <v>310</v>
      </c>
      <c r="P116" s="13" t="s">
        <v>25</v>
      </c>
      <c r="Q116" s="15">
        <v>40</v>
      </c>
      <c r="R116" s="3" t="str">
        <f>IF(OR(G116="12R",G116="12L"),_xlfn.XLOOKUP(C116,Tabla42[ADEP],Tabla42[SID 12R],""),IF(OR(G116="30L",G116="30R"),_xlfn.XLOOKUP(C116,Tabla42[ADEP],Tabla42[SID 30L],""),""))</f>
        <v>ENEBA</v>
      </c>
      <c r="S116" s="3">
        <f t="shared" si="1"/>
        <v>19</v>
      </c>
      <c r="T116" s="3" t="str">
        <f>_xlfn.XLOOKUP(C116,Tabla42[ADEP],Tabla42[Sector],"")</f>
        <v>Sector 3</v>
      </c>
    </row>
    <row r="117" spans="1:20" x14ac:dyDescent="0.2">
      <c r="A117" s="13" t="s">
        <v>443</v>
      </c>
      <c r="B117" s="13" t="s">
        <v>18</v>
      </c>
      <c r="C117" s="13" t="s">
        <v>444</v>
      </c>
      <c r="D117" s="13" t="s">
        <v>110</v>
      </c>
      <c r="E117" s="13" t="s">
        <v>566</v>
      </c>
      <c r="F117" s="14">
        <v>46299.805266203708</v>
      </c>
      <c r="G117" s="13" t="s">
        <v>21</v>
      </c>
      <c r="H117" s="13" t="s">
        <v>1905</v>
      </c>
      <c r="I117" s="15">
        <v>380</v>
      </c>
      <c r="J117" s="13" t="s">
        <v>22</v>
      </c>
      <c r="K117" s="13" t="s">
        <v>23</v>
      </c>
      <c r="L117" s="15">
        <v>438</v>
      </c>
      <c r="M117" s="13" t="s">
        <v>189</v>
      </c>
      <c r="N117" s="14">
        <v>46299.829224537039</v>
      </c>
      <c r="O117" s="15">
        <v>380</v>
      </c>
      <c r="P117" s="13" t="s">
        <v>25</v>
      </c>
      <c r="Q117" s="15">
        <v>40</v>
      </c>
      <c r="R117" s="3" t="str">
        <f>IF(OR(G117="12R",G117="12L"),_xlfn.XLOOKUP(C117,Tabla42[ADEP],Tabla42[SID 12R],""),IF(OR(G117="30L",G117="30R"),_xlfn.XLOOKUP(C117,Tabla42[ADEP],Tabla42[SID 30L],""),""))</f>
        <v>ENEBA</v>
      </c>
      <c r="S117" s="3">
        <f t="shared" si="1"/>
        <v>19</v>
      </c>
      <c r="T117" s="3" t="str">
        <f>_xlfn.XLOOKUP(C117,Tabla42[ADEP],Tabla42[Sector],"")</f>
        <v>Sector 3</v>
      </c>
    </row>
    <row r="118" spans="1:20" x14ac:dyDescent="0.2">
      <c r="A118" s="13" t="s">
        <v>247</v>
      </c>
      <c r="B118" s="13" t="s">
        <v>18</v>
      </c>
      <c r="C118" s="13" t="s">
        <v>137</v>
      </c>
      <c r="D118" s="13" t="s">
        <v>60</v>
      </c>
      <c r="E118" s="13" t="s">
        <v>1042</v>
      </c>
      <c r="F118" s="14">
        <v>46299.80636574074</v>
      </c>
      <c r="G118" s="13" t="s">
        <v>21</v>
      </c>
      <c r="H118" s="13" t="s">
        <v>386</v>
      </c>
      <c r="I118" s="15">
        <v>330</v>
      </c>
      <c r="J118" s="13" t="s">
        <v>22</v>
      </c>
      <c r="K118" s="13" t="s">
        <v>23</v>
      </c>
      <c r="L118" s="15">
        <v>136</v>
      </c>
      <c r="M118" s="13" t="s">
        <v>39</v>
      </c>
      <c r="N118" s="14">
        <v>46299.816192129627</v>
      </c>
      <c r="O118" s="15">
        <v>244</v>
      </c>
      <c r="P118" s="13" t="s">
        <v>25</v>
      </c>
      <c r="Q118" s="15">
        <v>190</v>
      </c>
      <c r="R118" s="3" t="str">
        <f>IF(OR(G118="12R",G118="12L"),_xlfn.XLOOKUP(C118,Tabla42[ADEP],Tabla42[SID 12R],""),IF(OR(G118="30L",G118="30R"),_xlfn.XLOOKUP(C118,Tabla42[ADEP],Tabla42[SID 30L],""),""))</f>
        <v>NUDAL</v>
      </c>
      <c r="S118" s="3">
        <f t="shared" si="1"/>
        <v>19</v>
      </c>
      <c r="T118" s="3" t="str">
        <f>_xlfn.XLOOKUP(C118,Tabla42[ADEP],Tabla42[Sector],"")</f>
        <v>Sector 3</v>
      </c>
    </row>
    <row r="119" spans="1:20" x14ac:dyDescent="0.2">
      <c r="A119" s="13" t="s">
        <v>600</v>
      </c>
      <c r="B119" s="13" t="s">
        <v>18</v>
      </c>
      <c r="C119" s="13" t="s">
        <v>293</v>
      </c>
      <c r="D119" s="13" t="s">
        <v>20</v>
      </c>
      <c r="E119" s="13" t="s">
        <v>1906</v>
      </c>
      <c r="F119" s="14">
        <v>46299.808067129634</v>
      </c>
      <c r="G119" s="13" t="s">
        <v>21</v>
      </c>
      <c r="H119" s="13" t="s">
        <v>1907</v>
      </c>
      <c r="I119" s="15">
        <v>340</v>
      </c>
      <c r="J119" s="13" t="s">
        <v>22</v>
      </c>
      <c r="K119" s="13" t="s">
        <v>23</v>
      </c>
      <c r="L119" s="15">
        <v>447</v>
      </c>
      <c r="M119" s="13" t="s">
        <v>189</v>
      </c>
      <c r="N119" s="14">
        <v>46299.832615740743</v>
      </c>
      <c r="O119" s="15">
        <v>340</v>
      </c>
      <c r="P119" s="13" t="s">
        <v>25</v>
      </c>
      <c r="Q119" s="15">
        <v>40</v>
      </c>
      <c r="R119" s="3" t="str">
        <f>IF(OR(G119="12R",G119="12L"),_xlfn.XLOOKUP(C119,Tabla42[ADEP],Tabla42[SID 12R],""),IF(OR(G119="30L",G119="30R"),_xlfn.XLOOKUP(C119,Tabla42[ADEP],Tabla42[SID 30L],""),""))</f>
        <v>UDGUV</v>
      </c>
      <c r="S119" s="3">
        <f t="shared" si="1"/>
        <v>19</v>
      </c>
      <c r="T119" s="3" t="str">
        <f>_xlfn.XLOOKUP(C119,Tabla42[ADEP],Tabla42[Sector],"")</f>
        <v>Sector 2</v>
      </c>
    </row>
    <row r="120" spans="1:20" x14ac:dyDescent="0.2">
      <c r="A120" s="13" t="s">
        <v>389</v>
      </c>
      <c r="B120" s="13" t="s">
        <v>18</v>
      </c>
      <c r="C120" s="13" t="s">
        <v>242</v>
      </c>
      <c r="D120" s="13" t="s">
        <v>243</v>
      </c>
      <c r="E120" s="13" t="s">
        <v>534</v>
      </c>
      <c r="F120" s="14">
        <v>46299.809583333335</v>
      </c>
      <c r="G120" s="13" t="s">
        <v>21</v>
      </c>
      <c r="H120" s="13" t="s">
        <v>1908</v>
      </c>
      <c r="I120" s="15">
        <v>350</v>
      </c>
      <c r="J120" s="13" t="s">
        <v>22</v>
      </c>
      <c r="K120" s="13" t="s">
        <v>23</v>
      </c>
      <c r="L120" s="15">
        <v>401</v>
      </c>
      <c r="M120" s="13" t="s">
        <v>797</v>
      </c>
      <c r="N120" s="14">
        <v>46299.831504629634</v>
      </c>
      <c r="O120" s="15">
        <v>350</v>
      </c>
      <c r="P120" s="13" t="s">
        <v>40</v>
      </c>
      <c r="Q120" s="15">
        <v>40</v>
      </c>
      <c r="R120" s="3" t="str">
        <f>IF(OR(G120="12R",G120="12L"),_xlfn.XLOOKUP(C120,Tabla42[ADEP],Tabla42[SID 12R],""),IF(OR(G120="30L",G120="30R"),_xlfn.XLOOKUP(C120,Tabla42[ADEP],Tabla42[SID 30L],""),""))</f>
        <v>NUDAL</v>
      </c>
      <c r="S120" s="3">
        <f t="shared" si="1"/>
        <v>19</v>
      </c>
      <c r="T120" s="3" t="str">
        <f>_xlfn.XLOOKUP(C120,Tabla42[ADEP],Tabla42[Sector],"")</f>
        <v>Sector 3</v>
      </c>
    </row>
    <row r="121" spans="1:20" x14ac:dyDescent="0.2">
      <c r="A121" s="13" t="s">
        <v>246</v>
      </c>
      <c r="B121" s="13" t="s">
        <v>18</v>
      </c>
      <c r="C121" s="13" t="s">
        <v>209</v>
      </c>
      <c r="D121" s="13" t="s">
        <v>110</v>
      </c>
      <c r="E121" s="13" t="s">
        <v>663</v>
      </c>
      <c r="F121" s="14">
        <v>46299.810972222222</v>
      </c>
      <c r="G121" s="13" t="s">
        <v>21</v>
      </c>
      <c r="H121" s="13" t="s">
        <v>1909</v>
      </c>
      <c r="I121" s="15">
        <v>380</v>
      </c>
      <c r="J121" s="13" t="s">
        <v>22</v>
      </c>
      <c r="K121" s="13" t="s">
        <v>23</v>
      </c>
      <c r="L121" s="15">
        <v>575</v>
      </c>
      <c r="M121" s="13" t="s">
        <v>123</v>
      </c>
      <c r="N121" s="14">
        <v>46299.841446759259</v>
      </c>
      <c r="O121" s="15">
        <v>380</v>
      </c>
      <c r="P121" s="13" t="s">
        <v>25</v>
      </c>
      <c r="Q121" s="15">
        <v>40</v>
      </c>
      <c r="R121" s="3" t="str">
        <f>IF(OR(G121="12R",G121="12L"),_xlfn.XLOOKUP(C121,Tabla42[ADEP],Tabla42[SID 12R],""),IF(OR(G121="30L",G121="30R"),_xlfn.XLOOKUP(C121,Tabla42[ADEP],Tabla42[SID 30L],""),""))</f>
        <v>ENEBA</v>
      </c>
      <c r="S121" s="3">
        <f t="shared" si="1"/>
        <v>19</v>
      </c>
      <c r="T121" s="3" t="str">
        <f>_xlfn.XLOOKUP(C121,Tabla42[ADEP],Tabla42[Sector],"")</f>
        <v>Sector 3</v>
      </c>
    </row>
    <row r="122" spans="1:20" x14ac:dyDescent="0.2">
      <c r="A122" s="13" t="s">
        <v>452</v>
      </c>
      <c r="B122" s="13" t="s">
        <v>18</v>
      </c>
      <c r="C122" s="13" t="s">
        <v>453</v>
      </c>
      <c r="D122" s="13" t="s">
        <v>122</v>
      </c>
      <c r="E122" s="13" t="s">
        <v>704</v>
      </c>
      <c r="F122" s="14">
        <v>46299.812256944446</v>
      </c>
      <c r="G122" s="13" t="s">
        <v>21</v>
      </c>
      <c r="H122" s="13" t="s">
        <v>1910</v>
      </c>
      <c r="I122" s="15">
        <v>340</v>
      </c>
      <c r="J122" s="13" t="s">
        <v>22</v>
      </c>
      <c r="K122" s="13" t="s">
        <v>23</v>
      </c>
      <c r="L122" s="15">
        <v>447</v>
      </c>
      <c r="M122" s="13" t="s">
        <v>189</v>
      </c>
      <c r="N122" s="14">
        <v>46299.837314814809</v>
      </c>
      <c r="O122" s="15">
        <v>320</v>
      </c>
      <c r="P122" s="13" t="s">
        <v>25</v>
      </c>
      <c r="Q122" s="15">
        <v>40</v>
      </c>
      <c r="R122" s="3" t="str">
        <f>IF(OR(G122="12R",G122="12L"),_xlfn.XLOOKUP(C122,Tabla42[ADEP],Tabla42[SID 12R],""),IF(OR(G122="30L",G122="30R"),_xlfn.XLOOKUP(C122,Tabla42[ADEP],Tabla42[SID 30L],""),""))</f>
        <v>OMSUK</v>
      </c>
      <c r="S122" s="3">
        <f t="shared" si="1"/>
        <v>19</v>
      </c>
      <c r="T122" s="3" t="str">
        <f>_xlfn.XLOOKUP(C122,Tabla42[ADEP],Tabla42[Sector],"")</f>
        <v>Sector 3</v>
      </c>
    </row>
    <row r="123" spans="1:20" x14ac:dyDescent="0.2">
      <c r="A123" s="13" t="s">
        <v>261</v>
      </c>
      <c r="B123" s="13" t="s">
        <v>18</v>
      </c>
      <c r="C123" s="13" t="s">
        <v>158</v>
      </c>
      <c r="D123" s="13" t="s">
        <v>33</v>
      </c>
      <c r="E123" s="13" t="s">
        <v>1911</v>
      </c>
      <c r="F123" s="14">
        <v>46299.814467592594</v>
      </c>
      <c r="G123" s="13" t="s">
        <v>21</v>
      </c>
      <c r="H123" s="13" t="s">
        <v>1912</v>
      </c>
      <c r="I123" s="15">
        <v>330</v>
      </c>
      <c r="J123" s="13" t="s">
        <v>22</v>
      </c>
      <c r="K123" s="13" t="s">
        <v>23</v>
      </c>
      <c r="L123" s="15">
        <v>135</v>
      </c>
      <c r="M123" s="13" t="s">
        <v>793</v>
      </c>
      <c r="N123" s="14">
        <v>46299.823819444442</v>
      </c>
      <c r="O123" s="15">
        <v>225</v>
      </c>
      <c r="P123" s="13" t="s">
        <v>25</v>
      </c>
      <c r="Q123" s="15">
        <v>190</v>
      </c>
      <c r="R123" s="3" t="str">
        <f>IF(OR(G123="12R",G123="12L"),_xlfn.XLOOKUP(C123,Tabla42[ADEP],Tabla42[SID 12R],""),IF(OR(G123="30L",G123="30R"),_xlfn.XLOOKUP(C123,Tabla42[ADEP],Tabla42[SID 30L],""),""))</f>
        <v>OMSUK</v>
      </c>
      <c r="S123" s="3">
        <f t="shared" si="1"/>
        <v>19</v>
      </c>
      <c r="T123" s="3" t="str">
        <f>_xlfn.XLOOKUP(C123,Tabla42[ADEP],Tabla42[Sector],"")</f>
        <v>Sector 3</v>
      </c>
    </row>
    <row r="124" spans="1:20" x14ac:dyDescent="0.2">
      <c r="A124" s="13" t="s">
        <v>253</v>
      </c>
      <c r="B124" s="13" t="s">
        <v>18</v>
      </c>
      <c r="C124" s="13" t="s">
        <v>254</v>
      </c>
      <c r="D124" s="13" t="s">
        <v>20</v>
      </c>
      <c r="E124" s="13" t="s">
        <v>149</v>
      </c>
      <c r="F124" s="14">
        <v>46299.817673611113</v>
      </c>
      <c r="G124" s="13" t="s">
        <v>21</v>
      </c>
      <c r="H124" s="13" t="s">
        <v>1913</v>
      </c>
      <c r="I124" s="15">
        <v>340</v>
      </c>
      <c r="J124" s="13" t="s">
        <v>22</v>
      </c>
      <c r="K124" s="13" t="s">
        <v>23</v>
      </c>
      <c r="L124" s="15">
        <v>869</v>
      </c>
      <c r="M124" s="13" t="s">
        <v>35</v>
      </c>
      <c r="N124" s="14">
        <v>46299.862557870365</v>
      </c>
      <c r="O124" s="15">
        <v>340</v>
      </c>
      <c r="P124" s="13" t="s">
        <v>25</v>
      </c>
      <c r="Q124" s="15">
        <v>190</v>
      </c>
      <c r="R124" s="3" t="str">
        <f>IF(OR(G124="12R",G124="12L"),_xlfn.XLOOKUP(C124,Tabla42[ADEP],Tabla42[SID 12R],""),IF(OR(G124="30L",G124="30R"),_xlfn.XLOOKUP(C124,Tabla42[ADEP],Tabla42[SID 30L],""),""))</f>
        <v>UDGUV</v>
      </c>
      <c r="S124" s="3">
        <f t="shared" si="1"/>
        <v>19</v>
      </c>
      <c r="T124" s="3" t="str">
        <f>_xlfn.XLOOKUP(C124,Tabla42[ADEP],Tabla42[Sector],"")</f>
        <v>Sector 2</v>
      </c>
    </row>
    <row r="125" spans="1:20" x14ac:dyDescent="0.2">
      <c r="A125" s="13" t="s">
        <v>662</v>
      </c>
      <c r="B125" s="13" t="s">
        <v>18</v>
      </c>
      <c r="C125" s="13" t="s">
        <v>195</v>
      </c>
      <c r="D125" s="13" t="s">
        <v>28</v>
      </c>
      <c r="E125" s="13" t="s">
        <v>757</v>
      </c>
      <c r="F125" s="14">
        <v>46299.82104166667</v>
      </c>
      <c r="G125" s="13" t="s">
        <v>21</v>
      </c>
      <c r="H125" s="13" t="s">
        <v>1914</v>
      </c>
      <c r="I125" s="15">
        <v>390</v>
      </c>
      <c r="J125" s="13" t="s">
        <v>22</v>
      </c>
      <c r="K125" s="13" t="s">
        <v>23</v>
      </c>
      <c r="L125" s="15">
        <v>153</v>
      </c>
      <c r="M125" s="13" t="s">
        <v>111</v>
      </c>
      <c r="N125" s="14">
        <v>46299.832141203704</v>
      </c>
      <c r="O125" s="15">
        <v>250</v>
      </c>
      <c r="P125" s="13" t="s">
        <v>25</v>
      </c>
      <c r="Q125" s="15">
        <v>190</v>
      </c>
      <c r="R125" s="3" t="str">
        <f>IF(OR(G125="12R",G125="12L"),_xlfn.XLOOKUP(C125,Tabla42[ADEP],Tabla42[SID 12R],""),IF(OR(G125="30L",G125="30R"),_xlfn.XLOOKUP(C125,Tabla42[ADEP],Tabla42[SID 30L],""),""))</f>
        <v>HECAT</v>
      </c>
      <c r="S125" s="3">
        <f t="shared" si="1"/>
        <v>19</v>
      </c>
      <c r="T125" s="3" t="str">
        <f>_xlfn.XLOOKUP(C125,Tabla42[ADEP],Tabla42[Sector],"")</f>
        <v>Sector 7</v>
      </c>
    </row>
    <row r="126" spans="1:20" x14ac:dyDescent="0.2">
      <c r="A126" s="13" t="s">
        <v>256</v>
      </c>
      <c r="B126" s="13" t="s">
        <v>18</v>
      </c>
      <c r="C126" s="13" t="s">
        <v>257</v>
      </c>
      <c r="D126" s="13" t="s">
        <v>117</v>
      </c>
      <c r="E126" s="13" t="s">
        <v>1915</v>
      </c>
      <c r="F126" s="14">
        <v>46299.822013888886</v>
      </c>
      <c r="G126" s="13" t="s">
        <v>21</v>
      </c>
      <c r="H126" s="13" t="s">
        <v>1916</v>
      </c>
      <c r="I126" s="15">
        <v>300</v>
      </c>
      <c r="J126" s="13" t="s">
        <v>22</v>
      </c>
      <c r="K126" s="13" t="s">
        <v>23</v>
      </c>
      <c r="L126" s="15">
        <v>809</v>
      </c>
      <c r="M126" s="13" t="s">
        <v>1917</v>
      </c>
      <c r="N126" s="14">
        <v>46299.863587962958</v>
      </c>
      <c r="O126" s="15">
        <v>300</v>
      </c>
      <c r="P126" s="13" t="s">
        <v>25</v>
      </c>
      <c r="Q126" s="15">
        <v>190</v>
      </c>
      <c r="R126" s="3" t="str">
        <f>IF(OR(G126="12R",G126="12L"),_xlfn.XLOOKUP(C126,Tabla42[ADEP],Tabla42[SID 12R],""),IF(OR(G126="30L",G126="30R"),_xlfn.XLOOKUP(C126,Tabla42[ADEP],Tabla42[SID 30L],""),""))</f>
        <v>UDGUV</v>
      </c>
      <c r="S126" s="3">
        <f t="shared" si="1"/>
        <v>19</v>
      </c>
      <c r="T126" s="3" t="str">
        <f>_xlfn.XLOOKUP(C126,Tabla42[ADEP],Tabla42[Sector],"")</f>
        <v>Sector 2</v>
      </c>
    </row>
    <row r="127" spans="1:20" x14ac:dyDescent="0.2">
      <c r="A127" s="13" t="s">
        <v>362</v>
      </c>
      <c r="B127" s="13" t="s">
        <v>18</v>
      </c>
      <c r="C127" s="13" t="s">
        <v>27</v>
      </c>
      <c r="D127" s="13" t="s">
        <v>28</v>
      </c>
      <c r="E127" s="13" t="s">
        <v>692</v>
      </c>
      <c r="F127" s="14">
        <v>46299.822974537034</v>
      </c>
      <c r="G127" s="13" t="s">
        <v>21</v>
      </c>
      <c r="H127" s="13" t="s">
        <v>1918</v>
      </c>
      <c r="I127" s="15">
        <v>370</v>
      </c>
      <c r="J127" s="13" t="s">
        <v>22</v>
      </c>
      <c r="K127" s="13" t="s">
        <v>23</v>
      </c>
      <c r="L127" s="15">
        <v>354</v>
      </c>
      <c r="M127" s="13" t="s">
        <v>30</v>
      </c>
      <c r="N127" s="14">
        <v>46299.843842592592</v>
      </c>
      <c r="O127" s="15">
        <v>350</v>
      </c>
      <c r="P127" s="13" t="s">
        <v>25</v>
      </c>
      <c r="Q127" s="15">
        <v>40</v>
      </c>
      <c r="R127" s="3" t="str">
        <f>IF(OR(G127="12R",G127="12L"),_xlfn.XLOOKUP(C127,Tabla42[ADEP],Tabla42[SID 12R],""),IF(OR(G127="30L",G127="30R"),_xlfn.XLOOKUP(C127,Tabla42[ADEP],Tabla42[SID 30L],""),""))</f>
        <v>OMSUK</v>
      </c>
      <c r="S127" s="3">
        <f t="shared" si="1"/>
        <v>19</v>
      </c>
      <c r="T127" s="3" t="str">
        <f>_xlfn.XLOOKUP(C127,Tabla42[ADEP],Tabla42[Sector],"")</f>
        <v>Sector 3</v>
      </c>
    </row>
    <row r="128" spans="1:20" x14ac:dyDescent="0.2">
      <c r="A128" s="13" t="s">
        <v>268</v>
      </c>
      <c r="B128" s="13" t="s">
        <v>18</v>
      </c>
      <c r="C128" s="13" t="s">
        <v>42</v>
      </c>
      <c r="D128" s="13" t="s">
        <v>43</v>
      </c>
      <c r="E128" s="13" t="s">
        <v>269</v>
      </c>
      <c r="F128" s="14">
        <v>46299.827916666662</v>
      </c>
      <c r="G128" s="13" t="s">
        <v>21</v>
      </c>
      <c r="H128" s="13" t="s">
        <v>1919</v>
      </c>
      <c r="I128" s="15">
        <v>360</v>
      </c>
      <c r="J128" s="13" t="s">
        <v>22</v>
      </c>
      <c r="K128" s="13" t="s">
        <v>23</v>
      </c>
      <c r="L128" s="15">
        <v>892</v>
      </c>
      <c r="M128" s="13" t="s">
        <v>45</v>
      </c>
      <c r="N128" s="14">
        <v>46299.873437499999</v>
      </c>
      <c r="O128" s="15">
        <v>360</v>
      </c>
      <c r="P128" s="13" t="s">
        <v>25</v>
      </c>
      <c r="Q128" s="15">
        <v>190</v>
      </c>
      <c r="R128" s="3" t="str">
        <f>IF(OR(G128="12R",G128="12L"),_xlfn.XLOOKUP(C128,Tabla42[ADEP],Tabla42[SID 12R],""),IF(OR(G128="30L",G128="30R"),_xlfn.XLOOKUP(C128,Tabla42[ADEP],Tabla42[SID 30L],""),""))</f>
        <v>UDGUV</v>
      </c>
      <c r="S128" s="3">
        <f t="shared" si="1"/>
        <v>19</v>
      </c>
      <c r="T128" s="3" t="str">
        <f>_xlfn.XLOOKUP(C128,Tabla42[ADEP],Tabla42[Sector],"")</f>
        <v>Sector 2</v>
      </c>
    </row>
    <row r="129" spans="1:20" x14ac:dyDescent="0.2">
      <c r="A129" s="13" t="s">
        <v>218</v>
      </c>
      <c r="B129" s="13" t="s">
        <v>18</v>
      </c>
      <c r="C129" s="13" t="s">
        <v>219</v>
      </c>
      <c r="D129" s="13" t="s">
        <v>43</v>
      </c>
      <c r="E129" s="13" t="s">
        <v>607</v>
      </c>
      <c r="F129" s="14">
        <v>46299.829351851848</v>
      </c>
      <c r="G129" s="13" t="s">
        <v>21</v>
      </c>
      <c r="H129" s="13" t="s">
        <v>1920</v>
      </c>
      <c r="I129" s="15">
        <v>300</v>
      </c>
      <c r="J129" s="13" t="s">
        <v>22</v>
      </c>
      <c r="K129" s="13" t="s">
        <v>23</v>
      </c>
      <c r="L129" s="15">
        <v>870</v>
      </c>
      <c r="M129" s="13" t="s">
        <v>35</v>
      </c>
      <c r="N129" s="14">
        <v>46299.87394675926</v>
      </c>
      <c r="O129" s="15">
        <v>300</v>
      </c>
      <c r="P129" s="13" t="s">
        <v>25</v>
      </c>
      <c r="Q129" s="15">
        <v>190</v>
      </c>
      <c r="R129" s="3" t="str">
        <f>IF(OR(G129="12R",G129="12L"),_xlfn.XLOOKUP(C129,Tabla42[ADEP],Tabla42[SID 12R],""),IF(OR(G129="30L",G129="30R"),_xlfn.XLOOKUP(C129,Tabla42[ADEP],Tabla42[SID 30L],""),""))</f>
        <v>UDGUV</v>
      </c>
      <c r="S129" s="3">
        <f t="shared" si="1"/>
        <v>19</v>
      </c>
      <c r="T129" s="3" t="str">
        <f>_xlfn.XLOOKUP(C129,Tabla42[ADEP],Tabla42[Sector],"")</f>
        <v>Sector 2</v>
      </c>
    </row>
    <row r="130" spans="1:20" x14ac:dyDescent="0.2">
      <c r="A130" s="13" t="s">
        <v>266</v>
      </c>
      <c r="B130" s="13" t="s">
        <v>18</v>
      </c>
      <c r="C130" s="13" t="s">
        <v>184</v>
      </c>
      <c r="D130" s="13" t="s">
        <v>60</v>
      </c>
      <c r="E130" s="13" t="s">
        <v>377</v>
      </c>
      <c r="F130" s="14">
        <v>46299.83011574074</v>
      </c>
      <c r="G130" s="13" t="s">
        <v>21</v>
      </c>
      <c r="H130" s="13" t="s">
        <v>1043</v>
      </c>
      <c r="I130" s="15">
        <v>350</v>
      </c>
      <c r="J130" s="13" t="s">
        <v>22</v>
      </c>
      <c r="K130" s="13" t="s">
        <v>23</v>
      </c>
      <c r="L130" s="15">
        <v>360</v>
      </c>
      <c r="M130" s="13" t="s">
        <v>30</v>
      </c>
      <c r="N130" s="14">
        <v>46299.850914351853</v>
      </c>
      <c r="O130" s="15">
        <v>330</v>
      </c>
      <c r="P130" s="13" t="s">
        <v>25</v>
      </c>
      <c r="Q130" s="15">
        <v>40</v>
      </c>
      <c r="R130" s="3" t="str">
        <f>IF(OR(G130="12R",G130="12L"),_xlfn.XLOOKUP(C130,Tabla42[ADEP],Tabla42[SID 12R],""),IF(OR(G130="30L",G130="30R"),_xlfn.XLOOKUP(C130,Tabla42[ADEP],Tabla42[SID 30L],""),""))</f>
        <v>OMSUK</v>
      </c>
      <c r="S130" s="3">
        <f t="shared" si="1"/>
        <v>19</v>
      </c>
      <c r="T130" s="3" t="str">
        <f>_xlfn.XLOOKUP(C130,Tabla42[ADEP],Tabla42[Sector],"")</f>
        <v>Sector 3</v>
      </c>
    </row>
    <row r="131" spans="1:20" x14ac:dyDescent="0.2">
      <c r="A131" s="13" t="s">
        <v>259</v>
      </c>
      <c r="B131" s="13" t="s">
        <v>18</v>
      </c>
      <c r="C131" s="13" t="s">
        <v>32</v>
      </c>
      <c r="D131" s="13" t="s">
        <v>53</v>
      </c>
      <c r="E131" s="13" t="s">
        <v>674</v>
      </c>
      <c r="F131" s="14">
        <v>46299.830914351856</v>
      </c>
      <c r="G131" s="13" t="s">
        <v>21</v>
      </c>
      <c r="H131" s="13" t="s">
        <v>1921</v>
      </c>
      <c r="I131" s="15">
        <v>380</v>
      </c>
      <c r="J131" s="13" t="s">
        <v>22</v>
      </c>
      <c r="K131" s="13" t="s">
        <v>23</v>
      </c>
      <c r="L131" s="15">
        <v>869</v>
      </c>
      <c r="M131" s="13" t="s">
        <v>35</v>
      </c>
      <c r="N131" s="14">
        <v>46299.876030092593</v>
      </c>
      <c r="O131" s="15">
        <v>380</v>
      </c>
      <c r="P131" s="13" t="s">
        <v>25</v>
      </c>
      <c r="Q131" s="15">
        <v>190</v>
      </c>
      <c r="R131" s="3" t="str">
        <f>IF(OR(G131="12R",G131="12L"),_xlfn.XLOOKUP(C131,Tabla42[ADEP],Tabla42[SID 12R],""),IF(OR(G131="30L",G131="30R"),_xlfn.XLOOKUP(C131,Tabla42[ADEP],Tabla42[SID 30L],""),""))</f>
        <v>UDGUV</v>
      </c>
      <c r="S131" s="3">
        <f t="shared" ref="S131:S194" si="2">HOUR(F131)</f>
        <v>19</v>
      </c>
      <c r="T131" s="3" t="str">
        <f>_xlfn.XLOOKUP(C131,Tabla42[ADEP],Tabla42[Sector],"")</f>
        <v>Sector 2</v>
      </c>
    </row>
    <row r="132" spans="1:20" x14ac:dyDescent="0.2">
      <c r="A132" s="13" t="s">
        <v>199</v>
      </c>
      <c r="B132" s="13" t="s">
        <v>18</v>
      </c>
      <c r="C132" s="13" t="s">
        <v>200</v>
      </c>
      <c r="D132" s="13" t="s">
        <v>110</v>
      </c>
      <c r="E132" s="13" t="s">
        <v>784</v>
      </c>
      <c r="F132" s="14">
        <v>46299.831990740742</v>
      </c>
      <c r="G132" s="13" t="s">
        <v>21</v>
      </c>
      <c r="H132" s="13" t="s">
        <v>1922</v>
      </c>
      <c r="I132" s="15">
        <v>380</v>
      </c>
      <c r="J132" s="13" t="s">
        <v>22</v>
      </c>
      <c r="K132" s="13" t="s">
        <v>23</v>
      </c>
      <c r="L132" s="15">
        <v>434</v>
      </c>
      <c r="M132" s="13" t="s">
        <v>189</v>
      </c>
      <c r="N132" s="14">
        <v>46299.855763888889</v>
      </c>
      <c r="O132" s="15">
        <v>380</v>
      </c>
      <c r="P132" s="13" t="s">
        <v>25</v>
      </c>
      <c r="Q132" s="15">
        <v>40</v>
      </c>
      <c r="R132" s="3" t="str">
        <f>IF(OR(G132="12R",G132="12L"),_xlfn.XLOOKUP(C132,Tabla42[ADEP],Tabla42[SID 12R],""),IF(OR(G132="30L",G132="30R"),_xlfn.XLOOKUP(C132,Tabla42[ADEP],Tabla42[SID 30L],""),""))</f>
        <v>OMSUK</v>
      </c>
      <c r="S132" s="3">
        <f t="shared" si="2"/>
        <v>19</v>
      </c>
      <c r="T132" s="3" t="str">
        <f>_xlfn.XLOOKUP(C132,Tabla42[ADEP],Tabla42[Sector],"")</f>
        <v>Sector 3</v>
      </c>
    </row>
    <row r="133" spans="1:20" x14ac:dyDescent="0.2">
      <c r="A133" s="13" t="s">
        <v>272</v>
      </c>
      <c r="B133" s="13" t="s">
        <v>18</v>
      </c>
      <c r="C133" s="13" t="s">
        <v>42</v>
      </c>
      <c r="D133" s="13" t="s">
        <v>53</v>
      </c>
      <c r="E133" s="13" t="s">
        <v>70</v>
      </c>
      <c r="F133" s="14">
        <v>46299.833900462967</v>
      </c>
      <c r="G133" s="13" t="s">
        <v>21</v>
      </c>
      <c r="H133" s="13" t="s">
        <v>1923</v>
      </c>
      <c r="I133" s="15">
        <v>360</v>
      </c>
      <c r="J133" s="13" t="s">
        <v>22</v>
      </c>
      <c r="K133" s="13" t="s">
        <v>23</v>
      </c>
      <c r="L133" s="15">
        <v>878</v>
      </c>
      <c r="M133" s="13" t="s">
        <v>45</v>
      </c>
      <c r="N133" s="14">
        <v>46299.87972222222</v>
      </c>
      <c r="O133" s="15">
        <v>360</v>
      </c>
      <c r="P133" s="13" t="s">
        <v>25</v>
      </c>
      <c r="Q133" s="15">
        <v>190</v>
      </c>
      <c r="R133" s="3" t="str">
        <f>IF(OR(G133="12R",G133="12L"),_xlfn.XLOOKUP(C133,Tabla42[ADEP],Tabla42[SID 12R],""),IF(OR(G133="30L",G133="30R"),_xlfn.XLOOKUP(C133,Tabla42[ADEP],Tabla42[SID 30L],""),""))</f>
        <v>UDGUV</v>
      </c>
      <c r="S133" s="3">
        <f t="shared" si="2"/>
        <v>20</v>
      </c>
      <c r="T133" s="3" t="str">
        <f>_xlfn.XLOOKUP(C133,Tabla42[ADEP],Tabla42[Sector],"")</f>
        <v>Sector 2</v>
      </c>
    </row>
    <row r="134" spans="1:20" x14ac:dyDescent="0.2">
      <c r="A134" s="13" t="s">
        <v>271</v>
      </c>
      <c r="B134" s="13" t="s">
        <v>18</v>
      </c>
      <c r="C134" s="13" t="s">
        <v>116</v>
      </c>
      <c r="D134" s="13" t="s">
        <v>43</v>
      </c>
      <c r="E134" s="13" t="s">
        <v>1045</v>
      </c>
      <c r="F134" s="14">
        <v>46299.834976851853</v>
      </c>
      <c r="G134" s="13" t="s">
        <v>21</v>
      </c>
      <c r="H134" s="13" t="s">
        <v>1924</v>
      </c>
      <c r="I134" s="15">
        <v>340</v>
      </c>
      <c r="J134" s="13" t="s">
        <v>22</v>
      </c>
      <c r="K134" s="13" t="s">
        <v>23</v>
      </c>
      <c r="L134" s="15">
        <v>539</v>
      </c>
      <c r="M134" s="13" t="s">
        <v>123</v>
      </c>
      <c r="N134" s="14">
        <v>46299.863877314812</v>
      </c>
      <c r="O134" s="15">
        <v>340</v>
      </c>
      <c r="P134" s="13" t="s">
        <v>25</v>
      </c>
      <c r="Q134" s="15">
        <v>40</v>
      </c>
      <c r="R134" s="3" t="str">
        <f>IF(OR(G134="12R",G134="12L"),_xlfn.XLOOKUP(C134,Tabla42[ADEP],Tabla42[SID 12R],""),IF(OR(G134="30L",G134="30R"),_xlfn.XLOOKUP(C134,Tabla42[ADEP],Tabla42[SID 30L],""),""))</f>
        <v>ENEBA</v>
      </c>
      <c r="S134" s="3">
        <f t="shared" si="2"/>
        <v>20</v>
      </c>
      <c r="T134" s="3" t="str">
        <f>_xlfn.XLOOKUP(C134,Tabla42[ADEP],Tabla42[Sector],"")</f>
        <v>Sector 3</v>
      </c>
    </row>
    <row r="135" spans="1:20" x14ac:dyDescent="0.2">
      <c r="A135" s="13" t="s">
        <v>745</v>
      </c>
      <c r="B135" s="13" t="s">
        <v>18</v>
      </c>
      <c r="C135" s="13" t="s">
        <v>121</v>
      </c>
      <c r="D135" s="13" t="s">
        <v>122</v>
      </c>
      <c r="E135" s="13" t="s">
        <v>1925</v>
      </c>
      <c r="F135" s="14">
        <v>46299.836319444439</v>
      </c>
      <c r="G135" s="13" t="s">
        <v>21</v>
      </c>
      <c r="H135" s="13" t="s">
        <v>1926</v>
      </c>
      <c r="I135" s="15">
        <v>360</v>
      </c>
      <c r="J135" s="13" t="s">
        <v>22</v>
      </c>
      <c r="K135" s="13" t="s">
        <v>23</v>
      </c>
      <c r="L135" s="15">
        <v>545</v>
      </c>
      <c r="M135" s="13" t="s">
        <v>123</v>
      </c>
      <c r="N135" s="14">
        <v>46299.866168981476</v>
      </c>
      <c r="O135" s="15">
        <v>350</v>
      </c>
      <c r="P135" s="13" t="s">
        <v>25</v>
      </c>
      <c r="Q135" s="15">
        <v>40</v>
      </c>
      <c r="R135" s="3" t="str">
        <f>IF(OR(G135="12R",G135="12L"),_xlfn.XLOOKUP(C135,Tabla42[ADEP],Tabla42[SID 12R],""),IF(OR(G135="30L",G135="30R"),_xlfn.XLOOKUP(C135,Tabla42[ADEP],Tabla42[SID 30L],""),""))</f>
        <v>ENEBA</v>
      </c>
      <c r="S135" s="3">
        <f t="shared" si="2"/>
        <v>20</v>
      </c>
      <c r="T135" s="3" t="str">
        <f>_xlfn.XLOOKUP(C135,Tabla42[ADEP],Tabla42[Sector],"")</f>
        <v>Sector 3</v>
      </c>
    </row>
    <row r="136" spans="1:20" x14ac:dyDescent="0.2">
      <c r="A136" s="13" t="s">
        <v>387</v>
      </c>
      <c r="B136" s="13" t="s">
        <v>18</v>
      </c>
      <c r="C136" s="13" t="s">
        <v>388</v>
      </c>
      <c r="D136" s="13" t="s">
        <v>60</v>
      </c>
      <c r="E136" s="13" t="s">
        <v>1927</v>
      </c>
      <c r="F136" s="14">
        <v>46299.837743055556</v>
      </c>
      <c r="G136" s="13" t="s">
        <v>21</v>
      </c>
      <c r="H136" s="13" t="s">
        <v>1928</v>
      </c>
      <c r="I136" s="15">
        <v>320</v>
      </c>
      <c r="J136" s="13" t="s">
        <v>22</v>
      </c>
      <c r="K136" s="13" t="s">
        <v>23</v>
      </c>
      <c r="L136" s="15">
        <v>576</v>
      </c>
      <c r="M136" s="13" t="s">
        <v>123</v>
      </c>
      <c r="N136" s="14">
        <v>46299.867974537032</v>
      </c>
      <c r="O136" s="15">
        <v>320</v>
      </c>
      <c r="P136" s="13" t="s">
        <v>25</v>
      </c>
      <c r="Q136" s="15">
        <v>40</v>
      </c>
      <c r="R136" s="3" t="str">
        <f>IF(OR(G136="12R",G136="12L"),_xlfn.XLOOKUP(C136,Tabla42[ADEP],Tabla42[SID 12R],""),IF(OR(G136="30L",G136="30R"),_xlfn.XLOOKUP(C136,Tabla42[ADEP],Tabla42[SID 30L],""),""))</f>
        <v>ENEBA</v>
      </c>
      <c r="S136" s="3">
        <f t="shared" si="2"/>
        <v>20</v>
      </c>
      <c r="T136" s="3" t="str">
        <f>_xlfn.XLOOKUP(C136,Tabla42[ADEP],Tabla42[Sector],"")</f>
        <v>Sector 3</v>
      </c>
    </row>
    <row r="137" spans="1:20" x14ac:dyDescent="0.2">
      <c r="A137" s="13" t="s">
        <v>274</v>
      </c>
      <c r="B137" s="13" t="s">
        <v>18</v>
      </c>
      <c r="C137" s="13" t="s">
        <v>96</v>
      </c>
      <c r="D137" s="13" t="s">
        <v>33</v>
      </c>
      <c r="E137" s="13" t="s">
        <v>955</v>
      </c>
      <c r="F137" s="14">
        <v>46299.84274305556</v>
      </c>
      <c r="G137" s="13" t="s">
        <v>21</v>
      </c>
      <c r="H137" s="13" t="s">
        <v>1929</v>
      </c>
      <c r="I137" s="15">
        <v>380</v>
      </c>
      <c r="J137" s="13" t="s">
        <v>22</v>
      </c>
      <c r="K137" s="13" t="s">
        <v>23</v>
      </c>
      <c r="L137" s="15">
        <v>870</v>
      </c>
      <c r="M137" s="13" t="s">
        <v>664</v>
      </c>
      <c r="N137" s="14">
        <v>46299.888668981483</v>
      </c>
      <c r="O137" s="15">
        <v>380</v>
      </c>
      <c r="P137" s="13" t="s">
        <v>25</v>
      </c>
      <c r="Q137" s="15">
        <v>190</v>
      </c>
      <c r="R137" s="3" t="str">
        <f>IF(OR(G137="12R",G137="12L"),_xlfn.XLOOKUP(C137,Tabla42[ADEP],Tabla42[SID 12R],""),IF(OR(G137="30L",G137="30R"),_xlfn.XLOOKUP(C137,Tabla42[ADEP],Tabla42[SID 30L],""),""))</f>
        <v>UDGUV</v>
      </c>
      <c r="S137" s="3">
        <f t="shared" si="2"/>
        <v>20</v>
      </c>
      <c r="T137" s="3" t="str">
        <f>_xlfn.XLOOKUP(C137,Tabla42[ADEP],Tabla42[Sector],"")</f>
        <v>Sector 2</v>
      </c>
    </row>
    <row r="138" spans="1:20" x14ac:dyDescent="0.2">
      <c r="A138" s="13" t="s">
        <v>744</v>
      </c>
      <c r="B138" s="13" t="s">
        <v>18</v>
      </c>
      <c r="C138" s="13" t="s">
        <v>188</v>
      </c>
      <c r="D138" s="13" t="s">
        <v>122</v>
      </c>
      <c r="E138" s="13" t="s">
        <v>965</v>
      </c>
      <c r="F138" s="14">
        <v>46299.843969907408</v>
      </c>
      <c r="G138" s="13" t="s">
        <v>21</v>
      </c>
      <c r="H138" s="13" t="s">
        <v>1930</v>
      </c>
      <c r="I138" s="15">
        <v>350</v>
      </c>
      <c r="J138" s="13" t="s">
        <v>22</v>
      </c>
      <c r="K138" s="13" t="s">
        <v>23</v>
      </c>
      <c r="L138" s="15">
        <v>359</v>
      </c>
      <c r="M138" s="13" t="s">
        <v>30</v>
      </c>
      <c r="N138" s="14">
        <v>46299.864027777774</v>
      </c>
      <c r="O138" s="15">
        <v>350</v>
      </c>
      <c r="P138" s="13" t="s">
        <v>25</v>
      </c>
      <c r="Q138" s="15">
        <v>40</v>
      </c>
      <c r="R138" s="3" t="str">
        <f>IF(OR(G138="12R",G138="12L"),_xlfn.XLOOKUP(C138,Tabla42[ADEP],Tabla42[SID 12R],""),IF(OR(G138="30L",G138="30R"),_xlfn.XLOOKUP(C138,Tabla42[ADEP],Tabla42[SID 30L],""),""))</f>
        <v>ENEBA</v>
      </c>
      <c r="S138" s="3">
        <f t="shared" si="2"/>
        <v>20</v>
      </c>
      <c r="T138" s="3" t="str">
        <f>_xlfn.XLOOKUP(C138,Tabla42[ADEP],Tabla42[Sector],"")</f>
        <v>Sector 3</v>
      </c>
    </row>
    <row r="139" spans="1:20" x14ac:dyDescent="0.2">
      <c r="A139" s="13" t="s">
        <v>280</v>
      </c>
      <c r="B139" s="13" t="s">
        <v>18</v>
      </c>
      <c r="C139" s="13" t="s">
        <v>49</v>
      </c>
      <c r="D139" s="13" t="s">
        <v>53</v>
      </c>
      <c r="E139" s="13" t="s">
        <v>331</v>
      </c>
      <c r="F139" s="14">
        <v>46299.845173611116</v>
      </c>
      <c r="G139" s="13" t="s">
        <v>21</v>
      </c>
      <c r="H139" s="13" t="s">
        <v>1931</v>
      </c>
      <c r="I139" s="15">
        <v>380</v>
      </c>
      <c r="J139" s="13" t="s">
        <v>22</v>
      </c>
      <c r="K139" s="13" t="s">
        <v>23</v>
      </c>
      <c r="L139" s="15">
        <v>910</v>
      </c>
      <c r="M139" s="13" t="s">
        <v>45</v>
      </c>
      <c r="N139" s="14">
        <v>46299.891585648147</v>
      </c>
      <c r="O139" s="15">
        <v>380</v>
      </c>
      <c r="P139" s="13" t="s">
        <v>25</v>
      </c>
      <c r="Q139" s="15">
        <v>190</v>
      </c>
      <c r="R139" s="3" t="str">
        <f>IF(OR(G139="12R",G139="12L"),_xlfn.XLOOKUP(C139,Tabla42[ADEP],Tabla42[SID 12R],""),IF(OR(G139="30L",G139="30R"),_xlfn.XLOOKUP(C139,Tabla42[ADEP],Tabla42[SID 30L],""),""))</f>
        <v>UDGUV</v>
      </c>
      <c r="S139" s="3">
        <f t="shared" si="2"/>
        <v>20</v>
      </c>
      <c r="T139" s="3" t="str">
        <f>_xlfn.XLOOKUP(C139,Tabla42[ADEP],Tabla42[Sector],"")</f>
        <v>Sector 2</v>
      </c>
    </row>
    <row r="140" spans="1:20" x14ac:dyDescent="0.2">
      <c r="A140" s="13" t="s">
        <v>461</v>
      </c>
      <c r="B140" s="13" t="s">
        <v>18</v>
      </c>
      <c r="C140" s="13" t="s">
        <v>223</v>
      </c>
      <c r="D140" s="13" t="s">
        <v>110</v>
      </c>
      <c r="E140" s="13" t="s">
        <v>224</v>
      </c>
      <c r="F140" s="14">
        <v>46299.846087962964</v>
      </c>
      <c r="G140" s="13" t="s">
        <v>21</v>
      </c>
      <c r="H140" s="13" t="s">
        <v>1932</v>
      </c>
      <c r="I140" s="15">
        <v>390</v>
      </c>
      <c r="J140" s="13" t="s">
        <v>22</v>
      </c>
      <c r="K140" s="13" t="s">
        <v>23</v>
      </c>
      <c r="L140" s="15">
        <v>365</v>
      </c>
      <c r="M140" s="13" t="s">
        <v>30</v>
      </c>
      <c r="N140" s="14">
        <v>46299.866226851853</v>
      </c>
      <c r="O140" s="15">
        <v>390</v>
      </c>
      <c r="P140" s="13" t="s">
        <v>25</v>
      </c>
      <c r="Q140" s="15">
        <v>40</v>
      </c>
      <c r="R140" s="3" t="str">
        <f>IF(OR(G140="12R",G140="12L"),_xlfn.XLOOKUP(C140,Tabla42[ADEP],Tabla42[SID 12R],""),IF(OR(G140="30L",G140="30R"),_xlfn.XLOOKUP(C140,Tabla42[ADEP],Tabla42[SID 30L],""),""))</f>
        <v>OMSUK</v>
      </c>
      <c r="S140" s="3">
        <f t="shared" si="2"/>
        <v>20</v>
      </c>
      <c r="T140" s="3" t="str">
        <f>_xlfn.XLOOKUP(C140,Tabla42[ADEP],Tabla42[Sector],"")</f>
        <v>Sector 3</v>
      </c>
    </row>
    <row r="141" spans="1:20" x14ac:dyDescent="0.2">
      <c r="A141" s="13" t="s">
        <v>283</v>
      </c>
      <c r="B141" s="13" t="s">
        <v>18</v>
      </c>
      <c r="C141" s="13" t="s">
        <v>126</v>
      </c>
      <c r="D141" s="13" t="s">
        <v>117</v>
      </c>
      <c r="E141" s="13" t="s">
        <v>1027</v>
      </c>
      <c r="F141" s="14">
        <v>46299.853090277778</v>
      </c>
      <c r="G141" s="13" t="s">
        <v>21</v>
      </c>
      <c r="H141" s="13" t="s">
        <v>1933</v>
      </c>
      <c r="I141" s="15">
        <v>350</v>
      </c>
      <c r="J141" s="13" t="s">
        <v>22</v>
      </c>
      <c r="K141" s="13" t="s">
        <v>23</v>
      </c>
      <c r="L141" s="15">
        <v>357</v>
      </c>
      <c r="M141" s="13" t="s">
        <v>30</v>
      </c>
      <c r="N141" s="14">
        <v>46299.872881944444</v>
      </c>
      <c r="O141" s="15">
        <v>350</v>
      </c>
      <c r="P141" s="13" t="s">
        <v>25</v>
      </c>
      <c r="Q141" s="15">
        <v>40</v>
      </c>
      <c r="R141" s="3" t="str">
        <f>IF(OR(G141="12R",G141="12L"),_xlfn.XLOOKUP(C141,Tabla42[ADEP],Tabla42[SID 12R],""),IF(OR(G141="30L",G141="30R"),_xlfn.XLOOKUP(C141,Tabla42[ADEP],Tabla42[SID 30L],""),""))</f>
        <v>ENEBA</v>
      </c>
      <c r="S141" s="3">
        <f t="shared" si="2"/>
        <v>20</v>
      </c>
      <c r="T141" s="3" t="str">
        <f>_xlfn.XLOOKUP(C141,Tabla42[ADEP],Tabla42[Sector],"")</f>
        <v>Sector 3</v>
      </c>
    </row>
    <row r="142" spans="1:20" x14ac:dyDescent="0.2">
      <c r="A142" s="13" t="s">
        <v>665</v>
      </c>
      <c r="B142" s="13" t="s">
        <v>18</v>
      </c>
      <c r="C142" s="13" t="s">
        <v>206</v>
      </c>
      <c r="D142" s="13" t="s">
        <v>53</v>
      </c>
      <c r="E142" s="13" t="s">
        <v>516</v>
      </c>
      <c r="F142" s="14">
        <v>46299.857037037036</v>
      </c>
      <c r="G142" s="13" t="s">
        <v>21</v>
      </c>
      <c r="H142" s="13" t="s">
        <v>1934</v>
      </c>
      <c r="I142" s="15">
        <v>380</v>
      </c>
      <c r="J142" s="13" t="s">
        <v>22</v>
      </c>
      <c r="K142" s="13" t="s">
        <v>23</v>
      </c>
      <c r="L142" s="15">
        <v>878</v>
      </c>
      <c r="M142" s="13" t="s">
        <v>45</v>
      </c>
      <c r="N142" s="14">
        <v>46299.902847222227</v>
      </c>
      <c r="O142" s="15">
        <v>380</v>
      </c>
      <c r="P142" s="13" t="s">
        <v>25</v>
      </c>
      <c r="Q142" s="15">
        <v>190</v>
      </c>
      <c r="R142" s="3" t="str">
        <f>IF(OR(G142="12R",G142="12L"),_xlfn.XLOOKUP(C142,Tabla42[ADEP],Tabla42[SID 12R],""),IF(OR(G142="30L",G142="30R"),_xlfn.XLOOKUP(C142,Tabla42[ADEP],Tabla42[SID 30L],""),""))</f>
        <v>UDGUV</v>
      </c>
      <c r="S142" s="3">
        <f t="shared" si="2"/>
        <v>20</v>
      </c>
      <c r="T142" s="3" t="str">
        <f>_xlfn.XLOOKUP(C142,Tabla42[ADEP],Tabla42[Sector],"")</f>
        <v>Sector 2</v>
      </c>
    </row>
    <row r="143" spans="1:20" x14ac:dyDescent="0.2">
      <c r="A143" s="13" t="s">
        <v>262</v>
      </c>
      <c r="B143" s="13" t="s">
        <v>18</v>
      </c>
      <c r="C143" s="13" t="s">
        <v>263</v>
      </c>
      <c r="D143" s="13" t="s">
        <v>33</v>
      </c>
      <c r="E143" s="13" t="s">
        <v>1020</v>
      </c>
      <c r="F143" s="14">
        <v>46299.857858796298</v>
      </c>
      <c r="G143" s="13" t="s">
        <v>21</v>
      </c>
      <c r="H143" s="13" t="s">
        <v>1935</v>
      </c>
      <c r="I143" s="15">
        <v>370</v>
      </c>
      <c r="J143" s="13" t="s">
        <v>22</v>
      </c>
      <c r="K143" s="13" t="s">
        <v>23</v>
      </c>
      <c r="L143" s="15">
        <v>359</v>
      </c>
      <c r="M143" s="13" t="s">
        <v>30</v>
      </c>
      <c r="N143" s="14">
        <v>46299.878067129626</v>
      </c>
      <c r="O143" s="15">
        <v>370</v>
      </c>
      <c r="P143" s="13" t="s">
        <v>25</v>
      </c>
      <c r="Q143" s="15">
        <v>40</v>
      </c>
      <c r="R143" s="3" t="str">
        <f>IF(OR(G143="12R",G143="12L"),_xlfn.XLOOKUP(C143,Tabla42[ADEP],Tabla42[SID 12R],""),IF(OR(G143="30L",G143="30R"),_xlfn.XLOOKUP(C143,Tabla42[ADEP],Tabla42[SID 30L],""),""))</f>
        <v>OMSUK</v>
      </c>
      <c r="S143" s="3">
        <f t="shared" si="2"/>
        <v>20</v>
      </c>
      <c r="T143" s="3" t="str">
        <f>_xlfn.XLOOKUP(C143,Tabla42[ADEP],Tabla42[Sector],"")</f>
        <v>Sector 3</v>
      </c>
    </row>
    <row r="144" spans="1:20" x14ac:dyDescent="0.2">
      <c r="A144" s="13" t="s">
        <v>278</v>
      </c>
      <c r="B144" s="13" t="s">
        <v>18</v>
      </c>
      <c r="C144" s="13" t="s">
        <v>265</v>
      </c>
      <c r="D144" s="13" t="s">
        <v>33</v>
      </c>
      <c r="E144" s="13" t="s">
        <v>754</v>
      </c>
      <c r="F144" s="14">
        <v>46299.860023148147</v>
      </c>
      <c r="G144" s="13" t="s">
        <v>21</v>
      </c>
      <c r="H144" s="13" t="s">
        <v>1936</v>
      </c>
      <c r="I144" s="15">
        <v>360</v>
      </c>
      <c r="J144" s="13" t="s">
        <v>22</v>
      </c>
      <c r="K144" s="13" t="s">
        <v>23</v>
      </c>
      <c r="L144" s="15">
        <v>875</v>
      </c>
      <c r="M144" s="13" t="s">
        <v>167</v>
      </c>
      <c r="N144" s="14">
        <v>46299.905543981484</v>
      </c>
      <c r="O144" s="15">
        <v>360</v>
      </c>
      <c r="P144" s="13" t="s">
        <v>25</v>
      </c>
      <c r="Q144" s="15">
        <v>190</v>
      </c>
      <c r="R144" s="3" t="str">
        <f>IF(OR(G144="12R",G144="12L"),_xlfn.XLOOKUP(C144,Tabla42[ADEP],Tabla42[SID 12R],""),IF(OR(G144="30L",G144="30R"),_xlfn.XLOOKUP(C144,Tabla42[ADEP],Tabla42[SID 30L],""),""))</f>
        <v>UDGUV</v>
      </c>
      <c r="S144" s="3">
        <f t="shared" si="2"/>
        <v>20</v>
      </c>
      <c r="T144" s="3" t="str">
        <f>_xlfn.XLOOKUP(C144,Tabla42[ADEP],Tabla42[Sector],"")</f>
        <v>Sector 2</v>
      </c>
    </row>
    <row r="145" spans="1:20" x14ac:dyDescent="0.2">
      <c r="A145" s="13" t="s">
        <v>399</v>
      </c>
      <c r="B145" s="13" t="s">
        <v>18</v>
      </c>
      <c r="C145" s="13" t="s">
        <v>400</v>
      </c>
      <c r="D145" s="13" t="s">
        <v>33</v>
      </c>
      <c r="E145" s="13" t="s">
        <v>551</v>
      </c>
      <c r="F145" s="14">
        <v>46299.865659722222</v>
      </c>
      <c r="G145" s="13" t="s">
        <v>21</v>
      </c>
      <c r="H145" s="13" t="s">
        <v>1937</v>
      </c>
      <c r="I145" s="15">
        <v>380</v>
      </c>
      <c r="J145" s="13" t="s">
        <v>22</v>
      </c>
      <c r="K145" s="13" t="s">
        <v>23</v>
      </c>
      <c r="L145" s="15">
        <v>878</v>
      </c>
      <c r="M145" s="13" t="s">
        <v>167</v>
      </c>
      <c r="N145" s="14">
        <v>46299.911469907413</v>
      </c>
      <c r="O145" s="15">
        <v>380</v>
      </c>
      <c r="P145" s="13" t="s">
        <v>25</v>
      </c>
      <c r="Q145" s="15">
        <v>190</v>
      </c>
      <c r="R145" s="3" t="str">
        <f>IF(OR(G145="12R",G145="12L"),_xlfn.XLOOKUP(C145,Tabla42[ADEP],Tabla42[SID 12R],""),IF(OR(G145="30L",G145="30R"),_xlfn.XLOOKUP(C145,Tabla42[ADEP],Tabla42[SID 30L],""),""))</f>
        <v>UDGUV</v>
      </c>
      <c r="S145" s="3">
        <f t="shared" si="2"/>
        <v>20</v>
      </c>
      <c r="T145" s="3" t="str">
        <f>_xlfn.XLOOKUP(C145,Tabla42[ADEP],Tabla42[Sector],"")</f>
        <v>Sector 2</v>
      </c>
    </row>
    <row r="146" spans="1:20" x14ac:dyDescent="0.2">
      <c r="A146" s="13" t="s">
        <v>292</v>
      </c>
      <c r="B146" s="13" t="s">
        <v>18</v>
      </c>
      <c r="C146" s="13" t="s">
        <v>293</v>
      </c>
      <c r="D146" s="13" t="s">
        <v>43</v>
      </c>
      <c r="E146" s="13" t="s">
        <v>428</v>
      </c>
      <c r="F146" s="14">
        <v>46299.867013888885</v>
      </c>
      <c r="G146" s="13" t="s">
        <v>21</v>
      </c>
      <c r="H146" s="13" t="s">
        <v>1938</v>
      </c>
      <c r="I146" s="15">
        <v>320</v>
      </c>
      <c r="J146" s="13" t="s">
        <v>22</v>
      </c>
      <c r="K146" s="13" t="s">
        <v>23</v>
      </c>
      <c r="L146" s="15">
        <v>887</v>
      </c>
      <c r="M146" s="13" t="s">
        <v>695</v>
      </c>
      <c r="N146" s="14">
        <v>46299.910451388889</v>
      </c>
      <c r="O146" s="15">
        <v>340</v>
      </c>
      <c r="P146" s="13" t="s">
        <v>25</v>
      </c>
      <c r="Q146" s="15">
        <v>190</v>
      </c>
      <c r="R146" s="3" t="str">
        <f>IF(OR(G146="12R",G146="12L"),_xlfn.XLOOKUP(C146,Tabla42[ADEP],Tabla42[SID 12R],""),IF(OR(G146="30L",G146="30R"),_xlfn.XLOOKUP(C146,Tabla42[ADEP],Tabla42[SID 30L],""),""))</f>
        <v>UDGUV</v>
      </c>
      <c r="S146" s="3">
        <f t="shared" si="2"/>
        <v>20</v>
      </c>
      <c r="T146" s="3" t="str">
        <f>_xlfn.XLOOKUP(C146,Tabla42[ADEP],Tabla42[Sector],"")</f>
        <v>Sector 2</v>
      </c>
    </row>
    <row r="147" spans="1:20" x14ac:dyDescent="0.2">
      <c r="A147" s="13" t="s">
        <v>307</v>
      </c>
      <c r="B147" s="13" t="s">
        <v>18</v>
      </c>
      <c r="C147" s="13" t="s">
        <v>190</v>
      </c>
      <c r="D147" s="13" t="s">
        <v>33</v>
      </c>
      <c r="E147" s="13" t="s">
        <v>719</v>
      </c>
      <c r="F147" s="14">
        <v>46299.867673611108</v>
      </c>
      <c r="G147" s="13" t="s">
        <v>21</v>
      </c>
      <c r="H147" s="13" t="s">
        <v>1939</v>
      </c>
      <c r="I147" s="15">
        <v>290</v>
      </c>
      <c r="J147" s="13" t="s">
        <v>22</v>
      </c>
      <c r="K147" s="13" t="s">
        <v>23</v>
      </c>
      <c r="L147" s="15">
        <v>142</v>
      </c>
      <c r="M147" s="13" t="s">
        <v>588</v>
      </c>
      <c r="N147" s="14">
        <v>46299.87699074074</v>
      </c>
      <c r="O147" s="15">
        <v>231</v>
      </c>
      <c r="P147" s="13" t="s">
        <v>25</v>
      </c>
      <c r="Q147" s="15">
        <v>190</v>
      </c>
      <c r="R147" s="3" t="str">
        <f>IF(OR(G147="12R",G147="12L"),_xlfn.XLOOKUP(C147,Tabla42[ADEP],Tabla42[SID 12R],""),IF(OR(G147="30L",G147="30R"),_xlfn.XLOOKUP(C147,Tabla42[ADEP],Tabla42[SID 30L],""),""))</f>
        <v>NUDAL</v>
      </c>
      <c r="S147" s="3">
        <f t="shared" si="2"/>
        <v>20</v>
      </c>
      <c r="T147" s="3" t="str">
        <f>_xlfn.XLOOKUP(C147,Tabla42[ADEP],Tabla42[Sector],"")</f>
        <v>Sector 3</v>
      </c>
    </row>
    <row r="148" spans="1:20" x14ac:dyDescent="0.2">
      <c r="A148" s="13" t="s">
        <v>264</v>
      </c>
      <c r="B148" s="13" t="s">
        <v>18</v>
      </c>
      <c r="C148" s="13" t="s">
        <v>265</v>
      </c>
      <c r="D148" s="13" t="s">
        <v>33</v>
      </c>
      <c r="E148" s="13" t="s">
        <v>574</v>
      </c>
      <c r="F148" s="14">
        <v>46299.87122685185</v>
      </c>
      <c r="G148" s="13" t="s">
        <v>21</v>
      </c>
      <c r="H148" s="13" t="s">
        <v>1940</v>
      </c>
      <c r="I148" s="15">
        <v>380</v>
      </c>
      <c r="J148" s="13" t="s">
        <v>22</v>
      </c>
      <c r="K148" s="13" t="s">
        <v>23</v>
      </c>
      <c r="L148" s="15">
        <v>870</v>
      </c>
      <c r="M148" s="13" t="s">
        <v>167</v>
      </c>
      <c r="N148" s="14">
        <v>46299.915995370371</v>
      </c>
      <c r="O148" s="15">
        <v>380</v>
      </c>
      <c r="P148" s="13" t="s">
        <v>25</v>
      </c>
      <c r="Q148" s="15">
        <v>190</v>
      </c>
      <c r="R148" s="3" t="str">
        <f>IF(OR(G148="12R",G148="12L"),_xlfn.XLOOKUP(C148,Tabla42[ADEP],Tabla42[SID 12R],""),IF(OR(G148="30L",G148="30R"),_xlfn.XLOOKUP(C148,Tabla42[ADEP],Tabla42[SID 30L],""),""))</f>
        <v>UDGUV</v>
      </c>
      <c r="S148" s="3">
        <f t="shared" si="2"/>
        <v>20</v>
      </c>
      <c r="T148" s="3" t="str">
        <f>_xlfn.XLOOKUP(C148,Tabla42[ADEP],Tabla42[Sector],"")</f>
        <v>Sector 2</v>
      </c>
    </row>
    <row r="149" spans="1:20" x14ac:dyDescent="0.2">
      <c r="A149" s="13" t="s">
        <v>282</v>
      </c>
      <c r="B149" s="13" t="s">
        <v>18</v>
      </c>
      <c r="C149" s="13" t="s">
        <v>42</v>
      </c>
      <c r="D149" s="13" t="s">
        <v>20</v>
      </c>
      <c r="E149" s="13" t="s">
        <v>710</v>
      </c>
      <c r="F149" s="14">
        <v>46299.874895833331</v>
      </c>
      <c r="G149" s="13" t="s">
        <v>21</v>
      </c>
      <c r="H149" s="13" t="s">
        <v>1941</v>
      </c>
      <c r="I149" s="15">
        <v>340</v>
      </c>
      <c r="J149" s="13" t="s">
        <v>22</v>
      </c>
      <c r="K149" s="13" t="s">
        <v>23</v>
      </c>
      <c r="L149" s="15">
        <v>906</v>
      </c>
      <c r="M149" s="13" t="s">
        <v>45</v>
      </c>
      <c r="N149" s="14">
        <v>46299.922789351855</v>
      </c>
      <c r="O149" s="15">
        <v>340</v>
      </c>
      <c r="P149" s="13" t="s">
        <v>25</v>
      </c>
      <c r="Q149" s="15">
        <v>190</v>
      </c>
      <c r="R149" s="3" t="str">
        <f>IF(OR(G149="12R",G149="12L"),_xlfn.XLOOKUP(C149,Tabla42[ADEP],Tabla42[SID 12R],""),IF(OR(G149="30L",G149="30R"),_xlfn.XLOOKUP(C149,Tabla42[ADEP],Tabla42[SID 30L],""),""))</f>
        <v>UDGUV</v>
      </c>
      <c r="S149" s="3">
        <f t="shared" si="2"/>
        <v>20</v>
      </c>
      <c r="T149" s="3" t="str">
        <f>_xlfn.XLOOKUP(C149,Tabla42[ADEP],Tabla42[Sector],"")</f>
        <v>Sector 2</v>
      </c>
    </row>
    <row r="150" spans="1:20" x14ac:dyDescent="0.2">
      <c r="A150" s="13" t="s">
        <v>294</v>
      </c>
      <c r="B150" s="13" t="s">
        <v>18</v>
      </c>
      <c r="C150" s="13" t="s">
        <v>128</v>
      </c>
      <c r="D150" s="13" t="s">
        <v>43</v>
      </c>
      <c r="E150" s="13" t="s">
        <v>548</v>
      </c>
      <c r="F150" s="14">
        <v>46299.875787037032</v>
      </c>
      <c r="G150" s="13" t="s">
        <v>21</v>
      </c>
      <c r="H150" s="13" t="s">
        <v>1942</v>
      </c>
      <c r="I150" s="15">
        <v>330</v>
      </c>
      <c r="J150" s="13" t="s">
        <v>22</v>
      </c>
      <c r="K150" s="13" t="s">
        <v>23</v>
      </c>
      <c r="L150" s="15">
        <v>359</v>
      </c>
      <c r="M150" s="13" t="s">
        <v>30</v>
      </c>
      <c r="N150" s="14">
        <v>46299.896215277782</v>
      </c>
      <c r="O150" s="15">
        <v>330</v>
      </c>
      <c r="P150" s="13" t="s">
        <v>25</v>
      </c>
      <c r="Q150" s="15">
        <v>40</v>
      </c>
      <c r="R150" s="3" t="str">
        <f>IF(OR(G150="12R",G150="12L"),_xlfn.XLOOKUP(C150,Tabla42[ADEP],Tabla42[SID 12R],""),IF(OR(G150="30L",G150="30R"),_xlfn.XLOOKUP(C150,Tabla42[ADEP],Tabla42[SID 30L],""),""))</f>
        <v>OMSUK</v>
      </c>
      <c r="S150" s="3">
        <f t="shared" si="2"/>
        <v>21</v>
      </c>
      <c r="T150" s="3" t="str">
        <f>_xlfn.XLOOKUP(C150,Tabla42[ADEP],Tabla42[Sector],"")</f>
        <v>Sector 3</v>
      </c>
    </row>
    <row r="151" spans="1:20" x14ac:dyDescent="0.2">
      <c r="A151" s="13" t="s">
        <v>1943</v>
      </c>
      <c r="B151" s="13" t="s">
        <v>18</v>
      </c>
      <c r="C151" s="13" t="s">
        <v>49</v>
      </c>
      <c r="D151" s="13" t="s">
        <v>124</v>
      </c>
      <c r="E151" s="13"/>
      <c r="F151" s="14">
        <v>46299.877060185187</v>
      </c>
      <c r="G151" s="13" t="s">
        <v>21</v>
      </c>
      <c r="H151" s="13" t="s">
        <v>1944</v>
      </c>
      <c r="I151" s="15">
        <v>280</v>
      </c>
      <c r="J151" s="13" t="s">
        <v>22</v>
      </c>
      <c r="K151" s="13" t="s">
        <v>50</v>
      </c>
      <c r="L151" s="15">
        <v>900</v>
      </c>
      <c r="M151" s="13" t="s">
        <v>1945</v>
      </c>
      <c r="N151" s="14">
        <v>46299.927476851852</v>
      </c>
      <c r="O151" s="15">
        <v>280</v>
      </c>
      <c r="P151" s="13" t="s">
        <v>25</v>
      </c>
      <c r="Q151" s="15">
        <v>30</v>
      </c>
      <c r="R151" s="3" t="str">
        <f>IF(OR(G151="12R",G151="12L"),_xlfn.XLOOKUP(C151,Tabla42[ADEP],Tabla42[SID 12R],""),IF(OR(G151="30L",G151="30R"),_xlfn.XLOOKUP(C151,Tabla42[ADEP],Tabla42[SID 30L],""),""))</f>
        <v>UDGUV</v>
      </c>
      <c r="S151" s="3">
        <f t="shared" si="2"/>
        <v>21</v>
      </c>
      <c r="T151" s="3" t="str">
        <f>_xlfn.XLOOKUP(C151,Tabla42[ADEP],Tabla42[Sector],"")</f>
        <v>Sector 2</v>
      </c>
    </row>
    <row r="152" spans="1:20" x14ac:dyDescent="0.2">
      <c r="A152" s="13" t="s">
        <v>467</v>
      </c>
      <c r="B152" s="13" t="s">
        <v>18</v>
      </c>
      <c r="C152" s="13" t="s">
        <v>184</v>
      </c>
      <c r="D152" s="13" t="s">
        <v>60</v>
      </c>
      <c r="E152" s="13" t="s">
        <v>572</v>
      </c>
      <c r="F152" s="14">
        <v>46299.878206018519</v>
      </c>
      <c r="G152" s="13" t="s">
        <v>21</v>
      </c>
      <c r="H152" s="13" t="s">
        <v>1946</v>
      </c>
      <c r="I152" s="15">
        <v>350</v>
      </c>
      <c r="J152" s="13" t="s">
        <v>22</v>
      </c>
      <c r="K152" s="13" t="s">
        <v>23</v>
      </c>
      <c r="L152" s="15">
        <v>359</v>
      </c>
      <c r="M152" s="13" t="s">
        <v>30</v>
      </c>
      <c r="N152" s="14">
        <v>46299.8987962963</v>
      </c>
      <c r="O152" s="15">
        <v>310</v>
      </c>
      <c r="P152" s="13" t="s">
        <v>25</v>
      </c>
      <c r="Q152" s="15">
        <v>40</v>
      </c>
      <c r="R152" s="3" t="str">
        <f>IF(OR(G152="12R",G152="12L"),_xlfn.XLOOKUP(C152,Tabla42[ADEP],Tabla42[SID 12R],""),IF(OR(G152="30L",G152="30R"),_xlfn.XLOOKUP(C152,Tabla42[ADEP],Tabla42[SID 30L],""),""))</f>
        <v>OMSUK</v>
      </c>
      <c r="S152" s="3">
        <f t="shared" si="2"/>
        <v>21</v>
      </c>
      <c r="T152" s="3" t="str">
        <f>_xlfn.XLOOKUP(C152,Tabla42[ADEP],Tabla42[Sector],"")</f>
        <v>Sector 3</v>
      </c>
    </row>
    <row r="153" spans="1:20" x14ac:dyDescent="0.2">
      <c r="A153" s="13" t="s">
        <v>469</v>
      </c>
      <c r="B153" s="13" t="s">
        <v>18</v>
      </c>
      <c r="C153" s="13" t="s">
        <v>42</v>
      </c>
      <c r="D153" s="13" t="s">
        <v>43</v>
      </c>
      <c r="E153" s="13" t="s">
        <v>44</v>
      </c>
      <c r="F153" s="14">
        <v>46299.879398148143</v>
      </c>
      <c r="G153" s="13" t="s">
        <v>21</v>
      </c>
      <c r="H153" s="13" t="s">
        <v>1947</v>
      </c>
      <c r="I153" s="15">
        <v>360</v>
      </c>
      <c r="J153" s="13" t="s">
        <v>22</v>
      </c>
      <c r="K153" s="13" t="s">
        <v>23</v>
      </c>
      <c r="L153" s="15">
        <v>901</v>
      </c>
      <c r="M153" s="13" t="s">
        <v>45</v>
      </c>
      <c r="N153" s="14">
        <v>46299.926180555558</v>
      </c>
      <c r="O153" s="15">
        <v>360</v>
      </c>
      <c r="P153" s="13" t="s">
        <v>25</v>
      </c>
      <c r="Q153" s="15">
        <v>190</v>
      </c>
      <c r="R153" s="3" t="str">
        <f>IF(OR(G153="12R",G153="12L"),_xlfn.XLOOKUP(C153,Tabla42[ADEP],Tabla42[SID 12R],""),IF(OR(G153="30L",G153="30R"),_xlfn.XLOOKUP(C153,Tabla42[ADEP],Tabla42[SID 30L],""),""))</f>
        <v>UDGUV</v>
      </c>
      <c r="S153" s="3">
        <f t="shared" si="2"/>
        <v>21</v>
      </c>
      <c r="T153" s="3" t="str">
        <f>_xlfn.XLOOKUP(C153,Tabla42[ADEP],Tabla42[Sector],"")</f>
        <v>Sector 2</v>
      </c>
    </row>
    <row r="154" spans="1:20" x14ac:dyDescent="0.2">
      <c r="A154" s="13" t="s">
        <v>289</v>
      </c>
      <c r="B154" s="13" t="s">
        <v>18</v>
      </c>
      <c r="C154" s="13" t="s">
        <v>290</v>
      </c>
      <c r="D154" s="13" t="s">
        <v>33</v>
      </c>
      <c r="E154" s="13" t="s">
        <v>707</v>
      </c>
      <c r="F154" s="14">
        <v>46299.880659722221</v>
      </c>
      <c r="G154" s="13" t="s">
        <v>21</v>
      </c>
      <c r="H154" s="13" t="s">
        <v>1948</v>
      </c>
      <c r="I154" s="15">
        <v>330</v>
      </c>
      <c r="J154" s="13" t="s">
        <v>22</v>
      </c>
      <c r="K154" s="13" t="s">
        <v>23</v>
      </c>
      <c r="L154" s="15">
        <v>149</v>
      </c>
      <c r="M154" s="13" t="s">
        <v>111</v>
      </c>
      <c r="N154" s="14">
        <v>46299.891666666663</v>
      </c>
      <c r="O154" s="15">
        <v>234</v>
      </c>
      <c r="P154" s="13" t="s">
        <v>25</v>
      </c>
      <c r="Q154" s="15">
        <v>190</v>
      </c>
      <c r="R154" s="3" t="str">
        <f>IF(OR(G154="12R",G154="12L"),_xlfn.XLOOKUP(C154,Tabla42[ADEP],Tabla42[SID 12R],""),IF(OR(G154="30L",G154="30R"),_xlfn.XLOOKUP(C154,Tabla42[ADEP],Tabla42[SID 30L],""),""))</f>
        <v>CZM</v>
      </c>
      <c r="S154" s="3">
        <f t="shared" si="2"/>
        <v>21</v>
      </c>
      <c r="T154" s="3" t="str">
        <f>_xlfn.XLOOKUP(C154,Tabla42[ADEP],Tabla42[Sector],"")</f>
        <v>Sector 7</v>
      </c>
    </row>
    <row r="155" spans="1:20" x14ac:dyDescent="0.2">
      <c r="A155" s="13" t="s">
        <v>1280</v>
      </c>
      <c r="B155" s="13" t="s">
        <v>18</v>
      </c>
      <c r="C155" s="13" t="s">
        <v>742</v>
      </c>
      <c r="D155" s="13" t="s">
        <v>28</v>
      </c>
      <c r="E155" s="13" t="s">
        <v>1949</v>
      </c>
      <c r="F155" s="14">
        <v>46299.882384259261</v>
      </c>
      <c r="G155" s="13" t="s">
        <v>21</v>
      </c>
      <c r="H155" s="13" t="s">
        <v>1950</v>
      </c>
      <c r="I155" s="15">
        <v>360</v>
      </c>
      <c r="J155" s="13" t="s">
        <v>22</v>
      </c>
      <c r="K155" s="13" t="s">
        <v>23</v>
      </c>
      <c r="L155" s="15">
        <v>535</v>
      </c>
      <c r="M155" s="13" t="s">
        <v>123</v>
      </c>
      <c r="N155" s="14">
        <v>46299.909583333334</v>
      </c>
      <c r="O155" s="15">
        <v>360</v>
      </c>
      <c r="P155" s="13" t="s">
        <v>25</v>
      </c>
      <c r="Q155" s="15">
        <v>40</v>
      </c>
      <c r="R155" s="3" t="str">
        <f>IF(OR(G155="12R",G155="12L"),_xlfn.XLOOKUP(C155,Tabla42[ADEP],Tabla42[SID 12R],""),IF(OR(G155="30L",G155="30R"),_xlfn.XLOOKUP(C155,Tabla42[ADEP],Tabla42[SID 30L],""),""))</f>
        <v>UDGUV</v>
      </c>
      <c r="S155" s="3">
        <f t="shared" si="2"/>
        <v>21</v>
      </c>
      <c r="T155" s="3" t="str">
        <f>_xlfn.XLOOKUP(C155,Tabla42[ADEP],Tabla42[Sector],"")</f>
        <v>Sector 2</v>
      </c>
    </row>
    <row r="156" spans="1:20" x14ac:dyDescent="0.2">
      <c r="A156" t="s">
        <v>475</v>
      </c>
      <c r="B156" t="s">
        <v>18</v>
      </c>
      <c r="C156" t="s">
        <v>293</v>
      </c>
      <c r="D156" t="s">
        <v>122</v>
      </c>
      <c r="E156" t="s">
        <v>533</v>
      </c>
      <c r="F156" s="2">
        <v>46299.88480324074</v>
      </c>
      <c r="G156" t="s">
        <v>21</v>
      </c>
      <c r="H156" t="s">
        <v>1951</v>
      </c>
      <c r="I156" s="3">
        <v>360</v>
      </c>
      <c r="J156" t="s">
        <v>22</v>
      </c>
      <c r="K156" t="s">
        <v>23</v>
      </c>
      <c r="L156" s="3">
        <v>528</v>
      </c>
      <c r="M156" t="s">
        <v>123</v>
      </c>
      <c r="N156" s="2">
        <v>46299.911643518513</v>
      </c>
      <c r="O156" s="3">
        <v>300</v>
      </c>
      <c r="P156" t="s">
        <v>25</v>
      </c>
      <c r="Q156" s="3">
        <v>40</v>
      </c>
      <c r="R156" s="3" t="str">
        <f>IF(OR(G156="12R",G156="12L"),_xlfn.XLOOKUP(C156,Tabla42[ADEP],Tabla42[SID 12R],""),IF(OR(G156="30L",G156="30R"),_xlfn.XLOOKUP(C156,Tabla42[ADEP],Tabla42[SID 30L],""),""))</f>
        <v>UDGUV</v>
      </c>
      <c r="S156" s="3">
        <f t="shared" si="2"/>
        <v>21</v>
      </c>
      <c r="T156" s="3" t="str">
        <f>_xlfn.XLOOKUP(C156,Tabla42[ADEP],Tabla42[Sector],"")</f>
        <v>Sector 2</v>
      </c>
    </row>
    <row r="157" spans="1:20" x14ac:dyDescent="0.2">
      <c r="A157" t="s">
        <v>302</v>
      </c>
      <c r="B157" t="s">
        <v>18</v>
      </c>
      <c r="C157" t="s">
        <v>303</v>
      </c>
      <c r="D157" t="s">
        <v>28</v>
      </c>
      <c r="E157" t="s">
        <v>994</v>
      </c>
      <c r="F157" s="2">
        <v>46299.886620370366</v>
      </c>
      <c r="G157" t="s">
        <v>21</v>
      </c>
      <c r="H157" t="s">
        <v>1952</v>
      </c>
      <c r="I157" s="3">
        <v>360</v>
      </c>
      <c r="J157" t="s">
        <v>22</v>
      </c>
      <c r="K157" t="s">
        <v>23</v>
      </c>
      <c r="L157" s="3">
        <v>569</v>
      </c>
      <c r="M157" t="s">
        <v>123</v>
      </c>
      <c r="N157" s="2">
        <v>46299.917499999996</v>
      </c>
      <c r="O157" s="3">
        <v>360</v>
      </c>
      <c r="P157" t="s">
        <v>25</v>
      </c>
      <c r="Q157" s="3">
        <v>40</v>
      </c>
      <c r="R157" s="3" t="str">
        <f>IF(OR(G157="12R",G157="12L"),_xlfn.XLOOKUP(C157,Tabla42[ADEP],Tabla42[SID 12R],""),IF(OR(G157="30L",G157="30R"),_xlfn.XLOOKUP(C157,Tabla42[ADEP],Tabla42[SID 30L],""),""))</f>
        <v>OMSUK</v>
      </c>
      <c r="S157" s="3">
        <f t="shared" si="2"/>
        <v>21</v>
      </c>
      <c r="T157" s="3" t="str">
        <f>_xlfn.XLOOKUP(C157,Tabla42[ADEP],Tabla42[Sector],"")</f>
        <v>Sector 3</v>
      </c>
    </row>
    <row r="158" spans="1:20" x14ac:dyDescent="0.2">
      <c r="A158" t="s">
        <v>765</v>
      </c>
      <c r="B158" t="s">
        <v>18</v>
      </c>
      <c r="C158" t="s">
        <v>158</v>
      </c>
      <c r="D158" t="s">
        <v>60</v>
      </c>
      <c r="E158" t="s">
        <v>1953</v>
      </c>
      <c r="F158" s="2">
        <v>46299.888043981482</v>
      </c>
      <c r="G158" t="s">
        <v>21</v>
      </c>
      <c r="H158" t="s">
        <v>442</v>
      </c>
      <c r="I158" s="3">
        <v>350</v>
      </c>
      <c r="J158" t="s">
        <v>22</v>
      </c>
      <c r="K158" t="s">
        <v>23</v>
      </c>
      <c r="L158" s="3">
        <v>359</v>
      </c>
      <c r="M158" t="s">
        <v>30</v>
      </c>
      <c r="N158" s="2">
        <v>46299.907662037032</v>
      </c>
      <c r="O158" s="3">
        <v>315</v>
      </c>
      <c r="P158" t="s">
        <v>25</v>
      </c>
      <c r="Q158" s="3">
        <v>40</v>
      </c>
      <c r="R158" s="3" t="str">
        <f>IF(OR(G158="12R",G158="12L"),_xlfn.XLOOKUP(C158,Tabla42[ADEP],Tabla42[SID 12R],""),IF(OR(G158="30L",G158="30R"),_xlfn.XLOOKUP(C158,Tabla42[ADEP],Tabla42[SID 30L],""),""))</f>
        <v>OMSUK</v>
      </c>
      <c r="S158" s="3">
        <f t="shared" si="2"/>
        <v>21</v>
      </c>
      <c r="T158" s="3" t="str">
        <f>_xlfn.XLOOKUP(C158,Tabla42[ADEP],Tabla42[Sector],"")</f>
        <v>Sector 3</v>
      </c>
    </row>
    <row r="159" spans="1:20" x14ac:dyDescent="0.2">
      <c r="A159" t="s">
        <v>299</v>
      </c>
      <c r="B159" t="s">
        <v>18</v>
      </c>
      <c r="C159" t="s">
        <v>300</v>
      </c>
      <c r="D159" t="s">
        <v>117</v>
      </c>
      <c r="E159" t="s">
        <v>479</v>
      </c>
      <c r="F159" s="2">
        <v>46299.889456018514</v>
      </c>
      <c r="G159" t="s">
        <v>21</v>
      </c>
      <c r="H159" t="s">
        <v>1954</v>
      </c>
      <c r="I159" s="3">
        <v>320</v>
      </c>
      <c r="J159" t="s">
        <v>22</v>
      </c>
      <c r="K159" t="s">
        <v>23</v>
      </c>
      <c r="L159" s="3">
        <v>586</v>
      </c>
      <c r="M159" t="s">
        <v>123</v>
      </c>
      <c r="N159" s="2">
        <v>46299.919849537036</v>
      </c>
      <c r="O159" s="3">
        <v>300</v>
      </c>
      <c r="P159" t="s">
        <v>25</v>
      </c>
      <c r="Q159" s="3">
        <v>40</v>
      </c>
      <c r="R159" s="3" t="str">
        <f>IF(OR(G159="12R",G159="12L"),_xlfn.XLOOKUP(C159,Tabla42[ADEP],Tabla42[SID 12R],""),IF(OR(G159="30L",G159="30R"),_xlfn.XLOOKUP(C159,Tabla42[ADEP],Tabla42[SID 30L],""),""))</f>
        <v>OMSUK</v>
      </c>
      <c r="S159" s="3">
        <f t="shared" si="2"/>
        <v>21</v>
      </c>
      <c r="T159" s="3" t="str">
        <f>_xlfn.XLOOKUP(C159,Tabla42[ADEP],Tabla42[Sector],"")</f>
        <v>Sector 3</v>
      </c>
    </row>
    <row r="160" spans="1:20" x14ac:dyDescent="0.2">
      <c r="A160" t="s">
        <v>673</v>
      </c>
      <c r="B160" t="s">
        <v>18</v>
      </c>
      <c r="C160" t="s">
        <v>137</v>
      </c>
      <c r="D160" t="s">
        <v>340</v>
      </c>
      <c r="E160" t="s">
        <v>644</v>
      </c>
      <c r="F160" s="2">
        <v>46299.891006944439</v>
      </c>
      <c r="G160" t="s">
        <v>21</v>
      </c>
      <c r="H160" t="s">
        <v>386</v>
      </c>
      <c r="I160" s="3">
        <v>410</v>
      </c>
      <c r="J160" t="s">
        <v>22</v>
      </c>
      <c r="K160" t="s">
        <v>23</v>
      </c>
      <c r="L160" s="3">
        <v>136</v>
      </c>
      <c r="M160" t="s">
        <v>39</v>
      </c>
      <c r="N160" s="2">
        <v>46299.900590277779</v>
      </c>
      <c r="O160" s="3">
        <v>287</v>
      </c>
      <c r="P160" t="s">
        <v>40</v>
      </c>
      <c r="Q160" s="3">
        <v>190</v>
      </c>
      <c r="R160" s="3" t="str">
        <f>IF(OR(G160="12R",G160="12L"),_xlfn.XLOOKUP(C160,Tabla42[ADEP],Tabla42[SID 12R],""),IF(OR(G160="30L",G160="30R"),_xlfn.XLOOKUP(C160,Tabla42[ADEP],Tabla42[SID 30L],""),""))</f>
        <v>NUDAL</v>
      </c>
      <c r="S160" s="3">
        <f t="shared" si="2"/>
        <v>21</v>
      </c>
      <c r="T160" s="3" t="str">
        <f>_xlfn.XLOOKUP(C160,Tabla42[ADEP],Tabla42[Sector],"")</f>
        <v>Sector 3</v>
      </c>
    </row>
    <row r="161" spans="1:20" x14ac:dyDescent="0.2">
      <c r="A161" t="s">
        <v>296</v>
      </c>
      <c r="B161" t="s">
        <v>18</v>
      </c>
      <c r="C161" t="s">
        <v>121</v>
      </c>
      <c r="D161" t="s">
        <v>60</v>
      </c>
      <c r="E161" t="s">
        <v>688</v>
      </c>
      <c r="F161" s="2">
        <v>46299.892951388887</v>
      </c>
      <c r="G161" t="s">
        <v>21</v>
      </c>
      <c r="H161" t="s">
        <v>1955</v>
      </c>
      <c r="I161" s="3">
        <v>360</v>
      </c>
      <c r="J161" t="s">
        <v>22</v>
      </c>
      <c r="K161" t="s">
        <v>23</v>
      </c>
      <c r="L161" s="3">
        <v>560</v>
      </c>
      <c r="M161" t="s">
        <v>123</v>
      </c>
      <c r="N161" s="2">
        <v>46299.922048611115</v>
      </c>
      <c r="O161" s="3">
        <v>281</v>
      </c>
      <c r="P161" t="s">
        <v>25</v>
      </c>
      <c r="Q161" s="3">
        <v>40</v>
      </c>
      <c r="R161" s="3" t="str">
        <f>IF(OR(G161="12R",G161="12L"),_xlfn.XLOOKUP(C161,Tabla42[ADEP],Tabla42[SID 12R],""),IF(OR(G161="30L",G161="30R"),_xlfn.XLOOKUP(C161,Tabla42[ADEP],Tabla42[SID 30L],""),""))</f>
        <v>ENEBA</v>
      </c>
      <c r="S161" s="3">
        <f t="shared" si="2"/>
        <v>21</v>
      </c>
      <c r="T161" s="3" t="str">
        <f>_xlfn.XLOOKUP(C161,Tabla42[ADEP],Tabla42[Sector],"")</f>
        <v>Sector 3</v>
      </c>
    </row>
    <row r="162" spans="1:20" x14ac:dyDescent="0.2">
      <c r="A162" t="s">
        <v>1956</v>
      </c>
      <c r="B162" t="s">
        <v>18</v>
      </c>
      <c r="C162" t="s">
        <v>353</v>
      </c>
      <c r="D162" t="s">
        <v>1050</v>
      </c>
      <c r="E162" t="s">
        <v>1957</v>
      </c>
      <c r="F162" s="2">
        <v>46299.894305555557</v>
      </c>
      <c r="G162" t="s">
        <v>21</v>
      </c>
      <c r="H162" t="s">
        <v>1958</v>
      </c>
      <c r="I162" s="3">
        <v>410</v>
      </c>
      <c r="J162" t="s">
        <v>22</v>
      </c>
      <c r="K162" t="s">
        <v>141</v>
      </c>
      <c r="L162" s="3">
        <v>215</v>
      </c>
      <c r="M162" t="s">
        <v>355</v>
      </c>
      <c r="N162" s="2">
        <v>46299.908310185187</v>
      </c>
      <c r="O162" s="3">
        <v>299</v>
      </c>
      <c r="P162" t="s">
        <v>25</v>
      </c>
      <c r="Q162" s="3">
        <v>40</v>
      </c>
      <c r="R162" s="3" t="str">
        <f>IF(OR(G162="12R",G162="12L"),_xlfn.XLOOKUP(C162,Tabla42[ADEP],Tabla42[SID 12R],""),IF(OR(G162="30L",G162="30R"),_xlfn.XLOOKUP(C162,Tabla42[ADEP],Tabla42[SID 30L],""),""))</f>
        <v>OMSUK</v>
      </c>
      <c r="S162" s="3">
        <f t="shared" si="2"/>
        <v>21</v>
      </c>
      <c r="T162" s="3" t="str">
        <f>_xlfn.XLOOKUP(C162,Tabla42[ADEP],Tabla42[Sector],"")</f>
        <v>Sector 3</v>
      </c>
    </row>
    <row r="163" spans="1:20" x14ac:dyDescent="0.2">
      <c r="A163" t="s">
        <v>476</v>
      </c>
      <c r="B163" t="s">
        <v>18</v>
      </c>
      <c r="C163" t="s">
        <v>188</v>
      </c>
      <c r="D163" t="s">
        <v>43</v>
      </c>
      <c r="E163" t="s">
        <v>739</v>
      </c>
      <c r="F163" s="2">
        <v>46299.895682870367</v>
      </c>
      <c r="G163" t="s">
        <v>21</v>
      </c>
      <c r="H163" t="s">
        <v>1959</v>
      </c>
      <c r="I163" s="3">
        <v>320</v>
      </c>
      <c r="J163" t="s">
        <v>22</v>
      </c>
      <c r="K163" t="s">
        <v>23</v>
      </c>
      <c r="L163" s="3">
        <v>551</v>
      </c>
      <c r="M163" t="s">
        <v>123</v>
      </c>
      <c r="N163" s="2">
        <v>46299.925821759258</v>
      </c>
      <c r="O163" s="3">
        <v>310</v>
      </c>
      <c r="P163" t="s">
        <v>25</v>
      </c>
      <c r="Q163" s="3">
        <v>40</v>
      </c>
      <c r="R163" s="3" t="str">
        <f>IF(OR(G163="12R",G163="12L"),_xlfn.XLOOKUP(C163,Tabla42[ADEP],Tabla42[SID 12R],""),IF(OR(G163="30L",G163="30R"),_xlfn.XLOOKUP(C163,Tabla42[ADEP],Tabla42[SID 30L],""),""))</f>
        <v>ENEBA</v>
      </c>
      <c r="S163" s="3">
        <f t="shared" si="2"/>
        <v>21</v>
      </c>
      <c r="T163" s="3" t="str">
        <f>_xlfn.XLOOKUP(C163,Tabla42[ADEP],Tabla42[Sector],"")</f>
        <v>Sector 3</v>
      </c>
    </row>
    <row r="164" spans="1:20" x14ac:dyDescent="0.2">
      <c r="A164" t="s">
        <v>480</v>
      </c>
      <c r="B164" t="s">
        <v>18</v>
      </c>
      <c r="C164" t="s">
        <v>164</v>
      </c>
      <c r="D164" t="s">
        <v>43</v>
      </c>
      <c r="E164" t="s">
        <v>951</v>
      </c>
      <c r="F164" s="2">
        <v>46299.897048611107</v>
      </c>
      <c r="G164" t="s">
        <v>21</v>
      </c>
      <c r="H164" t="s">
        <v>1960</v>
      </c>
      <c r="I164" s="3">
        <v>330</v>
      </c>
      <c r="J164" t="s">
        <v>22</v>
      </c>
      <c r="K164" t="s">
        <v>23</v>
      </c>
      <c r="L164" s="3">
        <v>359</v>
      </c>
      <c r="M164" t="s">
        <v>30</v>
      </c>
      <c r="N164" s="2">
        <v>46299.917766203704</v>
      </c>
      <c r="O164" s="3">
        <v>330</v>
      </c>
      <c r="P164" t="s">
        <v>25</v>
      </c>
      <c r="Q164" s="3">
        <v>40</v>
      </c>
      <c r="R164" s="3" t="str">
        <f>IF(OR(G164="12R",G164="12L"),_xlfn.XLOOKUP(C164,Tabla42[ADEP],Tabla42[SID 12R],""),IF(OR(G164="30L",G164="30R"),_xlfn.XLOOKUP(C164,Tabla42[ADEP],Tabla42[SID 30L],""),""))</f>
        <v>OMSUK</v>
      </c>
      <c r="S164" s="3">
        <f t="shared" si="2"/>
        <v>21</v>
      </c>
      <c r="T164" s="3" t="str">
        <f>_xlfn.XLOOKUP(C164,Tabla42[ADEP],Tabla42[Sector],"")</f>
        <v>Sector 3</v>
      </c>
    </row>
    <row r="165" spans="1:20" x14ac:dyDescent="0.2">
      <c r="A165" t="s">
        <v>315</v>
      </c>
      <c r="B165" t="s">
        <v>18</v>
      </c>
      <c r="C165" t="s">
        <v>96</v>
      </c>
      <c r="D165" t="s">
        <v>20</v>
      </c>
      <c r="E165" t="s">
        <v>1005</v>
      </c>
      <c r="F165" s="2">
        <v>46299.898009259261</v>
      </c>
      <c r="G165" t="s">
        <v>21</v>
      </c>
      <c r="H165" t="s">
        <v>1961</v>
      </c>
      <c r="I165" s="3">
        <v>340</v>
      </c>
      <c r="J165" t="s">
        <v>22</v>
      </c>
      <c r="K165" t="s">
        <v>141</v>
      </c>
      <c r="L165" s="3">
        <v>931</v>
      </c>
      <c r="M165" t="s">
        <v>45</v>
      </c>
      <c r="N165" s="2">
        <v>46299.94363425926</v>
      </c>
      <c r="O165" s="3">
        <v>340</v>
      </c>
      <c r="P165" t="s">
        <v>25</v>
      </c>
      <c r="Q165" s="3">
        <v>190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t="s">
        <v>308</v>
      </c>
      <c r="B166" t="s">
        <v>18</v>
      </c>
      <c r="C166" t="s">
        <v>137</v>
      </c>
      <c r="D166" t="s">
        <v>28</v>
      </c>
      <c r="E166" t="s">
        <v>1962</v>
      </c>
      <c r="F166" s="2">
        <v>46299.899039351847</v>
      </c>
      <c r="G166" t="s">
        <v>21</v>
      </c>
      <c r="H166" t="s">
        <v>386</v>
      </c>
      <c r="I166" s="3">
        <v>370</v>
      </c>
      <c r="J166" t="s">
        <v>22</v>
      </c>
      <c r="K166" t="s">
        <v>23</v>
      </c>
      <c r="L166" s="3">
        <v>136</v>
      </c>
      <c r="M166" t="s">
        <v>39</v>
      </c>
      <c r="N166" s="2">
        <v>46299.908877314811</v>
      </c>
      <c r="O166" s="3">
        <v>261</v>
      </c>
      <c r="P166" t="s">
        <v>25</v>
      </c>
      <c r="Q166" s="3">
        <v>190</v>
      </c>
      <c r="R166" s="3" t="str">
        <f>IF(OR(G166="12R",G166="12L"),_xlfn.XLOOKUP(C166,Tabla42[ADEP],Tabla42[SID 12R],""),IF(OR(G166="30L",G166="30R"),_xlfn.XLOOKUP(C166,Tabla42[ADEP],Tabla42[SID 30L],""),""))</f>
        <v>NUDAL</v>
      </c>
      <c r="S166" s="3">
        <f t="shared" si="2"/>
        <v>21</v>
      </c>
      <c r="T166" s="3" t="str">
        <f>_xlfn.XLOOKUP(C166,Tabla42[ADEP],Tabla42[Sector],"")</f>
        <v>Sector 3</v>
      </c>
    </row>
    <row r="167" spans="1:20" x14ac:dyDescent="0.2">
      <c r="A167" t="s">
        <v>314</v>
      </c>
      <c r="B167" t="s">
        <v>18</v>
      </c>
      <c r="C167" t="s">
        <v>179</v>
      </c>
      <c r="D167" t="s">
        <v>33</v>
      </c>
      <c r="E167" t="s">
        <v>831</v>
      </c>
      <c r="F167" s="2">
        <v>46299.899953703702</v>
      </c>
      <c r="G167" t="s">
        <v>21</v>
      </c>
      <c r="H167" t="s">
        <v>1963</v>
      </c>
      <c r="I167" s="3">
        <v>380</v>
      </c>
      <c r="J167" t="s">
        <v>22</v>
      </c>
      <c r="K167" t="s">
        <v>23</v>
      </c>
      <c r="L167" s="3">
        <v>833</v>
      </c>
      <c r="M167" t="s">
        <v>179</v>
      </c>
      <c r="N167" s="2">
        <v>46299.945532407408</v>
      </c>
      <c r="O167" s="3">
        <v>15</v>
      </c>
      <c r="P167" t="s">
        <v>25</v>
      </c>
      <c r="Q167" s="3">
        <v>190</v>
      </c>
      <c r="R167" s="3" t="str">
        <f>IF(OR(G167="12R",G167="12L"),_xlfn.XLOOKUP(C167,Tabla42[ADEP],Tabla42[SID 12R],""),IF(OR(G167="30L",G167="30R"),_xlfn.XLOOKUP(C167,Tabla42[ADEP],Tabla42[SID 30L],""),""))</f>
        <v>UDGUV</v>
      </c>
      <c r="S167" s="3">
        <f t="shared" si="2"/>
        <v>21</v>
      </c>
      <c r="T167" s="3" t="str">
        <f>_xlfn.XLOOKUP(C167,Tabla42[ADEP],Tabla42[Sector],"")</f>
        <v>Sector 2</v>
      </c>
    </row>
    <row r="168" spans="1:20" x14ac:dyDescent="0.2">
      <c r="A168" t="s">
        <v>301</v>
      </c>
      <c r="B168" t="s">
        <v>18</v>
      </c>
      <c r="C168" t="s">
        <v>32</v>
      </c>
      <c r="D168" t="s">
        <v>53</v>
      </c>
      <c r="E168" t="s">
        <v>463</v>
      </c>
      <c r="F168" s="2">
        <v>46299.901296296295</v>
      </c>
      <c r="G168" t="s">
        <v>21</v>
      </c>
      <c r="H168" t="s">
        <v>1964</v>
      </c>
      <c r="I168" s="3">
        <v>360</v>
      </c>
      <c r="J168" t="s">
        <v>22</v>
      </c>
      <c r="K168" t="s">
        <v>23</v>
      </c>
      <c r="L168" s="3">
        <v>862</v>
      </c>
      <c r="M168" t="s">
        <v>35</v>
      </c>
      <c r="N168" s="2">
        <v>46299.945173611108</v>
      </c>
      <c r="O168" s="3">
        <v>360</v>
      </c>
      <c r="P168" t="s">
        <v>25</v>
      </c>
      <c r="Q168" s="3">
        <v>190</v>
      </c>
      <c r="R168" s="3" t="str">
        <f>IF(OR(G168="12R",G168="12L"),_xlfn.XLOOKUP(C168,Tabla42[ADEP],Tabla42[SID 12R],""),IF(OR(G168="30L",G168="30R"),_xlfn.XLOOKUP(C168,Tabla42[ADEP],Tabla42[SID 30L],""),""))</f>
        <v>UDGUV</v>
      </c>
      <c r="S168" s="3">
        <f t="shared" si="2"/>
        <v>21</v>
      </c>
      <c r="T168" s="3" t="str">
        <f>_xlfn.XLOOKUP(C168,Tabla42[ADEP],Tabla42[Sector],"")</f>
        <v>Sector 2</v>
      </c>
    </row>
    <row r="169" spans="1:20" x14ac:dyDescent="0.2">
      <c r="A169" t="s">
        <v>309</v>
      </c>
      <c r="B169" t="s">
        <v>18</v>
      </c>
      <c r="C169" t="s">
        <v>19</v>
      </c>
      <c r="D169" t="s">
        <v>60</v>
      </c>
      <c r="E169" t="s">
        <v>679</v>
      </c>
      <c r="F169" s="2">
        <v>46299.902743055558</v>
      </c>
      <c r="G169" t="s">
        <v>21</v>
      </c>
      <c r="H169" t="s">
        <v>1965</v>
      </c>
      <c r="I169" s="3">
        <v>340</v>
      </c>
      <c r="J169" t="s">
        <v>22</v>
      </c>
      <c r="K169" t="s">
        <v>23</v>
      </c>
      <c r="L169" s="3">
        <v>919</v>
      </c>
      <c r="M169" t="s">
        <v>351</v>
      </c>
      <c r="N169" s="2">
        <v>46299.949004629627</v>
      </c>
      <c r="O169" s="3">
        <v>340</v>
      </c>
      <c r="P169" t="s">
        <v>25</v>
      </c>
      <c r="Q169" s="3">
        <v>190</v>
      </c>
      <c r="R169" s="3" t="str">
        <f>IF(OR(G169="12R",G169="12L"),_xlfn.XLOOKUP(C169,Tabla42[ADEP],Tabla42[SID 12R],""),IF(OR(G169="30L",G169="30R"),_xlfn.XLOOKUP(C169,Tabla42[ADEP],Tabla42[SID 30L],""),""))</f>
        <v>UDGUV</v>
      </c>
      <c r="S169" s="3">
        <f t="shared" si="2"/>
        <v>21</v>
      </c>
      <c r="T169" s="3" t="str">
        <f>_xlfn.XLOOKUP(C169,Tabla42[ADEP],Tabla42[Sector],"")</f>
        <v>Sector 2</v>
      </c>
    </row>
    <row r="170" spans="1:20" x14ac:dyDescent="0.2">
      <c r="A170" t="s">
        <v>477</v>
      </c>
      <c r="B170" t="s">
        <v>18</v>
      </c>
      <c r="C170" t="s">
        <v>478</v>
      </c>
      <c r="D170" t="s">
        <v>20</v>
      </c>
      <c r="E170" t="s">
        <v>1966</v>
      </c>
      <c r="F170" s="2">
        <v>46299.904733796298</v>
      </c>
      <c r="G170" t="s">
        <v>21</v>
      </c>
      <c r="H170" t="s">
        <v>1967</v>
      </c>
      <c r="I170" s="3">
        <v>340</v>
      </c>
      <c r="J170" t="s">
        <v>22</v>
      </c>
      <c r="K170" t="s">
        <v>23</v>
      </c>
      <c r="L170" s="3">
        <v>584</v>
      </c>
      <c r="M170" t="s">
        <v>123</v>
      </c>
      <c r="N170" s="2">
        <v>46299.935601851852</v>
      </c>
      <c r="O170" s="3">
        <v>340</v>
      </c>
      <c r="P170" t="s">
        <v>25</v>
      </c>
      <c r="Q170" s="3">
        <v>40</v>
      </c>
      <c r="R170" s="3" t="str">
        <f>IF(OR(G170="12R",G170="12L"),_xlfn.XLOOKUP(C170,Tabla42[ADEP],Tabla42[SID 12R],""),IF(OR(G170="30L",G170="30R"),_xlfn.XLOOKUP(C170,Tabla42[ADEP],Tabla42[SID 30L],""),""))</f>
        <v>ENEBA</v>
      </c>
      <c r="S170" s="3">
        <f t="shared" si="2"/>
        <v>21</v>
      </c>
      <c r="T170" s="3" t="str">
        <f>_xlfn.XLOOKUP(C170,Tabla42[ADEP],Tabla42[Sector],"")</f>
        <v>Sector 3</v>
      </c>
    </row>
    <row r="171" spans="1:20" x14ac:dyDescent="0.2">
      <c r="A171" t="s">
        <v>671</v>
      </c>
      <c r="B171" t="s">
        <v>18</v>
      </c>
      <c r="C171" t="s">
        <v>297</v>
      </c>
      <c r="D171" t="s">
        <v>243</v>
      </c>
      <c r="E171" t="s">
        <v>298</v>
      </c>
      <c r="F171" s="2">
        <v>46299.906099537038</v>
      </c>
      <c r="G171" t="s">
        <v>21</v>
      </c>
      <c r="H171" t="s">
        <v>1968</v>
      </c>
      <c r="I171" s="3">
        <v>390</v>
      </c>
      <c r="J171" t="s">
        <v>22</v>
      </c>
      <c r="K171" t="s">
        <v>23</v>
      </c>
      <c r="L171" s="3">
        <v>359</v>
      </c>
      <c r="M171" t="s">
        <v>30</v>
      </c>
      <c r="N171" s="2">
        <v>46299.92664351852</v>
      </c>
      <c r="O171" s="3">
        <v>390</v>
      </c>
      <c r="P171" t="s">
        <v>40</v>
      </c>
      <c r="Q171" s="3">
        <v>40</v>
      </c>
      <c r="R171" s="3" t="str">
        <f>IF(OR(G171="12R",G171="12L"),_xlfn.XLOOKUP(C171,Tabla42[ADEP],Tabla42[SID 12R],""),IF(OR(G171="30L",G171="30R"),_xlfn.XLOOKUP(C171,Tabla42[ADEP],Tabla42[SID 30L],""),""))</f>
        <v>NUDAL</v>
      </c>
      <c r="S171" s="3">
        <f t="shared" si="2"/>
        <v>21</v>
      </c>
      <c r="T171" s="3" t="str">
        <f>_xlfn.XLOOKUP(C171,Tabla42[ADEP],Tabla42[Sector],"")</f>
        <v>Sector 3</v>
      </c>
    </row>
    <row r="172" spans="1:20" x14ac:dyDescent="0.2">
      <c r="A172" t="s">
        <v>312</v>
      </c>
      <c r="B172" t="s">
        <v>18</v>
      </c>
      <c r="C172" t="s">
        <v>204</v>
      </c>
      <c r="D172" t="s">
        <v>33</v>
      </c>
      <c r="E172" t="s">
        <v>747</v>
      </c>
      <c r="F172" s="2">
        <v>46299.910625000004</v>
      </c>
      <c r="G172" t="s">
        <v>21</v>
      </c>
      <c r="H172" t="s">
        <v>1969</v>
      </c>
      <c r="I172" s="3">
        <v>330</v>
      </c>
      <c r="J172" t="s">
        <v>22</v>
      </c>
      <c r="K172" t="s">
        <v>23</v>
      </c>
      <c r="L172" s="3">
        <v>150</v>
      </c>
      <c r="M172" t="s">
        <v>111</v>
      </c>
      <c r="N172" s="2">
        <v>46299.921226851853</v>
      </c>
      <c r="O172" s="3">
        <v>252</v>
      </c>
      <c r="P172" t="s">
        <v>25</v>
      </c>
      <c r="Q172" s="3">
        <v>190</v>
      </c>
      <c r="R172" s="3" t="str">
        <f>IF(OR(G172="12R",G172="12L"),_xlfn.XLOOKUP(C172,Tabla42[ADEP],Tabla42[SID 12R],""),IF(OR(G172="30L",G172="30R"),_xlfn.XLOOKUP(C172,Tabla42[ADEP],Tabla42[SID 30L],""),""))</f>
        <v>TAKUX</v>
      </c>
      <c r="S172" s="3">
        <f t="shared" si="2"/>
        <v>21</v>
      </c>
      <c r="T172" s="3" t="str">
        <f>_xlfn.XLOOKUP(C172,Tabla42[ADEP],Tabla42[Sector],"")</f>
        <v>Sector 7</v>
      </c>
    </row>
    <row r="173" spans="1:20" x14ac:dyDescent="0.2">
      <c r="A173" t="s">
        <v>672</v>
      </c>
      <c r="B173" t="s">
        <v>18</v>
      </c>
      <c r="C173" t="s">
        <v>406</v>
      </c>
      <c r="D173" t="s">
        <v>243</v>
      </c>
      <c r="E173" t="s">
        <v>288</v>
      </c>
      <c r="F173" s="2">
        <v>46299.912372685183</v>
      </c>
      <c r="G173" t="s">
        <v>21</v>
      </c>
      <c r="H173" t="s">
        <v>1970</v>
      </c>
      <c r="I173" s="3">
        <v>370</v>
      </c>
      <c r="J173" t="s">
        <v>22</v>
      </c>
      <c r="K173" t="s">
        <v>23</v>
      </c>
      <c r="L173" s="3">
        <v>359</v>
      </c>
      <c r="M173" t="s">
        <v>30</v>
      </c>
      <c r="N173" s="2">
        <v>46299.932094907403</v>
      </c>
      <c r="O173" s="3">
        <v>370</v>
      </c>
      <c r="P173" t="s">
        <v>40</v>
      </c>
      <c r="Q173" s="3">
        <v>40</v>
      </c>
      <c r="R173" s="3" t="str">
        <f>IF(OR(G173="12R",G173="12L"),_xlfn.XLOOKUP(C173,Tabla42[ADEP],Tabla42[SID 12R],""),IF(OR(G173="30L",G173="30R"),_xlfn.XLOOKUP(C173,Tabla42[ADEP],Tabla42[SID 30L],""),""))</f>
        <v>NUDAL</v>
      </c>
      <c r="S173" s="3">
        <f t="shared" si="2"/>
        <v>21</v>
      </c>
      <c r="T173" s="3" t="str">
        <f>_xlfn.XLOOKUP(C173,Tabla42[ADEP],Tabla42[Sector],"")</f>
        <v>Sector 3</v>
      </c>
    </row>
    <row r="174" spans="1:20" x14ac:dyDescent="0.2">
      <c r="A174" t="s">
        <v>311</v>
      </c>
      <c r="B174" t="s">
        <v>18</v>
      </c>
      <c r="C174" t="s">
        <v>109</v>
      </c>
      <c r="D174" t="s">
        <v>28</v>
      </c>
      <c r="E174" t="s">
        <v>989</v>
      </c>
      <c r="F174" s="2">
        <v>46299.915462962963</v>
      </c>
      <c r="G174" t="s">
        <v>21</v>
      </c>
      <c r="H174" t="s">
        <v>1971</v>
      </c>
      <c r="I174" s="3">
        <v>370</v>
      </c>
      <c r="J174" t="s">
        <v>22</v>
      </c>
      <c r="K174" t="s">
        <v>23</v>
      </c>
      <c r="L174" s="3">
        <v>151</v>
      </c>
      <c r="M174" t="s">
        <v>111</v>
      </c>
      <c r="N174" s="2">
        <v>46299.926064814819</v>
      </c>
      <c r="O174" s="3">
        <v>279</v>
      </c>
      <c r="P174" t="s">
        <v>25</v>
      </c>
      <c r="Q174" s="3">
        <v>190</v>
      </c>
      <c r="R174" s="3" t="str">
        <f>IF(OR(G174="12R",G174="12L"),_xlfn.XLOOKUP(C174,Tabla42[ADEP],Tabla42[SID 12R],""),IF(OR(G174="30L",G174="30R"),_xlfn.XLOOKUP(C174,Tabla42[ADEP],Tabla42[SID 30L],""),""))</f>
        <v>TAKUX</v>
      </c>
      <c r="S174" s="3">
        <f t="shared" si="2"/>
        <v>21</v>
      </c>
      <c r="T174" s="3" t="str">
        <f>_xlfn.XLOOKUP(C174,Tabla42[ADEP],Tabla42[Sector],"")</f>
        <v>Sector 7</v>
      </c>
    </row>
    <row r="175" spans="1:20" x14ac:dyDescent="0.2">
      <c r="A175" t="s">
        <v>313</v>
      </c>
      <c r="B175" t="s">
        <v>18</v>
      </c>
      <c r="C175" t="s">
        <v>73</v>
      </c>
      <c r="D175" t="s">
        <v>53</v>
      </c>
      <c r="E175" t="s">
        <v>393</v>
      </c>
      <c r="F175" s="2">
        <v>46299.916585648149</v>
      </c>
      <c r="G175" t="s">
        <v>21</v>
      </c>
      <c r="H175" t="s">
        <v>1972</v>
      </c>
      <c r="I175" s="3">
        <v>380</v>
      </c>
      <c r="J175" t="s">
        <v>22</v>
      </c>
      <c r="K175" t="s">
        <v>23</v>
      </c>
      <c r="L175" s="3">
        <v>722</v>
      </c>
      <c r="M175" t="s">
        <v>73</v>
      </c>
      <c r="N175" s="2">
        <v>46299.959629629629</v>
      </c>
      <c r="O175" s="3">
        <v>0</v>
      </c>
      <c r="P175" t="s">
        <v>25</v>
      </c>
      <c r="Q175" s="3">
        <v>190</v>
      </c>
      <c r="R175" s="3" t="str">
        <f>IF(OR(G175="12R",G175="12L"),_xlfn.XLOOKUP(C175,Tabla42[ADEP],Tabla42[SID 12R],""),IF(OR(G175="30L",G175="30R"),_xlfn.XLOOKUP(C175,Tabla42[ADEP],Tabla42[SID 30L],""),""))</f>
        <v>UDGUV</v>
      </c>
      <c r="S175" s="3">
        <f t="shared" si="2"/>
        <v>21</v>
      </c>
      <c r="T175" s="3" t="str">
        <f>_xlfn.XLOOKUP(C175,Tabla42[ADEP],Tabla42[Sector],"")</f>
        <v>Sector 2</v>
      </c>
    </row>
    <row r="176" spans="1:20" x14ac:dyDescent="0.2">
      <c r="A176" t="s">
        <v>1973</v>
      </c>
      <c r="B176" t="s">
        <v>18</v>
      </c>
      <c r="C176" t="s">
        <v>109</v>
      </c>
      <c r="D176" t="s">
        <v>809</v>
      </c>
      <c r="F176" s="2">
        <v>46299.92186342593</v>
      </c>
      <c r="G176" t="s">
        <v>21</v>
      </c>
      <c r="H176" t="s">
        <v>1974</v>
      </c>
      <c r="I176" s="3">
        <v>450</v>
      </c>
      <c r="J176" t="s">
        <v>22</v>
      </c>
      <c r="K176" t="s">
        <v>50</v>
      </c>
      <c r="L176" s="3">
        <v>153</v>
      </c>
      <c r="M176" t="s">
        <v>111</v>
      </c>
      <c r="N176" s="2">
        <v>46299.932152777779</v>
      </c>
      <c r="O176" s="3">
        <v>281</v>
      </c>
      <c r="P176" t="s">
        <v>25</v>
      </c>
      <c r="Q176" s="3">
        <v>30</v>
      </c>
      <c r="R176" s="3" t="str">
        <f>IF(OR(G176="12R",G176="12L"),_xlfn.XLOOKUP(C176,Tabla42[ADEP],Tabla42[SID 12R],""),IF(OR(G176="30L",G176="30R"),_xlfn.XLOOKUP(C176,Tabla42[ADEP],Tabla42[SID 30L],""),""))</f>
        <v>TAKUX</v>
      </c>
      <c r="S176" s="3">
        <f t="shared" si="2"/>
        <v>22</v>
      </c>
      <c r="T176" s="3" t="str">
        <f>_xlfn.XLOOKUP(C176,Tabla42[ADEP],Tabla42[Sector],"")</f>
        <v>Sector 7</v>
      </c>
    </row>
    <row r="177" spans="1:20" x14ac:dyDescent="0.2">
      <c r="A177" t="s">
        <v>318</v>
      </c>
      <c r="B177" t="s">
        <v>18</v>
      </c>
      <c r="C177" t="s">
        <v>116</v>
      </c>
      <c r="D177" t="s">
        <v>43</v>
      </c>
      <c r="E177" t="s">
        <v>367</v>
      </c>
      <c r="F177" s="2">
        <v>46299.933483796296</v>
      </c>
      <c r="G177" t="s">
        <v>21</v>
      </c>
      <c r="H177" t="s">
        <v>1975</v>
      </c>
      <c r="I177" s="3">
        <v>340</v>
      </c>
      <c r="J177" t="s">
        <v>22</v>
      </c>
      <c r="K177" t="s">
        <v>23</v>
      </c>
      <c r="L177" s="3">
        <v>533</v>
      </c>
      <c r="M177" t="s">
        <v>123</v>
      </c>
      <c r="N177" s="2">
        <v>46299.961087962962</v>
      </c>
      <c r="O177" s="3">
        <v>340</v>
      </c>
      <c r="P177" t="s">
        <v>25</v>
      </c>
      <c r="Q177" s="3">
        <v>40</v>
      </c>
      <c r="R177" s="3" t="str">
        <f>IF(OR(G177="12R",G177="12L"),_xlfn.XLOOKUP(C177,Tabla42[ADEP],Tabla42[SID 12R],""),IF(OR(G177="30L",G177="30R"),_xlfn.XLOOKUP(C177,Tabla42[ADEP],Tabla42[SID 30L],""),""))</f>
        <v>ENEBA</v>
      </c>
      <c r="S177" s="3">
        <f t="shared" si="2"/>
        <v>22</v>
      </c>
      <c r="T177" s="3" t="str">
        <f>_xlfn.XLOOKUP(C177,Tabla42[ADEP],Tabla42[Sector],"")</f>
        <v>Sector 3</v>
      </c>
    </row>
    <row r="178" spans="1:20" x14ac:dyDescent="0.2">
      <c r="A178" t="s">
        <v>328</v>
      </c>
      <c r="B178" t="s">
        <v>18</v>
      </c>
      <c r="C178" t="s">
        <v>42</v>
      </c>
      <c r="D178" t="s">
        <v>43</v>
      </c>
      <c r="E178" t="s">
        <v>132</v>
      </c>
      <c r="F178" s="2">
        <v>46299.939305555556</v>
      </c>
      <c r="G178" t="s">
        <v>21</v>
      </c>
      <c r="H178" t="s">
        <v>1976</v>
      </c>
      <c r="I178" s="3">
        <v>360</v>
      </c>
      <c r="J178" t="s">
        <v>22</v>
      </c>
      <c r="K178" t="s">
        <v>23</v>
      </c>
      <c r="L178" s="3">
        <v>861</v>
      </c>
      <c r="M178" t="s">
        <v>45</v>
      </c>
      <c r="N178" s="2">
        <v>46299.98369212963</v>
      </c>
      <c r="O178" s="3">
        <v>360</v>
      </c>
      <c r="P178" t="s">
        <v>25</v>
      </c>
      <c r="Q178" s="3">
        <v>190</v>
      </c>
      <c r="R178" s="3" t="str">
        <f>IF(OR(G178="12R",G178="12L"),_xlfn.XLOOKUP(C178,Tabla42[ADEP],Tabla42[SID 12R],""),IF(OR(G178="30L",G178="30R"),_xlfn.XLOOKUP(C178,Tabla42[ADEP],Tabla42[SID 30L],""),""))</f>
        <v>UDGUV</v>
      </c>
      <c r="S178" s="3">
        <f t="shared" si="2"/>
        <v>22</v>
      </c>
      <c r="T178" s="3" t="str">
        <f>_xlfn.XLOOKUP(C178,Tabla42[ADEP],Tabla42[Sector],"")</f>
        <v>Sector 2</v>
      </c>
    </row>
    <row r="179" spans="1:20" x14ac:dyDescent="0.2">
      <c r="A179" t="s">
        <v>327</v>
      </c>
      <c r="B179" t="s">
        <v>18</v>
      </c>
      <c r="C179" t="s">
        <v>84</v>
      </c>
      <c r="D179" t="s">
        <v>85</v>
      </c>
      <c r="E179" t="s">
        <v>728</v>
      </c>
      <c r="F179" s="2">
        <v>46299.942129629635</v>
      </c>
      <c r="G179" t="s">
        <v>21</v>
      </c>
      <c r="H179" t="s">
        <v>1977</v>
      </c>
      <c r="I179" s="3">
        <v>370</v>
      </c>
      <c r="J179" t="s">
        <v>22</v>
      </c>
      <c r="K179" t="s">
        <v>23</v>
      </c>
      <c r="L179" s="3">
        <v>136</v>
      </c>
      <c r="M179" t="s">
        <v>39</v>
      </c>
      <c r="N179" s="2">
        <v>46299.952106481476</v>
      </c>
      <c r="O179" s="3">
        <v>195</v>
      </c>
      <c r="P179" t="s">
        <v>40</v>
      </c>
      <c r="Q179" s="3">
        <v>190</v>
      </c>
      <c r="R179" s="3" t="str">
        <f>IF(OR(G179="12R",G179="12L"),_xlfn.XLOOKUP(C179,Tabla42[ADEP],Tabla42[SID 12R],""),IF(OR(G179="30L",G179="30R"),_xlfn.XLOOKUP(C179,Tabla42[ADEP],Tabla42[SID 30L],""),""))</f>
        <v>NUDAL</v>
      </c>
      <c r="S179" s="3">
        <f t="shared" si="2"/>
        <v>22</v>
      </c>
      <c r="T179" s="3" t="str">
        <f>_xlfn.XLOOKUP(C179,Tabla42[ADEP],Tabla42[Sector],"")</f>
        <v>Sector 3</v>
      </c>
    </row>
    <row r="180" spans="1:20" x14ac:dyDescent="0.2">
      <c r="A180" t="s">
        <v>409</v>
      </c>
      <c r="B180" t="s">
        <v>18</v>
      </c>
      <c r="C180" t="s">
        <v>254</v>
      </c>
      <c r="D180" t="s">
        <v>53</v>
      </c>
      <c r="E180" t="s">
        <v>401</v>
      </c>
      <c r="F180" s="2">
        <v>46299.944050925929</v>
      </c>
      <c r="G180" t="s">
        <v>21</v>
      </c>
      <c r="H180" t="s">
        <v>1978</v>
      </c>
      <c r="I180" s="3">
        <v>360</v>
      </c>
      <c r="J180" t="s">
        <v>22</v>
      </c>
      <c r="K180" t="s">
        <v>23</v>
      </c>
      <c r="L180" s="3">
        <v>875</v>
      </c>
      <c r="M180" t="s">
        <v>35</v>
      </c>
      <c r="N180" s="2">
        <v>46299.989050925928</v>
      </c>
      <c r="O180" s="3">
        <v>360</v>
      </c>
      <c r="P180" t="s">
        <v>25</v>
      </c>
      <c r="Q180" s="3">
        <v>190</v>
      </c>
      <c r="R180" s="3" t="str">
        <f>IF(OR(G180="12R",G180="12L"),_xlfn.XLOOKUP(C180,Tabla42[ADEP],Tabla42[SID 12R],""),IF(OR(G180="30L",G180="30R"),_xlfn.XLOOKUP(C180,Tabla42[ADEP],Tabla42[SID 30L],""),""))</f>
        <v>UDGUV</v>
      </c>
      <c r="S180" s="3">
        <f t="shared" si="2"/>
        <v>22</v>
      </c>
      <c r="T180" s="3" t="str">
        <f>_xlfn.XLOOKUP(C180,Tabla42[ADEP],Tabla42[Sector],"")</f>
        <v>Sector 2</v>
      </c>
    </row>
    <row r="181" spans="1:20" x14ac:dyDescent="0.2">
      <c r="A181" t="s">
        <v>291</v>
      </c>
      <c r="B181" t="s">
        <v>18</v>
      </c>
      <c r="C181" t="s">
        <v>209</v>
      </c>
      <c r="D181" t="s">
        <v>28</v>
      </c>
      <c r="E181" t="s">
        <v>1979</v>
      </c>
      <c r="F181" s="2">
        <v>46299.944895833338</v>
      </c>
      <c r="G181" t="s">
        <v>21</v>
      </c>
      <c r="H181" t="s">
        <v>1980</v>
      </c>
      <c r="I181" s="3">
        <v>360</v>
      </c>
      <c r="J181" t="s">
        <v>22</v>
      </c>
      <c r="K181" t="s">
        <v>23</v>
      </c>
      <c r="L181" s="3">
        <v>542</v>
      </c>
      <c r="M181" t="s">
        <v>123</v>
      </c>
      <c r="N181" s="2">
        <v>46299.972673611112</v>
      </c>
      <c r="O181" s="3">
        <v>360</v>
      </c>
      <c r="P181" t="s">
        <v>25</v>
      </c>
      <c r="Q181" s="3">
        <v>40</v>
      </c>
      <c r="R181" s="3" t="str">
        <f>IF(OR(G181="12R",G181="12L"),_xlfn.XLOOKUP(C181,Tabla42[ADEP],Tabla42[SID 12R],""),IF(OR(G181="30L",G181="30R"),_xlfn.XLOOKUP(C181,Tabla42[ADEP],Tabla42[SID 30L],""),""))</f>
        <v>ENEBA</v>
      </c>
      <c r="S181" s="3">
        <f t="shared" si="2"/>
        <v>22</v>
      </c>
      <c r="T181" s="3" t="str">
        <f>_xlfn.XLOOKUP(C181,Tabla42[ADEP],Tabla42[Sector],"")</f>
        <v>Sector 3</v>
      </c>
    </row>
    <row r="182" spans="1:20" x14ac:dyDescent="0.2">
      <c r="A182" t="s">
        <v>1981</v>
      </c>
      <c r="B182" t="s">
        <v>18</v>
      </c>
      <c r="C182" t="s">
        <v>265</v>
      </c>
      <c r="D182" t="s">
        <v>354</v>
      </c>
      <c r="F182" s="2">
        <v>46299.947789351849</v>
      </c>
      <c r="G182" t="s">
        <v>21</v>
      </c>
      <c r="H182" t="s">
        <v>1982</v>
      </c>
      <c r="I182" s="3">
        <v>400</v>
      </c>
      <c r="J182" t="s">
        <v>22</v>
      </c>
      <c r="K182" t="s">
        <v>455</v>
      </c>
      <c r="L182" s="3">
        <v>863</v>
      </c>
      <c r="M182" t="s">
        <v>414</v>
      </c>
      <c r="N182" s="2">
        <v>46299.995300925926</v>
      </c>
      <c r="O182" s="3">
        <v>400</v>
      </c>
      <c r="P182" t="s">
        <v>25</v>
      </c>
      <c r="Q182" s="3">
        <v>30</v>
      </c>
      <c r="R182" s="3" t="str">
        <f>IF(OR(G182="12R",G182="12L"),_xlfn.XLOOKUP(C182,Tabla42[ADEP],Tabla42[SID 12R],""),IF(OR(G182="30L",G182="30R"),_xlfn.XLOOKUP(C182,Tabla42[ADEP],Tabla42[SID 30L],""),""))</f>
        <v>UDGUV</v>
      </c>
      <c r="S182" s="3">
        <f t="shared" si="2"/>
        <v>22</v>
      </c>
      <c r="T182" s="3" t="str">
        <f>_xlfn.XLOOKUP(C182,Tabla42[ADEP],Tabla42[Sector],"")</f>
        <v>Sector 2</v>
      </c>
    </row>
    <row r="183" spans="1:20" x14ac:dyDescent="0.2">
      <c r="A183" t="s">
        <v>1983</v>
      </c>
      <c r="B183" t="s">
        <v>18</v>
      </c>
      <c r="C183" t="s">
        <v>814</v>
      </c>
      <c r="D183" t="s">
        <v>124</v>
      </c>
      <c r="F183" s="2">
        <v>46299.951365740737</v>
      </c>
      <c r="G183" t="s">
        <v>21</v>
      </c>
      <c r="H183" t="s">
        <v>1984</v>
      </c>
      <c r="I183" s="3">
        <v>380</v>
      </c>
      <c r="J183" t="s">
        <v>22</v>
      </c>
      <c r="K183" t="s">
        <v>50</v>
      </c>
      <c r="L183" s="3">
        <v>435</v>
      </c>
      <c r="M183" t="s">
        <v>189</v>
      </c>
      <c r="N183" s="2">
        <v>46299.977581018524</v>
      </c>
      <c r="O183" s="3">
        <v>380</v>
      </c>
      <c r="P183" t="s">
        <v>25</v>
      </c>
      <c r="Q183" s="3">
        <v>40</v>
      </c>
      <c r="R183" s="3" t="str">
        <f>IF(OR(G183="12R",G183="12L"),_xlfn.XLOOKUP(C183,Tabla42[ADEP],Tabla42[SID 12R],""),IF(OR(G183="30L",G183="30R"),_xlfn.XLOOKUP(C183,Tabla42[ADEP],Tabla42[SID 30L],""),""))</f>
        <v>ENEBA</v>
      </c>
      <c r="S183" s="3">
        <f t="shared" si="2"/>
        <v>22</v>
      </c>
      <c r="T183" s="3" t="str">
        <f>_xlfn.XLOOKUP(C183,Tabla42[ADEP],Tabla42[Sector],"")</f>
        <v>Sector 3</v>
      </c>
    </row>
    <row r="184" spans="1:20" x14ac:dyDescent="0.2">
      <c r="A184" t="s">
        <v>319</v>
      </c>
      <c r="B184" t="s">
        <v>18</v>
      </c>
      <c r="C184" t="s">
        <v>320</v>
      </c>
      <c r="D184" t="s">
        <v>33</v>
      </c>
      <c r="E184" t="s">
        <v>275</v>
      </c>
      <c r="F184" s="2">
        <v>46299.953402777777</v>
      </c>
      <c r="G184" t="s">
        <v>21</v>
      </c>
      <c r="H184" t="s">
        <v>1985</v>
      </c>
      <c r="I184" s="3">
        <v>360</v>
      </c>
      <c r="J184" t="s">
        <v>22</v>
      </c>
      <c r="K184" t="s">
        <v>23</v>
      </c>
      <c r="L184" s="3">
        <v>869</v>
      </c>
      <c r="M184" t="s">
        <v>414</v>
      </c>
      <c r="N184" s="2">
        <v>46299.997835648144</v>
      </c>
      <c r="O184" s="3">
        <v>360</v>
      </c>
      <c r="P184" t="s">
        <v>25</v>
      </c>
      <c r="Q184" s="3">
        <v>190</v>
      </c>
      <c r="R184" s="3" t="str">
        <f>IF(OR(G184="12R",G184="12L"),_xlfn.XLOOKUP(C184,Tabla42[ADEP],Tabla42[SID 12R],""),IF(OR(G184="30L",G184="30R"),_xlfn.XLOOKUP(C184,Tabla42[ADEP],Tabla42[SID 30L],""),""))</f>
        <v>UDGUV</v>
      </c>
      <c r="S184" s="3">
        <f t="shared" si="2"/>
        <v>22</v>
      </c>
      <c r="T184" s="3" t="str">
        <f>_xlfn.XLOOKUP(C184,Tabla42[ADEP],Tabla42[Sector],"")</f>
        <v>Sector 2</v>
      </c>
    </row>
    <row r="185" spans="1:20" x14ac:dyDescent="0.2">
      <c r="A185" t="s">
        <v>333</v>
      </c>
      <c r="B185" t="s">
        <v>18</v>
      </c>
      <c r="C185" t="s">
        <v>204</v>
      </c>
      <c r="D185" t="s">
        <v>53</v>
      </c>
      <c r="E185" t="s">
        <v>1986</v>
      </c>
      <c r="F185" s="2">
        <v>46299.976006944446</v>
      </c>
      <c r="G185" t="s">
        <v>21</v>
      </c>
      <c r="H185" t="s">
        <v>1987</v>
      </c>
      <c r="I185" s="3">
        <v>390</v>
      </c>
      <c r="J185" t="s">
        <v>22</v>
      </c>
      <c r="K185" t="s">
        <v>23</v>
      </c>
      <c r="L185" s="3">
        <v>149</v>
      </c>
      <c r="M185" t="s">
        <v>111</v>
      </c>
      <c r="N185" s="2">
        <v>46299.98609953704</v>
      </c>
      <c r="O185" s="3">
        <v>290</v>
      </c>
      <c r="P185" t="s">
        <v>25</v>
      </c>
      <c r="Q185" s="3">
        <v>190</v>
      </c>
      <c r="R185" s="3" t="str">
        <f>IF(OR(G185="12R",G185="12L"),_xlfn.XLOOKUP(C185,Tabla42[ADEP],Tabla42[SID 12R],""),IF(OR(G185="30L",G185="30R"),_xlfn.XLOOKUP(C185,Tabla42[ADEP],Tabla42[SID 30L],""),""))</f>
        <v>TAKUX</v>
      </c>
      <c r="S185" s="3">
        <f t="shared" si="2"/>
        <v>23</v>
      </c>
      <c r="T185" s="3" t="str">
        <f>_xlfn.XLOOKUP(C185,Tabla42[ADEP],Tabla42[Sector],"")</f>
        <v>Sector 7</v>
      </c>
    </row>
    <row r="186" spans="1:20" x14ac:dyDescent="0.2">
      <c r="F186" s="2"/>
      <c r="I186" s="3"/>
      <c r="L186" s="3"/>
      <c r="N186" s="2"/>
      <c r="O186" s="3"/>
      <c r="Q186" s="3"/>
      <c r="R186" s="3" t="str">
        <f>IF(OR(G186="12R",G186="12L"),_xlfn.XLOOKUP(C186,Tabla42[ADEP],Tabla42[SID 12R],""),IF(OR(G186="30L",G186="30R"),_xlfn.XLOOKUP(C186,Tabla42[ADEP],Tabla42[SID 30L],""),""))</f>
        <v/>
      </c>
      <c r="S186" s="3">
        <f t="shared" si="2"/>
        <v>0</v>
      </c>
      <c r="T186" s="3" t="str">
        <f>_xlfn.XLOOKUP(C186,Tabla42[ADEP],Tabla42[Sector],"")</f>
        <v/>
      </c>
    </row>
    <row r="187" spans="1:20" x14ac:dyDescent="0.2">
      <c r="F187" s="2"/>
      <c r="I187" s="3"/>
      <c r="L187" s="3"/>
      <c r="N187" s="2"/>
      <c r="O187" s="3"/>
      <c r="Q187" s="3"/>
      <c r="R187" s="3" t="str">
        <f>IF(OR(G187="12R",G187="12L"),_xlfn.XLOOKUP(C187,Tabla42[ADEP],Tabla42[SID 12R],""),IF(OR(G187="30L",G187="30R"),_xlfn.XLOOKUP(C187,Tabla42[ADEP],Tabla42[SID 30L],""),""))</f>
        <v/>
      </c>
      <c r="S187" s="3">
        <f t="shared" si="2"/>
        <v>0</v>
      </c>
      <c r="T187" s="3" t="str">
        <f>_xlfn.XLOOKUP(C187,Tabla42[ADEP],Tabla42[Sector],"")</f>
        <v/>
      </c>
    </row>
    <row r="188" spans="1:20" x14ac:dyDescent="0.2">
      <c r="F188" s="2"/>
      <c r="I188" s="3"/>
      <c r="L188" s="3"/>
      <c r="N188" s="2"/>
      <c r="O188" s="3"/>
      <c r="Q188" s="3"/>
      <c r="R188" s="3" t="str">
        <f>IF(OR(G188="12R",G188="12L"),_xlfn.XLOOKUP(C188,Tabla42[ADEP],Tabla42[SID 12R],""),IF(OR(G188="30L",G188="30R"),_xlfn.XLOOKUP(C188,Tabla42[ADEP],Tabla42[SID 30L],""),""))</f>
        <v/>
      </c>
      <c r="S188" s="3">
        <f t="shared" si="2"/>
        <v>0</v>
      </c>
      <c r="T188" s="3" t="str">
        <f>_xlfn.XLOOKUP(C188,Tabla42[ADEP],Tabla42[Sector],"")</f>
        <v/>
      </c>
    </row>
    <row r="189" spans="1:20" x14ac:dyDescent="0.2">
      <c r="F189" s="2"/>
      <c r="I189" s="3"/>
      <c r="L189" s="3"/>
      <c r="N189" s="2"/>
      <c r="O189" s="3"/>
      <c r="Q189" s="3"/>
      <c r="R189" s="3" t="str">
        <f>IF(OR(G189="12R",G189="12L"),_xlfn.XLOOKUP(C189,Tabla42[ADEP],Tabla42[SID 12R],""),IF(OR(G189="30L",G189="30R"),_xlfn.XLOOKUP(C189,Tabla42[ADEP],Tabla42[SID 30L],""),""))</f>
        <v/>
      </c>
      <c r="S189" s="3">
        <f t="shared" si="2"/>
        <v>0</v>
      </c>
      <c r="T189" s="3" t="str">
        <f>_xlfn.XLOOKUP(C189,Tabla42[ADEP],Tabla42[Sector],"")</f>
        <v/>
      </c>
    </row>
    <row r="190" spans="1: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1: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1: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1</v>
      </c>
      <c r="D227" s="8">
        <f t="shared" si="4"/>
        <v>0</v>
      </c>
      <c r="E227" s="8">
        <f t="shared" si="4"/>
        <v>0</v>
      </c>
      <c r="F227" s="8">
        <f t="shared" si="4"/>
        <v>1</v>
      </c>
      <c r="G227" s="8">
        <f t="shared" si="4"/>
        <v>0</v>
      </c>
      <c r="H227" s="8">
        <f t="shared" si="4"/>
        <v>2</v>
      </c>
      <c r="I227" s="9">
        <f t="shared" ref="I227:I235" si="5">SUM(B227:H227)</f>
        <v>4</v>
      </c>
    </row>
    <row r="228" spans="1:9" x14ac:dyDescent="0.2">
      <c r="A228" s="7">
        <v>15</v>
      </c>
      <c r="B228" s="8">
        <f t="shared" si="4"/>
        <v>0</v>
      </c>
      <c r="C228" s="8">
        <f t="shared" si="4"/>
        <v>0</v>
      </c>
      <c r="D228" s="8">
        <f t="shared" si="4"/>
        <v>0</v>
      </c>
      <c r="E228" s="8">
        <f t="shared" si="4"/>
        <v>0</v>
      </c>
      <c r="F228" s="8">
        <f t="shared" si="4"/>
        <v>0</v>
      </c>
      <c r="G228" s="8">
        <f t="shared" si="4"/>
        <v>0</v>
      </c>
      <c r="H228" s="8">
        <f t="shared" si="4"/>
        <v>7</v>
      </c>
      <c r="I228" s="9">
        <f t="shared" si="5"/>
        <v>7</v>
      </c>
    </row>
    <row r="229" spans="1:9" x14ac:dyDescent="0.2">
      <c r="A229" s="7">
        <v>16</v>
      </c>
      <c r="B229" s="8">
        <f t="shared" si="4"/>
        <v>2</v>
      </c>
      <c r="C229" s="8">
        <f t="shared" si="4"/>
        <v>2</v>
      </c>
      <c r="D229" s="8">
        <f t="shared" si="4"/>
        <v>0</v>
      </c>
      <c r="E229" s="8">
        <f t="shared" si="4"/>
        <v>0</v>
      </c>
      <c r="F229" s="8">
        <f t="shared" si="4"/>
        <v>4</v>
      </c>
      <c r="G229" s="8">
        <f t="shared" si="4"/>
        <v>3</v>
      </c>
      <c r="H229" s="8">
        <f t="shared" si="4"/>
        <v>6</v>
      </c>
      <c r="I229" s="9">
        <f t="shared" si="5"/>
        <v>17</v>
      </c>
    </row>
    <row r="230" spans="1:9" x14ac:dyDescent="0.2">
      <c r="A230" s="7">
        <v>17</v>
      </c>
      <c r="B230" s="8">
        <f t="shared" si="4"/>
        <v>1</v>
      </c>
      <c r="C230" s="8">
        <f t="shared" si="4"/>
        <v>4</v>
      </c>
      <c r="D230" s="8">
        <f t="shared" si="4"/>
        <v>0</v>
      </c>
      <c r="E230" s="8">
        <f t="shared" si="4"/>
        <v>1</v>
      </c>
      <c r="F230" s="8">
        <f t="shared" si="4"/>
        <v>3</v>
      </c>
      <c r="G230" s="8">
        <f t="shared" si="4"/>
        <v>1</v>
      </c>
      <c r="H230" s="8">
        <f t="shared" si="4"/>
        <v>4</v>
      </c>
      <c r="I230" s="9">
        <f t="shared" si="5"/>
        <v>14</v>
      </c>
    </row>
    <row r="231" spans="1:9" x14ac:dyDescent="0.2">
      <c r="A231" s="7">
        <v>18</v>
      </c>
      <c r="B231" s="8">
        <f t="shared" si="4"/>
        <v>0</v>
      </c>
      <c r="C231" s="8">
        <f t="shared" si="4"/>
        <v>4</v>
      </c>
      <c r="D231" s="8">
        <f t="shared" si="4"/>
        <v>0</v>
      </c>
      <c r="E231" s="8">
        <f t="shared" si="4"/>
        <v>0</v>
      </c>
      <c r="F231" s="8">
        <f t="shared" si="4"/>
        <v>5</v>
      </c>
      <c r="G231" s="8">
        <f t="shared" si="4"/>
        <v>1</v>
      </c>
      <c r="H231" s="8">
        <f t="shared" si="4"/>
        <v>12</v>
      </c>
      <c r="I231" s="9">
        <f t="shared" si="5"/>
        <v>22</v>
      </c>
    </row>
    <row r="232" spans="1:9" x14ac:dyDescent="0.2">
      <c r="A232" s="7">
        <v>19</v>
      </c>
      <c r="B232" s="8">
        <f t="shared" si="4"/>
        <v>2</v>
      </c>
      <c r="C232" s="8">
        <f t="shared" si="4"/>
        <v>5</v>
      </c>
      <c r="D232" s="8">
        <f t="shared" si="4"/>
        <v>1</v>
      </c>
      <c r="E232" s="8">
        <f t="shared" si="4"/>
        <v>2</v>
      </c>
      <c r="F232" s="8">
        <f t="shared" si="4"/>
        <v>7</v>
      </c>
      <c r="G232" s="8">
        <f t="shared" si="4"/>
        <v>1</v>
      </c>
      <c r="H232" s="8">
        <f t="shared" si="4"/>
        <v>7</v>
      </c>
      <c r="I232" s="9">
        <f t="shared" si="5"/>
        <v>25</v>
      </c>
    </row>
    <row r="233" spans="1:9" x14ac:dyDescent="0.2">
      <c r="A233" s="7">
        <v>20</v>
      </c>
      <c r="B233" s="8">
        <f t="shared" si="4"/>
        <v>0</v>
      </c>
      <c r="C233" s="8">
        <f t="shared" si="4"/>
        <v>5</v>
      </c>
      <c r="D233" s="8">
        <f t="shared" si="4"/>
        <v>0</v>
      </c>
      <c r="E233" s="8">
        <f t="shared" si="4"/>
        <v>1</v>
      </c>
      <c r="F233" s="8">
        <f t="shared" si="4"/>
        <v>2</v>
      </c>
      <c r="G233" s="8">
        <f t="shared" si="4"/>
        <v>0</v>
      </c>
      <c r="H233" s="8">
        <f t="shared" si="4"/>
        <v>9</v>
      </c>
      <c r="I233" s="9">
        <f t="shared" si="5"/>
        <v>17</v>
      </c>
    </row>
    <row r="234" spans="1:9" x14ac:dyDescent="0.2">
      <c r="A234" s="7">
        <v>21</v>
      </c>
      <c r="B234" s="8">
        <f t="shared" si="4"/>
        <v>1</v>
      </c>
      <c r="C234" s="8">
        <f t="shared" si="4"/>
        <v>3</v>
      </c>
      <c r="D234" s="8">
        <f t="shared" si="4"/>
        <v>0</v>
      </c>
      <c r="E234" s="8">
        <f t="shared" si="4"/>
        <v>4</v>
      </c>
      <c r="F234" s="8">
        <f t="shared" si="4"/>
        <v>7</v>
      </c>
      <c r="G234" s="8">
        <f t="shared" si="4"/>
        <v>2</v>
      </c>
      <c r="H234" s="8">
        <f t="shared" si="4"/>
        <v>9</v>
      </c>
      <c r="I234" s="9">
        <f t="shared" si="5"/>
        <v>26</v>
      </c>
    </row>
    <row r="235" spans="1:9" x14ac:dyDescent="0.2">
      <c r="A235" s="10">
        <v>22</v>
      </c>
      <c r="B235" s="11">
        <f t="shared" si="4"/>
        <v>0</v>
      </c>
      <c r="C235" s="11">
        <f t="shared" si="4"/>
        <v>3</v>
      </c>
      <c r="D235" s="11">
        <f t="shared" si="4"/>
        <v>0</v>
      </c>
      <c r="E235" s="11">
        <f t="shared" si="4"/>
        <v>1</v>
      </c>
      <c r="F235" s="11">
        <f t="shared" si="4"/>
        <v>0</v>
      </c>
      <c r="G235" s="11">
        <f t="shared" si="4"/>
        <v>1</v>
      </c>
      <c r="H235" s="11">
        <f t="shared" si="4"/>
        <v>4</v>
      </c>
      <c r="I235" s="12">
        <f t="shared" si="5"/>
        <v>9</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2</v>
      </c>
      <c r="C263" s="8">
        <f t="shared" si="6"/>
        <v>2</v>
      </c>
      <c r="D263" s="8">
        <f t="shared" si="6"/>
        <v>0</v>
      </c>
      <c r="E263" s="9">
        <f t="shared" ref="E263:E272" si="7">SUM(B263:D263)</f>
        <v>4</v>
      </c>
    </row>
    <row r="264" spans="1:9" x14ac:dyDescent="0.2">
      <c r="A264" s="7">
        <v>15</v>
      </c>
      <c r="B264" s="8">
        <f t="shared" si="6"/>
        <v>7</v>
      </c>
      <c r="C264" s="8">
        <f t="shared" si="6"/>
        <v>0</v>
      </c>
      <c r="D264" s="8">
        <f t="shared" si="6"/>
        <v>0</v>
      </c>
      <c r="E264" s="9">
        <f t="shared" si="7"/>
        <v>7</v>
      </c>
    </row>
    <row r="265" spans="1:9" x14ac:dyDescent="0.2">
      <c r="A265" s="7">
        <v>16</v>
      </c>
      <c r="B265" s="8">
        <f t="shared" si="6"/>
        <v>6</v>
      </c>
      <c r="C265" s="8">
        <f t="shared" si="6"/>
        <v>6</v>
      </c>
      <c r="D265" s="8">
        <f t="shared" si="6"/>
        <v>5</v>
      </c>
      <c r="E265" s="9">
        <f t="shared" si="7"/>
        <v>17</v>
      </c>
    </row>
    <row r="266" spans="1:9" x14ac:dyDescent="0.2">
      <c r="A266" s="7">
        <v>17</v>
      </c>
      <c r="B266" s="8">
        <f t="shared" si="6"/>
        <v>4</v>
      </c>
      <c r="C266" s="8">
        <f t="shared" si="6"/>
        <v>8</v>
      </c>
      <c r="D266" s="8">
        <f t="shared" si="6"/>
        <v>2</v>
      </c>
      <c r="E266" s="9">
        <f t="shared" si="7"/>
        <v>14</v>
      </c>
    </row>
    <row r="267" spans="1:9" x14ac:dyDescent="0.2">
      <c r="A267" s="7">
        <v>18</v>
      </c>
      <c r="B267" s="8">
        <f t="shared" si="6"/>
        <v>12</v>
      </c>
      <c r="C267" s="8">
        <f t="shared" si="6"/>
        <v>9</v>
      </c>
      <c r="D267" s="8">
        <f t="shared" si="6"/>
        <v>1</v>
      </c>
      <c r="E267" s="9">
        <f t="shared" si="7"/>
        <v>22</v>
      </c>
    </row>
    <row r="268" spans="1:9" x14ac:dyDescent="0.2">
      <c r="A268" s="7">
        <v>19</v>
      </c>
      <c r="B268" s="8">
        <f t="shared" si="6"/>
        <v>7</v>
      </c>
      <c r="C268" s="8">
        <f t="shared" si="6"/>
        <v>14</v>
      </c>
      <c r="D268" s="8">
        <f t="shared" si="6"/>
        <v>4</v>
      </c>
      <c r="E268" s="9">
        <f t="shared" si="7"/>
        <v>25</v>
      </c>
    </row>
    <row r="269" spans="1:9" x14ac:dyDescent="0.2">
      <c r="A269" s="7">
        <v>20</v>
      </c>
      <c r="B269" s="8">
        <f t="shared" si="6"/>
        <v>9</v>
      </c>
      <c r="C269" s="8">
        <f t="shared" si="6"/>
        <v>8</v>
      </c>
      <c r="D269" s="8">
        <f t="shared" si="6"/>
        <v>0</v>
      </c>
      <c r="E269" s="9">
        <f t="shared" si="7"/>
        <v>17</v>
      </c>
    </row>
    <row r="270" spans="1:9" x14ac:dyDescent="0.2">
      <c r="A270" s="7">
        <v>21</v>
      </c>
      <c r="B270" s="8">
        <f t="shared" si="6"/>
        <v>9</v>
      </c>
      <c r="C270" s="8">
        <f t="shared" si="6"/>
        <v>14</v>
      </c>
      <c r="D270" s="8">
        <f t="shared" si="6"/>
        <v>3</v>
      </c>
      <c r="E270" s="9">
        <f t="shared" si="7"/>
        <v>26</v>
      </c>
    </row>
    <row r="271" spans="1:9" x14ac:dyDescent="0.2">
      <c r="A271" s="7">
        <v>22</v>
      </c>
      <c r="B271" s="8">
        <f t="shared" si="6"/>
        <v>4</v>
      </c>
      <c r="C271" s="8">
        <f t="shared" si="6"/>
        <v>4</v>
      </c>
      <c r="D271" s="8">
        <f t="shared" si="6"/>
        <v>1</v>
      </c>
      <c r="E271" s="9">
        <f t="shared" si="7"/>
        <v>9</v>
      </c>
    </row>
    <row r="272" spans="1:9" x14ac:dyDescent="0.2">
      <c r="A272" s="10">
        <v>23</v>
      </c>
      <c r="B272" s="11">
        <f t="shared" si="6"/>
        <v>0</v>
      </c>
      <c r="C272" s="11">
        <f t="shared" si="6"/>
        <v>0</v>
      </c>
      <c r="D272" s="11">
        <f t="shared" si="6"/>
        <v>1</v>
      </c>
      <c r="E272" s="12">
        <f t="shared" si="7"/>
        <v>1</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4409-BBD3-404C-946C-C2082BCF5A0D}">
  <dimension ref="A1:T272"/>
  <sheetViews>
    <sheetView showGridLines="0" topLeftCell="A157" zoomScale="110" zoomScaleNormal="110" workbookViewId="0">
      <selection activeCell="R39" sqref="R39"/>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499</v>
      </c>
      <c r="B2" s="13" t="s">
        <v>18</v>
      </c>
      <c r="C2" s="13" t="s">
        <v>93</v>
      </c>
      <c r="D2" s="13" t="s">
        <v>20</v>
      </c>
      <c r="E2" s="13" t="s">
        <v>169</v>
      </c>
      <c r="F2" s="14">
        <v>46300.002696759257</v>
      </c>
      <c r="G2" s="13" t="s">
        <v>21</v>
      </c>
      <c r="H2" s="13" t="s">
        <v>1990</v>
      </c>
      <c r="I2" s="15">
        <v>360</v>
      </c>
      <c r="J2" s="13" t="s">
        <v>22</v>
      </c>
      <c r="K2" s="13" t="s">
        <v>23</v>
      </c>
      <c r="L2" s="15">
        <v>913</v>
      </c>
      <c r="M2" s="13" t="s">
        <v>1991</v>
      </c>
      <c r="N2" s="14">
        <v>46300.050370370373</v>
      </c>
      <c r="O2" s="15">
        <v>236</v>
      </c>
      <c r="P2" s="13" t="s">
        <v>25</v>
      </c>
      <c r="Q2" s="15">
        <v>190</v>
      </c>
      <c r="R2" s="3" t="str">
        <f>IF(OR(G2="12R",G2="12L"),_xlfn.XLOOKUP(C2,Tabla42[ADEP],Tabla42[SID 12R],""),IF(OR(G2="30L",G2="30R"),_xlfn.XLOOKUP(C2,Tabla42[ADEP],Tabla42[SID 30L],""),""))</f>
        <v>UDGUV</v>
      </c>
      <c r="S2" s="3">
        <f>HOUR(F2)</f>
        <v>0</v>
      </c>
      <c r="T2" s="3" t="str">
        <f>_xlfn.XLOOKUP(C2,Tabla42[ADEP],Tabla42[Sector],"")</f>
        <v>Sector 2</v>
      </c>
    </row>
    <row r="3" spans="1:20" x14ac:dyDescent="0.2">
      <c r="A3" s="13" t="s">
        <v>17</v>
      </c>
      <c r="B3" s="13" t="s">
        <v>18</v>
      </c>
      <c r="C3" s="13" t="s">
        <v>19</v>
      </c>
      <c r="D3" s="13" t="s">
        <v>60</v>
      </c>
      <c r="E3" s="13" t="s">
        <v>1992</v>
      </c>
      <c r="F3" s="14">
        <v>46300.01116898148</v>
      </c>
      <c r="G3" s="13" t="s">
        <v>21</v>
      </c>
      <c r="H3" s="13" t="s">
        <v>1993</v>
      </c>
      <c r="I3" s="15">
        <v>360</v>
      </c>
      <c r="J3" s="13" t="s">
        <v>22</v>
      </c>
      <c r="K3" s="13" t="s">
        <v>23</v>
      </c>
      <c r="L3" s="15">
        <v>879</v>
      </c>
      <c r="M3" s="13" t="s">
        <v>632</v>
      </c>
      <c r="N3" s="14">
        <v>46300.055844907409</v>
      </c>
      <c r="O3" s="15">
        <v>360</v>
      </c>
      <c r="P3" s="13" t="s">
        <v>25</v>
      </c>
      <c r="Q3" s="15">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3" t="s">
        <v>1994</v>
      </c>
      <c r="B4" s="13" t="s">
        <v>18</v>
      </c>
      <c r="C4" s="13" t="s">
        <v>190</v>
      </c>
      <c r="D4" s="13" t="s">
        <v>687</v>
      </c>
      <c r="E4" s="13"/>
      <c r="F4" s="14">
        <v>46300.014305555553</v>
      </c>
      <c r="G4" s="13" t="s">
        <v>21</v>
      </c>
      <c r="H4" s="13" t="s">
        <v>1995</v>
      </c>
      <c r="I4" s="15">
        <v>410</v>
      </c>
      <c r="J4" s="13" t="s">
        <v>22</v>
      </c>
      <c r="K4" s="13" t="s">
        <v>50</v>
      </c>
      <c r="L4" s="15">
        <v>195</v>
      </c>
      <c r="M4" s="13" t="s">
        <v>1996</v>
      </c>
      <c r="N4" s="14">
        <v>46300.030335648145</v>
      </c>
      <c r="O4" s="15">
        <v>365</v>
      </c>
      <c r="P4" s="13" t="s">
        <v>25</v>
      </c>
      <c r="Q4" s="15">
        <v>40</v>
      </c>
      <c r="R4" s="3" t="str">
        <f>IF(OR(G4="12R",G4="12L"),_xlfn.XLOOKUP(C4,Tabla42[ADEP],Tabla42[SID 12R],""),IF(OR(G4="30L",G4="30R"),_xlfn.XLOOKUP(C4,Tabla42[ADEP],Tabla42[SID 30L],""),""))</f>
        <v>NUDAL</v>
      </c>
      <c r="S4" s="3">
        <f t="shared" si="0"/>
        <v>0</v>
      </c>
      <c r="T4" s="3" t="str">
        <f>_xlfn.XLOOKUP(C4,Tabla42[ADEP],Tabla42[Sector],"")</f>
        <v>Sector 3</v>
      </c>
    </row>
    <row r="5" spans="1:20" x14ac:dyDescent="0.2">
      <c r="A5" s="13" t="s">
        <v>1997</v>
      </c>
      <c r="B5" s="13" t="s">
        <v>18</v>
      </c>
      <c r="C5" s="13" t="s">
        <v>49</v>
      </c>
      <c r="D5" s="13" t="s">
        <v>354</v>
      </c>
      <c r="E5" s="13"/>
      <c r="F5" s="14">
        <v>46300.017916666664</v>
      </c>
      <c r="G5" s="13" t="s">
        <v>21</v>
      </c>
      <c r="H5" s="13" t="s">
        <v>1998</v>
      </c>
      <c r="I5" s="15">
        <v>280</v>
      </c>
      <c r="J5" s="13" t="s">
        <v>22</v>
      </c>
      <c r="K5" s="13" t="s">
        <v>50</v>
      </c>
      <c r="L5" s="15">
        <v>936</v>
      </c>
      <c r="M5" s="13" t="s">
        <v>45</v>
      </c>
      <c r="N5" s="14">
        <v>46300.069212962961</v>
      </c>
      <c r="O5" s="15">
        <v>280</v>
      </c>
      <c r="P5" s="13" t="s">
        <v>25</v>
      </c>
      <c r="Q5" s="15">
        <v>30</v>
      </c>
      <c r="R5" s="3" t="str">
        <f>IF(OR(G5="12R",G5="12L"),_xlfn.XLOOKUP(C5,Tabla42[ADEP],Tabla42[SID 12R],""),IF(OR(G5="30L",G5="30R"),_xlfn.XLOOKUP(C5,Tabla42[ADEP],Tabla42[SID 30L],""),""))</f>
        <v>UDGUV</v>
      </c>
      <c r="S5" s="3">
        <f t="shared" si="0"/>
        <v>0</v>
      </c>
      <c r="T5" s="3" t="str">
        <f>_xlfn.XLOOKUP(C5,Tabla42[ADEP],Tabla42[Sector],"")</f>
        <v>Sector 2</v>
      </c>
    </row>
    <row r="6" spans="1:20" x14ac:dyDescent="0.2">
      <c r="A6" s="13" t="s">
        <v>41</v>
      </c>
      <c r="B6" s="13" t="s">
        <v>18</v>
      </c>
      <c r="C6" s="13" t="s">
        <v>42</v>
      </c>
      <c r="D6" s="13" t="s">
        <v>43</v>
      </c>
      <c r="E6" s="13" t="s">
        <v>565</v>
      </c>
      <c r="F6" s="14">
        <v>46300.035219907404</v>
      </c>
      <c r="G6" s="13" t="s">
        <v>21</v>
      </c>
      <c r="H6" s="13" t="s">
        <v>1999</v>
      </c>
      <c r="I6" s="15">
        <v>360</v>
      </c>
      <c r="J6" s="13" t="s">
        <v>22</v>
      </c>
      <c r="K6" s="13" t="s">
        <v>23</v>
      </c>
      <c r="L6" s="15">
        <v>877</v>
      </c>
      <c r="M6" s="13" t="s">
        <v>2000</v>
      </c>
      <c r="N6" s="14">
        <v>46300.079722222225</v>
      </c>
      <c r="O6" s="15">
        <v>360</v>
      </c>
      <c r="P6" s="13" t="s">
        <v>25</v>
      </c>
      <c r="Q6" s="15">
        <v>190</v>
      </c>
      <c r="R6" s="3" t="str">
        <f>IF(OR(G6="12R",G6="12L"),_xlfn.XLOOKUP(C6,Tabla42[ADEP],Tabla42[SID 12R],""),IF(OR(G6="30L",G6="30R"),_xlfn.XLOOKUP(C6,Tabla42[ADEP],Tabla42[SID 30L],""),""))</f>
        <v>UDGUV</v>
      </c>
      <c r="S6" s="3">
        <f t="shared" si="0"/>
        <v>0</v>
      </c>
      <c r="T6" s="3" t="str">
        <f>_xlfn.XLOOKUP(C6,Tabla42[ADEP],Tabla42[Sector],"")</f>
        <v>Sector 2</v>
      </c>
    </row>
    <row r="7" spans="1:20" x14ac:dyDescent="0.2">
      <c r="A7" s="13" t="s">
        <v>56</v>
      </c>
      <c r="B7" s="13" t="s">
        <v>18</v>
      </c>
      <c r="C7" s="13" t="s">
        <v>42</v>
      </c>
      <c r="D7" s="13" t="s">
        <v>20</v>
      </c>
      <c r="E7" s="13" t="s">
        <v>57</v>
      </c>
      <c r="F7" s="14">
        <v>46300.041261574072</v>
      </c>
      <c r="G7" s="13" t="s">
        <v>21</v>
      </c>
      <c r="H7" s="13" t="s">
        <v>2001</v>
      </c>
      <c r="I7" s="15">
        <v>360</v>
      </c>
      <c r="J7" s="13" t="s">
        <v>22</v>
      </c>
      <c r="K7" s="13" t="s">
        <v>23</v>
      </c>
      <c r="L7" s="15">
        <v>877</v>
      </c>
      <c r="M7" s="13" t="s">
        <v>45</v>
      </c>
      <c r="N7" s="14">
        <v>46300.085972222223</v>
      </c>
      <c r="O7" s="15">
        <v>360</v>
      </c>
      <c r="P7" s="13" t="s">
        <v>25</v>
      </c>
      <c r="Q7" s="15">
        <v>190</v>
      </c>
      <c r="R7" s="3" t="str">
        <f>IF(OR(G7="12R",G7="12L"),_xlfn.XLOOKUP(C7,Tabla42[ADEP],Tabla42[SID 12R],""),IF(OR(G7="30L",G7="30R"),_xlfn.XLOOKUP(C7,Tabla42[ADEP],Tabla42[SID 30L],""),""))</f>
        <v>UDGUV</v>
      </c>
      <c r="S7" s="3">
        <f t="shared" si="0"/>
        <v>0</v>
      </c>
      <c r="T7" s="3" t="str">
        <f>_xlfn.XLOOKUP(C7,Tabla42[ADEP],Tabla42[Sector],"")</f>
        <v>Sector 2</v>
      </c>
    </row>
    <row r="8" spans="1:20" x14ac:dyDescent="0.2">
      <c r="A8" s="13" t="s">
        <v>46</v>
      </c>
      <c r="B8" s="13" t="s">
        <v>18</v>
      </c>
      <c r="C8" s="13" t="s">
        <v>47</v>
      </c>
      <c r="D8" s="13" t="s">
        <v>48</v>
      </c>
      <c r="E8" s="13" t="s">
        <v>619</v>
      </c>
      <c r="F8" s="14">
        <v>46300.046273148146</v>
      </c>
      <c r="G8" s="13" t="s">
        <v>21</v>
      </c>
      <c r="H8" s="13" t="s">
        <v>2002</v>
      </c>
      <c r="I8" s="15">
        <v>370</v>
      </c>
      <c r="J8" s="13" t="s">
        <v>22</v>
      </c>
      <c r="K8" s="13" t="s">
        <v>23</v>
      </c>
      <c r="L8" s="15">
        <v>359</v>
      </c>
      <c r="M8" s="13" t="s">
        <v>30</v>
      </c>
      <c r="N8" s="14">
        <v>46300.066562499997</v>
      </c>
      <c r="O8" s="15">
        <v>370</v>
      </c>
      <c r="P8" s="13" t="s">
        <v>40</v>
      </c>
      <c r="Q8" s="15">
        <v>40</v>
      </c>
      <c r="R8" s="3" t="str">
        <f>IF(OR(G8="12R",G8="12L"),_xlfn.XLOOKUP(C8,Tabla42[ADEP],Tabla42[SID 12R],""),IF(OR(G8="30L",G8="30R"),_xlfn.XLOOKUP(C8,Tabla42[ADEP],Tabla42[SID 30L],""),""))</f>
        <v>NUDAL</v>
      </c>
      <c r="S8" s="3">
        <f t="shared" si="0"/>
        <v>1</v>
      </c>
      <c r="T8" s="3" t="str">
        <f>_xlfn.XLOOKUP(C8,Tabla42[ADEP],Tabla42[Sector],"")</f>
        <v>Sector 3</v>
      </c>
    </row>
    <row r="9" spans="1:20" x14ac:dyDescent="0.2">
      <c r="A9" s="13" t="s">
        <v>2003</v>
      </c>
      <c r="B9" s="13" t="s">
        <v>18</v>
      </c>
      <c r="C9" s="13" t="s">
        <v>116</v>
      </c>
      <c r="D9" s="13" t="s">
        <v>43</v>
      </c>
      <c r="E9" s="13" t="s">
        <v>2004</v>
      </c>
      <c r="F9" s="14">
        <v>46300.048483796294</v>
      </c>
      <c r="G9" s="13" t="s">
        <v>21</v>
      </c>
      <c r="H9" s="13" t="s">
        <v>2005</v>
      </c>
      <c r="I9" s="15">
        <v>400</v>
      </c>
      <c r="J9" s="13" t="s">
        <v>22</v>
      </c>
      <c r="K9" s="13" t="s">
        <v>141</v>
      </c>
      <c r="L9" s="15">
        <v>531</v>
      </c>
      <c r="M9" s="13" t="s">
        <v>123</v>
      </c>
      <c r="N9" s="14">
        <v>46300.07608796296</v>
      </c>
      <c r="O9" s="15">
        <v>400</v>
      </c>
      <c r="P9" s="13" t="s">
        <v>25</v>
      </c>
      <c r="Q9" s="15">
        <v>40</v>
      </c>
      <c r="R9" s="3" t="str">
        <f>IF(OR(G9="12R",G9="12L"),_xlfn.XLOOKUP(C9,Tabla42[ADEP],Tabla42[SID 12R],""),IF(OR(G9="30L",G9="30R"),_xlfn.XLOOKUP(C9,Tabla42[ADEP],Tabla42[SID 30L],""),""))</f>
        <v>ENEBA</v>
      </c>
      <c r="S9" s="3">
        <f t="shared" si="0"/>
        <v>1</v>
      </c>
      <c r="T9" s="3" t="str">
        <f>_xlfn.XLOOKUP(C9,Tabla42[ADEP],Tabla42[Sector],"")</f>
        <v>Sector 3</v>
      </c>
    </row>
    <row r="10" spans="1:20" x14ac:dyDescent="0.2">
      <c r="A10" s="13" t="s">
        <v>2006</v>
      </c>
      <c r="B10" s="13" t="s">
        <v>18</v>
      </c>
      <c r="C10" s="13" t="s">
        <v>341</v>
      </c>
      <c r="D10" s="13" t="s">
        <v>2007</v>
      </c>
      <c r="E10" s="13" t="s">
        <v>2008</v>
      </c>
      <c r="F10" s="14">
        <v>46300.063530092593</v>
      </c>
      <c r="G10" s="13" t="s">
        <v>21</v>
      </c>
      <c r="H10" s="13" t="s">
        <v>2009</v>
      </c>
      <c r="I10" s="15">
        <v>350</v>
      </c>
      <c r="J10" s="13" t="s">
        <v>22</v>
      </c>
      <c r="K10" s="13" t="s">
        <v>141</v>
      </c>
      <c r="L10" s="15">
        <v>136</v>
      </c>
      <c r="M10" s="13" t="s">
        <v>39</v>
      </c>
      <c r="N10" s="14">
        <v>46300.073449074072</v>
      </c>
      <c r="O10" s="15">
        <v>190</v>
      </c>
      <c r="P10" s="13" t="s">
        <v>40</v>
      </c>
      <c r="Q10" s="15">
        <v>190</v>
      </c>
      <c r="R10" s="3" t="str">
        <f>IF(OR(G10="12R",G10="12L"),_xlfn.XLOOKUP(C10,Tabla42[ADEP],Tabla42[SID 12R],""),IF(OR(G10="30L",G10="30R"),_xlfn.XLOOKUP(C10,Tabla42[ADEP],Tabla42[SID 30L],""),""))</f>
        <v>NUDAL</v>
      </c>
      <c r="S10" s="3">
        <f t="shared" si="0"/>
        <v>1</v>
      </c>
      <c r="T10" s="3" t="str">
        <f>_xlfn.XLOOKUP(C10,Tabla42[ADEP],Tabla42[Sector],"")</f>
        <v>Sector 3</v>
      </c>
    </row>
    <row r="11" spans="1:20" x14ac:dyDescent="0.2">
      <c r="A11" s="13" t="s">
        <v>346</v>
      </c>
      <c r="B11" s="13" t="s">
        <v>18</v>
      </c>
      <c r="C11" s="13" t="s">
        <v>37</v>
      </c>
      <c r="D11" s="13" t="s">
        <v>340</v>
      </c>
      <c r="E11" s="13" t="s">
        <v>2010</v>
      </c>
      <c r="F11" s="14">
        <v>46300.072627314818</v>
      </c>
      <c r="G11" s="13" t="s">
        <v>21</v>
      </c>
      <c r="H11" s="13" t="s">
        <v>2011</v>
      </c>
      <c r="I11" s="15">
        <v>390</v>
      </c>
      <c r="J11" s="13" t="s">
        <v>22</v>
      </c>
      <c r="K11" s="13" t="s">
        <v>23</v>
      </c>
      <c r="L11" s="15">
        <v>347</v>
      </c>
      <c r="M11" s="13" t="s">
        <v>30</v>
      </c>
      <c r="N11" s="14">
        <v>46300.092916666668</v>
      </c>
      <c r="O11" s="15">
        <v>352</v>
      </c>
      <c r="P11" s="13" t="s">
        <v>40</v>
      </c>
      <c r="Q11" s="15">
        <v>40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13" t="s">
        <v>31</v>
      </c>
      <c r="B12" s="13" t="s">
        <v>18</v>
      </c>
      <c r="C12" s="13" t="s">
        <v>32</v>
      </c>
      <c r="D12" s="13" t="s">
        <v>53</v>
      </c>
      <c r="E12" s="13" t="s">
        <v>1023</v>
      </c>
      <c r="F12" s="14">
        <v>46300.07571759259</v>
      </c>
      <c r="G12" s="13" t="s">
        <v>21</v>
      </c>
      <c r="H12" s="13" t="s">
        <v>2012</v>
      </c>
      <c r="I12" s="15">
        <v>380</v>
      </c>
      <c r="J12" s="13" t="s">
        <v>22</v>
      </c>
      <c r="K12" s="13" t="s">
        <v>23</v>
      </c>
      <c r="L12" s="15">
        <v>834</v>
      </c>
      <c r="M12" s="13" t="s">
        <v>2013</v>
      </c>
      <c r="N12" s="14">
        <v>46300.118946759256</v>
      </c>
      <c r="O12" s="15">
        <v>380</v>
      </c>
      <c r="P12" s="13" t="s">
        <v>25</v>
      </c>
      <c r="Q12" s="15">
        <v>190</v>
      </c>
      <c r="R12" s="3" t="str">
        <f>IF(OR(G12="12R",G12="12L"),_xlfn.XLOOKUP(C12,Tabla42[ADEP],Tabla42[SID 12R],""),IF(OR(G12="30L",G12="30R"),_xlfn.XLOOKUP(C12,Tabla42[ADEP],Tabla42[SID 30L],""),""))</f>
        <v>UDGUV</v>
      </c>
      <c r="S12" s="3">
        <f t="shared" si="0"/>
        <v>1</v>
      </c>
      <c r="T12" s="3" t="str">
        <f>_xlfn.XLOOKUP(C12,Tabla42[ADEP],Tabla42[Sector],"")</f>
        <v>Sector 2</v>
      </c>
    </row>
    <row r="13" spans="1:20" x14ac:dyDescent="0.2">
      <c r="A13" s="13" t="s">
        <v>59</v>
      </c>
      <c r="B13" s="13" t="s">
        <v>18</v>
      </c>
      <c r="C13" s="13" t="s">
        <v>27</v>
      </c>
      <c r="D13" s="13" t="s">
        <v>60</v>
      </c>
      <c r="E13" s="13" t="s">
        <v>634</v>
      </c>
      <c r="F13" s="14">
        <v>46300.087094907409</v>
      </c>
      <c r="G13" s="13" t="s">
        <v>21</v>
      </c>
      <c r="H13" s="13" t="s">
        <v>2014</v>
      </c>
      <c r="I13" s="15">
        <v>350</v>
      </c>
      <c r="J13" s="13" t="s">
        <v>22</v>
      </c>
      <c r="K13" s="13" t="s">
        <v>23</v>
      </c>
      <c r="L13" s="15">
        <v>359</v>
      </c>
      <c r="M13" s="13" t="s">
        <v>30</v>
      </c>
      <c r="N13" s="14">
        <v>46300.108206018522</v>
      </c>
      <c r="O13" s="15">
        <v>350</v>
      </c>
      <c r="P13" s="13" t="s">
        <v>25</v>
      </c>
      <c r="Q13" s="15">
        <v>40</v>
      </c>
      <c r="R13" s="3" t="str">
        <f>IF(OR(G13="12R",G13="12L"),_xlfn.XLOOKUP(C13,Tabla42[ADEP],Tabla42[SID 12R],""),IF(OR(G13="30L",G13="30R"),_xlfn.XLOOKUP(C13,Tabla42[ADEP],Tabla42[SID 30L],""),""))</f>
        <v>OMSUK</v>
      </c>
      <c r="S13" s="3">
        <f t="shared" si="0"/>
        <v>2</v>
      </c>
      <c r="T13" s="3" t="str">
        <f>_xlfn.XLOOKUP(C13,Tabla42[ADEP],Tabla42[Sector],"")</f>
        <v>Sector 3</v>
      </c>
    </row>
    <row r="14" spans="1:20" x14ac:dyDescent="0.2">
      <c r="A14" s="13" t="s">
        <v>2015</v>
      </c>
      <c r="B14" s="13" t="s">
        <v>18</v>
      </c>
      <c r="C14" s="13" t="s">
        <v>341</v>
      </c>
      <c r="D14" s="13" t="s">
        <v>85</v>
      </c>
      <c r="E14" s="13" t="s">
        <v>2016</v>
      </c>
      <c r="F14" s="14">
        <v>46300.101076388892</v>
      </c>
      <c r="G14" s="13" t="s">
        <v>21</v>
      </c>
      <c r="H14" s="13" t="s">
        <v>2017</v>
      </c>
      <c r="I14" s="15">
        <v>350</v>
      </c>
      <c r="J14" s="13" t="s">
        <v>22</v>
      </c>
      <c r="K14" s="13" t="s">
        <v>23</v>
      </c>
      <c r="L14" s="15">
        <v>136</v>
      </c>
      <c r="M14" s="13" t="s">
        <v>39</v>
      </c>
      <c r="N14" s="14">
        <v>46300.111284722225</v>
      </c>
      <c r="O14" s="15">
        <v>208</v>
      </c>
      <c r="P14" s="13" t="s">
        <v>40</v>
      </c>
      <c r="Q14" s="15">
        <v>190</v>
      </c>
      <c r="R14" s="3" t="str">
        <f>IF(OR(G14="12R",G14="12L"),_xlfn.XLOOKUP(C14,Tabla42[ADEP],Tabla42[SID 12R],""),IF(OR(G14="30L",G14="30R"),_xlfn.XLOOKUP(C14,Tabla42[ADEP],Tabla42[SID 30L],""),""))</f>
        <v>NUDAL</v>
      </c>
      <c r="S14" s="3">
        <f t="shared" si="0"/>
        <v>2</v>
      </c>
      <c r="T14" s="3" t="str">
        <f>_xlfn.XLOOKUP(C14,Tabla42[ADEP],Tabla42[Sector],"")</f>
        <v>Sector 3</v>
      </c>
    </row>
    <row r="15" spans="1:20" x14ac:dyDescent="0.2">
      <c r="A15" s="13" t="s">
        <v>348</v>
      </c>
      <c r="B15" s="13" t="s">
        <v>18</v>
      </c>
      <c r="C15" s="13" t="s">
        <v>204</v>
      </c>
      <c r="D15" s="13" t="s">
        <v>53</v>
      </c>
      <c r="E15" s="13" t="s">
        <v>393</v>
      </c>
      <c r="F15" s="14">
        <v>46300.11509259259</v>
      </c>
      <c r="G15" s="13" t="s">
        <v>21</v>
      </c>
      <c r="H15" s="13" t="s">
        <v>2018</v>
      </c>
      <c r="I15" s="15">
        <v>370</v>
      </c>
      <c r="J15" s="13" t="s">
        <v>22</v>
      </c>
      <c r="K15" s="13" t="s">
        <v>23</v>
      </c>
      <c r="L15" s="15">
        <v>157</v>
      </c>
      <c r="M15" s="13" t="s">
        <v>2019</v>
      </c>
      <c r="N15" s="14">
        <v>46300.126076388886</v>
      </c>
      <c r="O15" s="15">
        <v>283</v>
      </c>
      <c r="P15" s="13" t="s">
        <v>25</v>
      </c>
      <c r="Q15" s="15">
        <v>190</v>
      </c>
      <c r="R15" s="3" t="str">
        <f>IF(OR(G15="12R",G15="12L"),_xlfn.XLOOKUP(C15,Tabla42[ADEP],Tabla42[SID 12R],""),IF(OR(G15="30L",G15="30R"),_xlfn.XLOOKUP(C15,Tabla42[ADEP],Tabla42[SID 30L],""),""))</f>
        <v>TAKUX</v>
      </c>
      <c r="S15" s="3">
        <f t="shared" si="0"/>
        <v>2</v>
      </c>
      <c r="T15" s="3" t="str">
        <f>_xlfn.XLOOKUP(C15,Tabla42[ADEP],Tabla42[Sector],"")</f>
        <v>Sector 7</v>
      </c>
    </row>
    <row r="16" spans="1:20" x14ac:dyDescent="0.2">
      <c r="A16" s="13" t="s">
        <v>69</v>
      </c>
      <c r="B16" s="13" t="s">
        <v>18</v>
      </c>
      <c r="C16" s="13" t="s">
        <v>42</v>
      </c>
      <c r="D16" s="13" t="s">
        <v>53</v>
      </c>
      <c r="E16" s="13" t="s">
        <v>97</v>
      </c>
      <c r="F16" s="14">
        <v>46300.13</v>
      </c>
      <c r="G16" s="13" t="s">
        <v>21</v>
      </c>
      <c r="H16" s="13" t="s">
        <v>2020</v>
      </c>
      <c r="I16" s="15">
        <v>360</v>
      </c>
      <c r="J16" s="13" t="s">
        <v>22</v>
      </c>
      <c r="K16" s="13" t="s">
        <v>23</v>
      </c>
      <c r="L16" s="15">
        <v>994</v>
      </c>
      <c r="M16" s="13" t="s">
        <v>2021</v>
      </c>
      <c r="N16" s="14">
        <v>46300.182384259257</v>
      </c>
      <c r="O16" s="15">
        <v>360</v>
      </c>
      <c r="P16" s="13" t="s">
        <v>25</v>
      </c>
      <c r="Q16" s="15">
        <v>190</v>
      </c>
      <c r="R16" s="3" t="str">
        <f>IF(OR(G16="12R",G16="12L"),_xlfn.XLOOKUP(C16,Tabla42[ADEP],Tabla42[SID 12R],""),IF(OR(G16="30L",G16="30R"),_xlfn.XLOOKUP(C16,Tabla42[ADEP],Tabla42[SID 30L],""),""))</f>
        <v>UDGUV</v>
      </c>
      <c r="S16" s="3">
        <f t="shared" si="0"/>
        <v>3</v>
      </c>
      <c r="T16" s="3" t="str">
        <f>_xlfn.XLOOKUP(C16,Tabla42[ADEP],Tabla42[Sector],"")</f>
        <v>Sector 2</v>
      </c>
    </row>
    <row r="17" spans="1:20" x14ac:dyDescent="0.2">
      <c r="A17" s="13" t="s">
        <v>78</v>
      </c>
      <c r="B17" s="13" t="s">
        <v>18</v>
      </c>
      <c r="C17" s="13" t="s">
        <v>42</v>
      </c>
      <c r="D17" s="13" t="s">
        <v>20</v>
      </c>
      <c r="E17" s="13" t="s">
        <v>710</v>
      </c>
      <c r="F17" s="14">
        <v>46300.134664351855</v>
      </c>
      <c r="G17" s="13" t="s">
        <v>21</v>
      </c>
      <c r="H17" s="13" t="s">
        <v>2022</v>
      </c>
      <c r="I17" s="15">
        <v>360</v>
      </c>
      <c r="J17" s="13" t="s">
        <v>22</v>
      </c>
      <c r="K17" s="13" t="s">
        <v>23</v>
      </c>
      <c r="L17" s="15">
        <v>871</v>
      </c>
      <c r="M17" s="13" t="s">
        <v>1827</v>
      </c>
      <c r="N17" s="14">
        <v>46300.180092592593</v>
      </c>
      <c r="O17" s="15">
        <v>360</v>
      </c>
      <c r="P17" s="13" t="s">
        <v>25</v>
      </c>
      <c r="Q17" s="15">
        <v>190</v>
      </c>
      <c r="R17" s="3" t="str">
        <f>IF(OR(G17="12R",G17="12L"),_xlfn.XLOOKUP(C17,Tabla42[ADEP],Tabla42[SID 12R],""),IF(OR(G17="30L",G17="30R"),_xlfn.XLOOKUP(C17,Tabla42[ADEP],Tabla42[SID 30L],""),""))</f>
        <v>UDGUV</v>
      </c>
      <c r="S17" s="3">
        <f t="shared" si="0"/>
        <v>3</v>
      </c>
      <c r="T17" s="3" t="str">
        <f>_xlfn.XLOOKUP(C17,Tabla42[ADEP],Tabla42[Sector],"")</f>
        <v>Sector 2</v>
      </c>
    </row>
    <row r="18" spans="1:20" x14ac:dyDescent="0.2">
      <c r="A18" s="13" t="s">
        <v>2023</v>
      </c>
      <c r="B18" s="13" t="s">
        <v>18</v>
      </c>
      <c r="C18" s="13" t="s">
        <v>32</v>
      </c>
      <c r="D18" s="13" t="s">
        <v>20</v>
      </c>
      <c r="E18" s="13" t="s">
        <v>2024</v>
      </c>
      <c r="F18" s="14">
        <v>46300.146180555559</v>
      </c>
      <c r="G18" s="13" t="s">
        <v>21</v>
      </c>
      <c r="H18" s="13" t="s">
        <v>2025</v>
      </c>
      <c r="I18" s="15">
        <v>340</v>
      </c>
      <c r="J18" s="13" t="s">
        <v>22</v>
      </c>
      <c r="K18" s="13" t="s">
        <v>23</v>
      </c>
      <c r="L18" s="15">
        <v>815</v>
      </c>
      <c r="M18" s="13" t="s">
        <v>2026</v>
      </c>
      <c r="N18" s="14">
        <v>46300.188935185186</v>
      </c>
      <c r="O18" s="15">
        <v>340</v>
      </c>
      <c r="P18" s="13" t="s">
        <v>25</v>
      </c>
      <c r="Q18" s="15">
        <v>190</v>
      </c>
      <c r="R18" s="3" t="str">
        <f>IF(OR(G18="12R",G18="12L"),_xlfn.XLOOKUP(C18,Tabla42[ADEP],Tabla42[SID 12R],""),IF(OR(G18="30L",G18="30R"),_xlfn.XLOOKUP(C18,Tabla42[ADEP],Tabla42[SID 30L],""),""))</f>
        <v>UDGUV</v>
      </c>
      <c r="S18" s="3">
        <f t="shared" si="0"/>
        <v>3</v>
      </c>
      <c r="T18" s="3" t="str">
        <f>_xlfn.XLOOKUP(C18,Tabla42[ADEP],Tabla42[Sector],"")</f>
        <v>Sector 2</v>
      </c>
    </row>
    <row r="19" spans="1:20" x14ac:dyDescent="0.2">
      <c r="A19" s="13" t="s">
        <v>504</v>
      </c>
      <c r="B19" s="13" t="s">
        <v>18</v>
      </c>
      <c r="C19" s="13" t="s">
        <v>96</v>
      </c>
      <c r="D19" s="13" t="s">
        <v>60</v>
      </c>
      <c r="E19" s="13" t="s">
        <v>144</v>
      </c>
      <c r="F19" s="14">
        <v>46300.151250000003</v>
      </c>
      <c r="G19" s="13" t="s">
        <v>21</v>
      </c>
      <c r="H19" s="13" t="s">
        <v>2027</v>
      </c>
      <c r="I19" s="15">
        <v>360</v>
      </c>
      <c r="J19" s="13" t="s">
        <v>22</v>
      </c>
      <c r="K19" s="13" t="s">
        <v>23</v>
      </c>
      <c r="L19" s="15">
        <v>862</v>
      </c>
      <c r="M19" s="13" t="s">
        <v>420</v>
      </c>
      <c r="N19" s="14">
        <v>46300.1950462963</v>
      </c>
      <c r="O19" s="15">
        <v>360</v>
      </c>
      <c r="P19" s="13" t="s">
        <v>25</v>
      </c>
      <c r="Q19" s="15">
        <v>190</v>
      </c>
      <c r="R19" s="3" t="str">
        <f>IF(OR(G19="12R",G19="12L"),_xlfn.XLOOKUP(C19,Tabla42[ADEP],Tabla42[SID 12R],""),IF(OR(G19="30L",G19="30R"),_xlfn.XLOOKUP(C19,Tabla42[ADEP],Tabla42[SID 30L],""),""))</f>
        <v>UDGUV</v>
      </c>
      <c r="S19" s="3">
        <f t="shared" si="0"/>
        <v>3</v>
      </c>
      <c r="T19" s="3" t="str">
        <f>_xlfn.XLOOKUP(C19,Tabla42[ADEP],Tabla42[Sector],"")</f>
        <v>Sector 2</v>
      </c>
    </row>
    <row r="20" spans="1:20" x14ac:dyDescent="0.2">
      <c r="A20" s="13" t="s">
        <v>75</v>
      </c>
      <c r="B20" s="13" t="s">
        <v>18</v>
      </c>
      <c r="C20" s="13" t="s">
        <v>19</v>
      </c>
      <c r="D20" s="13" t="s">
        <v>20</v>
      </c>
      <c r="E20" s="13" t="s">
        <v>76</v>
      </c>
      <c r="F20" s="14">
        <v>46300.167974537035</v>
      </c>
      <c r="G20" s="13" t="s">
        <v>21</v>
      </c>
      <c r="H20" s="13" t="s">
        <v>2028</v>
      </c>
      <c r="I20" s="15">
        <v>360</v>
      </c>
      <c r="J20" s="13" t="s">
        <v>22</v>
      </c>
      <c r="K20" s="13" t="s">
        <v>23</v>
      </c>
      <c r="L20" s="15">
        <v>913</v>
      </c>
      <c r="M20" s="13" t="s">
        <v>2029</v>
      </c>
      <c r="N20" s="14">
        <v>46300.213576388887</v>
      </c>
      <c r="O20" s="15">
        <v>360</v>
      </c>
      <c r="P20" s="13" t="s">
        <v>25</v>
      </c>
      <c r="Q20" s="15">
        <v>190</v>
      </c>
      <c r="R20" s="3" t="str">
        <f>IF(OR(G20="12R",G20="12L"),_xlfn.XLOOKUP(C20,Tabla42[ADEP],Tabla42[SID 12R],""),IF(OR(G20="30L",G20="30R"),_xlfn.XLOOKUP(C20,Tabla42[ADEP],Tabla42[SID 30L],""),""))</f>
        <v>UDGUV</v>
      </c>
      <c r="S20" s="3">
        <f t="shared" si="0"/>
        <v>4</v>
      </c>
      <c r="T20" s="3" t="str">
        <f>_xlfn.XLOOKUP(C20,Tabla42[ADEP],Tabla42[Sector],"")</f>
        <v>Sector 2</v>
      </c>
    </row>
    <row r="21" spans="1:20" x14ac:dyDescent="0.2">
      <c r="A21" s="13" t="s">
        <v>2030</v>
      </c>
      <c r="B21" s="13" t="s">
        <v>18</v>
      </c>
      <c r="C21" s="13" t="s">
        <v>657</v>
      </c>
      <c r="D21" s="13" t="s">
        <v>60</v>
      </c>
      <c r="E21" s="13" t="s">
        <v>2031</v>
      </c>
      <c r="F21" s="14">
        <v>46300.178182870368</v>
      </c>
      <c r="G21" s="13" t="s">
        <v>21</v>
      </c>
      <c r="H21" s="13" t="s">
        <v>2032</v>
      </c>
      <c r="I21" s="15">
        <v>350</v>
      </c>
      <c r="J21" s="13" t="s">
        <v>22</v>
      </c>
      <c r="K21" s="13" t="s">
        <v>23</v>
      </c>
      <c r="L21" s="15">
        <v>136</v>
      </c>
      <c r="M21" s="13" t="s">
        <v>39</v>
      </c>
      <c r="N21" s="14">
        <v>46300.188379629632</v>
      </c>
      <c r="O21" s="15">
        <v>237</v>
      </c>
      <c r="P21" s="13" t="s">
        <v>25</v>
      </c>
      <c r="Q21" s="15">
        <v>190</v>
      </c>
      <c r="R21" s="3" t="str">
        <f>IF(OR(G21="12R",G21="12L"),_xlfn.XLOOKUP(C21,Tabla42[ADEP],Tabla42[SID 12R],""),IF(OR(G21="30L",G21="30R"),_xlfn.XLOOKUP(C21,Tabla42[ADEP],Tabla42[SID 30L],""),""))</f>
        <v>OMSUK</v>
      </c>
      <c r="S21" s="3">
        <f t="shared" si="0"/>
        <v>4</v>
      </c>
      <c r="T21" s="3" t="str">
        <f>_xlfn.XLOOKUP(C21,Tabla42[ADEP],Tabla42[Sector],"")</f>
        <v>Sector 3</v>
      </c>
    </row>
    <row r="22" spans="1:20" x14ac:dyDescent="0.2">
      <c r="A22" s="13" t="s">
        <v>86</v>
      </c>
      <c r="B22" s="13" t="s">
        <v>18</v>
      </c>
      <c r="C22" s="13" t="s">
        <v>42</v>
      </c>
      <c r="D22" s="13" t="s">
        <v>60</v>
      </c>
      <c r="E22" s="13" t="s">
        <v>2033</v>
      </c>
      <c r="F22" s="14">
        <v>46300.189756944441</v>
      </c>
      <c r="G22" s="13" t="s">
        <v>21</v>
      </c>
      <c r="H22" s="13" t="s">
        <v>2034</v>
      </c>
      <c r="I22" s="15">
        <v>360</v>
      </c>
      <c r="J22" s="13" t="s">
        <v>22</v>
      </c>
      <c r="K22" s="13" t="s">
        <v>23</v>
      </c>
      <c r="L22" s="15">
        <v>861</v>
      </c>
      <c r="M22" s="13" t="s">
        <v>2035</v>
      </c>
      <c r="N22" s="14">
        <v>46300.231898148151</v>
      </c>
      <c r="O22" s="15">
        <v>360</v>
      </c>
      <c r="P22" s="13" t="s">
        <v>25</v>
      </c>
      <c r="Q22" s="15">
        <v>190</v>
      </c>
      <c r="R22" s="3" t="str">
        <f>IF(OR(G22="12R",G22="12L"),_xlfn.XLOOKUP(C22,Tabla42[ADEP],Tabla42[SID 12R],""),IF(OR(G22="30L",G22="30R"),_xlfn.XLOOKUP(C22,Tabla42[ADEP],Tabla42[SID 30L],""),""))</f>
        <v>UDGUV</v>
      </c>
      <c r="S22" s="3">
        <f t="shared" si="0"/>
        <v>4</v>
      </c>
      <c r="T22" s="3" t="str">
        <f>_xlfn.XLOOKUP(C22,Tabla42[ADEP],Tabla42[Sector],"")</f>
        <v>Sector 2</v>
      </c>
    </row>
    <row r="23" spans="1:20" x14ac:dyDescent="0.2">
      <c r="A23" s="13" t="s">
        <v>90</v>
      </c>
      <c r="B23" s="13" t="s">
        <v>18</v>
      </c>
      <c r="C23" s="13" t="s">
        <v>42</v>
      </c>
      <c r="D23" s="13" t="s">
        <v>53</v>
      </c>
      <c r="E23" s="13" t="s">
        <v>2036</v>
      </c>
      <c r="F23" s="14">
        <v>46300.432002314818</v>
      </c>
      <c r="G23" s="13" t="s">
        <v>21</v>
      </c>
      <c r="H23" s="13" t="s">
        <v>2037</v>
      </c>
      <c r="I23" s="15">
        <v>380</v>
      </c>
      <c r="J23" s="13" t="s">
        <v>22</v>
      </c>
      <c r="K23" s="13" t="s">
        <v>23</v>
      </c>
      <c r="L23" s="15">
        <v>995</v>
      </c>
      <c r="M23" s="13" t="s">
        <v>2038</v>
      </c>
      <c r="N23" s="14">
        <v>46300.482997685183</v>
      </c>
      <c r="O23" s="15">
        <v>380</v>
      </c>
      <c r="P23" s="13" t="s">
        <v>25</v>
      </c>
      <c r="Q23" s="15">
        <v>190</v>
      </c>
      <c r="R23" s="3" t="str">
        <f>IF(OR(G23="12R",G23="12L"),_xlfn.XLOOKUP(C23,Tabla42[ADEP],Tabla42[SID 12R],""),IF(OR(G23="30L",G23="30R"),_xlfn.XLOOKUP(C23,Tabla42[ADEP],Tabla42[SID 30L],""),""))</f>
        <v>UDGUV</v>
      </c>
      <c r="S23" s="3">
        <f t="shared" si="0"/>
        <v>10</v>
      </c>
      <c r="T23" s="3" t="str">
        <f>_xlfn.XLOOKUP(C23,Tabla42[ADEP],Tabla42[Sector],"")</f>
        <v>Sector 2</v>
      </c>
    </row>
    <row r="24" spans="1:20" x14ac:dyDescent="0.2">
      <c r="A24" s="13" t="s">
        <v>92</v>
      </c>
      <c r="B24" s="13" t="s">
        <v>18</v>
      </c>
      <c r="C24" s="13" t="s">
        <v>93</v>
      </c>
      <c r="D24" s="13" t="s">
        <v>53</v>
      </c>
      <c r="E24" s="13" t="s">
        <v>207</v>
      </c>
      <c r="F24" s="14">
        <v>46300.460613425923</v>
      </c>
      <c r="G24" s="13" t="s">
        <v>21</v>
      </c>
      <c r="H24" s="13" t="s">
        <v>2039</v>
      </c>
      <c r="I24" s="15">
        <v>380</v>
      </c>
      <c r="J24" s="13" t="s">
        <v>22</v>
      </c>
      <c r="K24" s="13" t="s">
        <v>23</v>
      </c>
      <c r="L24" s="15">
        <v>973</v>
      </c>
      <c r="M24" s="13" t="s">
        <v>2040</v>
      </c>
      <c r="N24" s="14">
        <v>46300.509965277779</v>
      </c>
      <c r="O24" s="15">
        <v>178</v>
      </c>
      <c r="P24" s="13" t="s">
        <v>25</v>
      </c>
      <c r="Q24" s="15">
        <v>190</v>
      </c>
      <c r="R24" s="3" t="str">
        <f>IF(OR(G24="12R",G24="12L"),_xlfn.XLOOKUP(C24,Tabla42[ADEP],Tabla42[SID 12R],""),IF(OR(G24="30L",G24="30R"),_xlfn.XLOOKUP(C24,Tabla42[ADEP],Tabla42[SID 30L],""),""))</f>
        <v>UDGUV</v>
      </c>
      <c r="S24" s="3">
        <f t="shared" si="0"/>
        <v>11</v>
      </c>
      <c r="T24" s="3" t="str">
        <f>_xlfn.XLOOKUP(C24,Tabla42[ADEP],Tabla42[Sector],"")</f>
        <v>Sector 2</v>
      </c>
    </row>
    <row r="25" spans="1:20" x14ac:dyDescent="0.2">
      <c r="A25" s="13" t="s">
        <v>95</v>
      </c>
      <c r="B25" s="13" t="s">
        <v>18</v>
      </c>
      <c r="C25" s="13" t="s">
        <v>96</v>
      </c>
      <c r="D25" s="13" t="s">
        <v>20</v>
      </c>
      <c r="E25" s="13" t="s">
        <v>484</v>
      </c>
      <c r="F25" s="14">
        <v>46300.463564814818</v>
      </c>
      <c r="G25" s="13" t="s">
        <v>21</v>
      </c>
      <c r="H25" s="13" t="s">
        <v>2041</v>
      </c>
      <c r="I25" s="15">
        <v>360</v>
      </c>
      <c r="J25" s="13" t="s">
        <v>22</v>
      </c>
      <c r="K25" s="13" t="s">
        <v>23</v>
      </c>
      <c r="L25" s="15">
        <v>868</v>
      </c>
      <c r="M25" s="13" t="s">
        <v>2042</v>
      </c>
      <c r="N25" s="14">
        <v>46300.508599537039</v>
      </c>
      <c r="O25" s="15">
        <v>360</v>
      </c>
      <c r="P25" s="13" t="s">
        <v>25</v>
      </c>
      <c r="Q25" s="15">
        <v>190</v>
      </c>
      <c r="R25" s="3" t="str">
        <f>IF(OR(G25="12R",G25="12L"),_xlfn.XLOOKUP(C25,Tabla42[ADEP],Tabla42[SID 12R],""),IF(OR(G25="30L",G25="30R"),_xlfn.XLOOKUP(C25,Tabla42[ADEP],Tabla42[SID 30L],""),""))</f>
        <v>UDGUV</v>
      </c>
      <c r="S25" s="3">
        <f t="shared" si="0"/>
        <v>11</v>
      </c>
      <c r="T25" s="3" t="str">
        <f>_xlfn.XLOOKUP(C25,Tabla42[ADEP],Tabla42[Sector],"")</f>
        <v>Sector 2</v>
      </c>
    </row>
    <row r="26" spans="1:20" x14ac:dyDescent="0.2">
      <c r="A26" s="13" t="s">
        <v>98</v>
      </c>
      <c r="B26" s="13" t="s">
        <v>18</v>
      </c>
      <c r="C26" s="13" t="s">
        <v>42</v>
      </c>
      <c r="D26" s="13" t="s">
        <v>43</v>
      </c>
      <c r="E26" s="13" t="s">
        <v>557</v>
      </c>
      <c r="F26" s="14">
        <v>46300.467037037037</v>
      </c>
      <c r="G26" s="13" t="s">
        <v>21</v>
      </c>
      <c r="H26" s="13" t="s">
        <v>2043</v>
      </c>
      <c r="I26" s="15">
        <v>360</v>
      </c>
      <c r="J26" s="13" t="s">
        <v>22</v>
      </c>
      <c r="K26" s="13" t="s">
        <v>23</v>
      </c>
      <c r="L26" s="15">
        <v>867</v>
      </c>
      <c r="M26" s="13" t="s">
        <v>630</v>
      </c>
      <c r="N26" s="14">
        <v>46300.512766203705</v>
      </c>
      <c r="O26" s="15">
        <v>360</v>
      </c>
      <c r="P26" s="13" t="s">
        <v>25</v>
      </c>
      <c r="Q26" s="15">
        <v>190</v>
      </c>
      <c r="R26" s="3" t="str">
        <f>IF(OR(G26="12R",G26="12L"),_xlfn.XLOOKUP(C26,Tabla42[ADEP],Tabla42[SID 12R],""),IF(OR(G26="30L",G26="30R"),_xlfn.XLOOKUP(C26,Tabla42[ADEP],Tabla42[SID 30L],""),""))</f>
        <v>UDGUV</v>
      </c>
      <c r="S26" s="3">
        <f t="shared" si="0"/>
        <v>11</v>
      </c>
      <c r="T26" s="3" t="str">
        <f>_xlfn.XLOOKUP(C26,Tabla42[ADEP],Tabla42[Sector],"")</f>
        <v>Sector 2</v>
      </c>
    </row>
    <row r="27" spans="1:20" x14ac:dyDescent="0.2">
      <c r="A27" s="13" t="s">
        <v>100</v>
      </c>
      <c r="B27" s="13" t="s">
        <v>18</v>
      </c>
      <c r="C27" s="13" t="s">
        <v>42</v>
      </c>
      <c r="D27" s="13" t="s">
        <v>20</v>
      </c>
      <c r="E27" s="13" t="s">
        <v>169</v>
      </c>
      <c r="F27" s="14">
        <v>46300.471030092594</v>
      </c>
      <c r="G27" s="13" t="s">
        <v>21</v>
      </c>
      <c r="H27" s="13" t="s">
        <v>2044</v>
      </c>
      <c r="I27" s="15">
        <v>360</v>
      </c>
      <c r="J27" s="13" t="s">
        <v>22</v>
      </c>
      <c r="K27" s="13" t="s">
        <v>23</v>
      </c>
      <c r="L27" s="15">
        <v>961</v>
      </c>
      <c r="M27" s="13" t="s">
        <v>2045</v>
      </c>
      <c r="N27" s="14">
        <v>46300.519189814811</v>
      </c>
      <c r="O27" s="15">
        <v>340</v>
      </c>
      <c r="P27" s="13" t="s">
        <v>25</v>
      </c>
      <c r="Q27" s="15">
        <v>190</v>
      </c>
      <c r="R27" s="3" t="str">
        <f>IF(OR(G27="12R",G27="12L"),_xlfn.XLOOKUP(C27,Tabla42[ADEP],Tabla42[SID 12R],""),IF(OR(G27="30L",G27="30R"),_xlfn.XLOOKUP(C27,Tabla42[ADEP],Tabla42[SID 30L],""),""))</f>
        <v>UDGUV</v>
      </c>
      <c r="S27" s="3">
        <f t="shared" si="0"/>
        <v>11</v>
      </c>
      <c r="T27" s="3" t="str">
        <f>_xlfn.XLOOKUP(C27,Tabla42[ADEP],Tabla42[Sector],"")</f>
        <v>Sector 2</v>
      </c>
    </row>
    <row r="28" spans="1:20" x14ac:dyDescent="0.2">
      <c r="A28" s="13" t="s">
        <v>105</v>
      </c>
      <c r="B28" s="13" t="s">
        <v>18</v>
      </c>
      <c r="C28" s="13" t="s">
        <v>32</v>
      </c>
      <c r="D28" s="13" t="s">
        <v>20</v>
      </c>
      <c r="E28" s="13" t="s">
        <v>57</v>
      </c>
      <c r="F28" s="14">
        <v>46300.489861111113</v>
      </c>
      <c r="G28" s="13" t="s">
        <v>21</v>
      </c>
      <c r="H28" s="13" t="s">
        <v>2046</v>
      </c>
      <c r="I28" s="15">
        <v>360</v>
      </c>
      <c r="J28" s="13" t="s">
        <v>22</v>
      </c>
      <c r="K28" s="13" t="s">
        <v>23</v>
      </c>
      <c r="L28" s="15">
        <v>831</v>
      </c>
      <c r="M28" s="13" t="s">
        <v>2047</v>
      </c>
      <c r="N28" s="14">
        <v>46300.533113425925</v>
      </c>
      <c r="O28" s="15">
        <v>360</v>
      </c>
      <c r="P28" s="13" t="s">
        <v>25</v>
      </c>
      <c r="Q28" s="15">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3" t="s">
        <v>2048</v>
      </c>
      <c r="B29" s="13" t="s">
        <v>18</v>
      </c>
      <c r="C29" s="13" t="s">
        <v>49</v>
      </c>
      <c r="D29" s="13" t="s">
        <v>124</v>
      </c>
      <c r="E29" s="13"/>
      <c r="F29" s="14">
        <v>46300.496550925927</v>
      </c>
      <c r="G29" s="13" t="s">
        <v>21</v>
      </c>
      <c r="H29" s="13" t="s">
        <v>985</v>
      </c>
      <c r="I29" s="15">
        <v>400</v>
      </c>
      <c r="J29" s="13" t="s">
        <v>22</v>
      </c>
      <c r="K29" s="13" t="s">
        <v>50</v>
      </c>
      <c r="L29" s="15">
        <v>862</v>
      </c>
      <c r="M29" s="13" t="s">
        <v>45</v>
      </c>
      <c r="N29" s="14">
        <v>46300.544432870367</v>
      </c>
      <c r="O29" s="15">
        <v>400</v>
      </c>
      <c r="P29" s="13" t="s">
        <v>25</v>
      </c>
      <c r="Q29" s="15">
        <v>30</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13" t="s">
        <v>2049</v>
      </c>
      <c r="B30" s="13" t="s">
        <v>18</v>
      </c>
      <c r="C30" s="13" t="s">
        <v>154</v>
      </c>
      <c r="D30" s="13" t="s">
        <v>2050</v>
      </c>
      <c r="E30" s="13"/>
      <c r="F30" s="14">
        <v>46300.497870370367</v>
      </c>
      <c r="G30" s="13" t="s">
        <v>21</v>
      </c>
      <c r="H30" s="13" t="s">
        <v>2051</v>
      </c>
      <c r="I30" s="15">
        <v>40</v>
      </c>
      <c r="J30" s="13" t="s">
        <v>22</v>
      </c>
      <c r="K30" s="13" t="s">
        <v>50</v>
      </c>
      <c r="L30" s="15">
        <v>72</v>
      </c>
      <c r="M30" s="13" t="s">
        <v>154</v>
      </c>
      <c r="N30" s="14">
        <v>46300.506261574075</v>
      </c>
      <c r="O30" s="15">
        <v>0</v>
      </c>
      <c r="P30" s="13" t="s">
        <v>25</v>
      </c>
      <c r="Q30" s="15">
        <v>40</v>
      </c>
      <c r="R30" s="3" t="str">
        <f>IF(OR(G30="12R",G30="12L"),_xlfn.XLOOKUP(C30,Tabla42[ADEP],Tabla42[SID 12R],""),IF(OR(G30="30L",G30="30R"),_xlfn.XLOOKUP(C30,Tabla42[ADEP],Tabla42[SID 30L],""),""))</f>
        <v>CZM</v>
      </c>
      <c r="S30" s="3">
        <f t="shared" si="0"/>
        <v>11</v>
      </c>
      <c r="T30" s="3" t="str">
        <f>_xlfn.XLOOKUP(C30,Tabla42[ADEP],Tabla42[Sector],"")</f>
        <v>Sector 7</v>
      </c>
    </row>
    <row r="31" spans="1:20" x14ac:dyDescent="0.2">
      <c r="A31" s="13" t="s">
        <v>101</v>
      </c>
      <c r="B31" s="13" t="s">
        <v>18</v>
      </c>
      <c r="C31" s="13" t="s">
        <v>102</v>
      </c>
      <c r="D31" s="13" t="s">
        <v>53</v>
      </c>
      <c r="E31" s="13" t="s">
        <v>393</v>
      </c>
      <c r="F31" s="14">
        <v>46300.498900462961</v>
      </c>
      <c r="G31" s="13" t="s">
        <v>21</v>
      </c>
      <c r="H31" s="13" t="s">
        <v>2052</v>
      </c>
      <c r="I31" s="15">
        <v>290</v>
      </c>
      <c r="J31" s="13" t="s">
        <v>22</v>
      </c>
      <c r="K31" s="13" t="s">
        <v>23</v>
      </c>
      <c r="L31" s="15">
        <v>135</v>
      </c>
      <c r="M31" s="13" t="s">
        <v>39</v>
      </c>
      <c r="N31" s="14">
        <v>46300.508587962962</v>
      </c>
      <c r="O31" s="15">
        <v>282</v>
      </c>
      <c r="P31" s="13" t="s">
        <v>25</v>
      </c>
      <c r="Q31" s="15">
        <v>190</v>
      </c>
      <c r="R31" s="3" t="str">
        <f>IF(OR(G31="12R",G31="12L"),_xlfn.XLOOKUP(C31,Tabla42[ADEP],Tabla42[SID 12R],""),IF(OR(G31="30L",G31="30R"),_xlfn.XLOOKUP(C31,Tabla42[ADEP],Tabla42[SID 30L],""),""))</f>
        <v>NUDAL</v>
      </c>
      <c r="S31" s="3">
        <f t="shared" si="0"/>
        <v>11</v>
      </c>
      <c r="T31" s="3" t="str">
        <f>_xlfn.XLOOKUP(C31,Tabla42[ADEP],Tabla42[Sector],"")</f>
        <v>Sector 3</v>
      </c>
    </row>
    <row r="32" spans="1:20" x14ac:dyDescent="0.2">
      <c r="A32" s="13" t="s">
        <v>2053</v>
      </c>
      <c r="B32" s="13" t="s">
        <v>18</v>
      </c>
      <c r="C32" s="13" t="s">
        <v>814</v>
      </c>
      <c r="D32" s="13" t="s">
        <v>124</v>
      </c>
      <c r="E32" s="13"/>
      <c r="F32" s="14">
        <v>46300.501550925925</v>
      </c>
      <c r="G32" s="13" t="s">
        <v>21</v>
      </c>
      <c r="H32" s="13" t="s">
        <v>2054</v>
      </c>
      <c r="I32" s="15">
        <v>380</v>
      </c>
      <c r="J32" s="13" t="s">
        <v>22</v>
      </c>
      <c r="K32" s="13" t="s">
        <v>50</v>
      </c>
      <c r="L32" s="15">
        <v>371</v>
      </c>
      <c r="M32" s="13" t="s">
        <v>250</v>
      </c>
      <c r="N32" s="14">
        <v>46300.525914351849</v>
      </c>
      <c r="O32" s="15">
        <v>380</v>
      </c>
      <c r="P32" s="13" t="s">
        <v>25</v>
      </c>
      <c r="Q32" s="15">
        <v>30</v>
      </c>
      <c r="R32" s="3" t="str">
        <f>IF(OR(G32="12R",G32="12L"),_xlfn.XLOOKUP(C32,Tabla42[ADEP],Tabla42[SID 12R],""),IF(OR(G32="30L",G32="30R"),_xlfn.XLOOKUP(C32,Tabla42[ADEP],Tabla42[SID 30L],""),""))</f>
        <v>ENEBA</v>
      </c>
      <c r="S32" s="3">
        <f t="shared" si="0"/>
        <v>12</v>
      </c>
      <c r="T32" s="3" t="str">
        <f>_xlfn.XLOOKUP(C32,Tabla42[ADEP],Tabla42[Sector],"")</f>
        <v>Sector 3</v>
      </c>
    </row>
    <row r="33" spans="1:20" x14ac:dyDescent="0.2">
      <c r="A33" s="13" t="s">
        <v>108</v>
      </c>
      <c r="B33" s="13" t="s">
        <v>18</v>
      </c>
      <c r="C33" s="13" t="s">
        <v>109</v>
      </c>
      <c r="D33" s="13" t="s">
        <v>122</v>
      </c>
      <c r="E33" s="13" t="s">
        <v>2055</v>
      </c>
      <c r="F33" s="14">
        <v>46300.506574074076</v>
      </c>
      <c r="G33" s="13" t="s">
        <v>21</v>
      </c>
      <c r="H33" s="13" t="s">
        <v>2056</v>
      </c>
      <c r="I33" s="15">
        <v>370</v>
      </c>
      <c r="J33" s="13" t="s">
        <v>22</v>
      </c>
      <c r="K33" s="13" t="s">
        <v>23</v>
      </c>
      <c r="L33" s="15">
        <v>149</v>
      </c>
      <c r="M33" s="13" t="s">
        <v>111</v>
      </c>
      <c r="N33" s="14">
        <v>46300.51662037037</v>
      </c>
      <c r="O33" s="15">
        <v>290</v>
      </c>
      <c r="P33" s="13" t="s">
        <v>25</v>
      </c>
      <c r="Q33" s="15">
        <v>190</v>
      </c>
      <c r="R33" s="3" t="str">
        <f>IF(OR(G33="12R",G33="12L"),_xlfn.XLOOKUP(C33,Tabla42[ADEP],Tabla42[SID 12R],""),IF(OR(G33="30L",G33="30R"),_xlfn.XLOOKUP(C33,Tabla42[ADEP],Tabla42[SID 30L],""),""))</f>
        <v>TAKUX</v>
      </c>
      <c r="S33" s="3">
        <f t="shared" si="0"/>
        <v>12</v>
      </c>
      <c r="T33" s="3" t="str">
        <f>_xlfn.XLOOKUP(C33,Tabla42[ADEP],Tabla42[Sector],"")</f>
        <v>Sector 7</v>
      </c>
    </row>
    <row r="34" spans="1:20" x14ac:dyDescent="0.2">
      <c r="A34" s="13" t="s">
        <v>107</v>
      </c>
      <c r="B34" s="13" t="s">
        <v>18</v>
      </c>
      <c r="C34" s="13" t="s">
        <v>42</v>
      </c>
      <c r="D34" s="13" t="s">
        <v>43</v>
      </c>
      <c r="E34" s="13" t="s">
        <v>269</v>
      </c>
      <c r="F34" s="14">
        <v>46300.50849537037</v>
      </c>
      <c r="G34" s="13" t="s">
        <v>21</v>
      </c>
      <c r="H34" s="13" t="s">
        <v>2057</v>
      </c>
      <c r="I34" s="15">
        <v>360</v>
      </c>
      <c r="J34" s="13" t="s">
        <v>22</v>
      </c>
      <c r="K34" s="13" t="s">
        <v>23</v>
      </c>
      <c r="L34" s="15">
        <v>1011</v>
      </c>
      <c r="M34" s="13" t="s">
        <v>2058</v>
      </c>
      <c r="N34" s="14">
        <v>46300.560486111113</v>
      </c>
      <c r="O34" s="15">
        <v>360</v>
      </c>
      <c r="P34" s="13" t="s">
        <v>25</v>
      </c>
      <c r="Q34" s="15">
        <v>190</v>
      </c>
      <c r="R34" s="3" t="str">
        <f>IF(OR(G34="12R",G34="12L"),_xlfn.XLOOKUP(C34,Tabla42[ADEP],Tabla42[SID 12R],""),IF(OR(G34="30L",G34="30R"),_xlfn.XLOOKUP(C34,Tabla42[ADEP],Tabla42[SID 30L],""),""))</f>
        <v>UDGUV</v>
      </c>
      <c r="S34" s="3">
        <f t="shared" si="0"/>
        <v>12</v>
      </c>
      <c r="T34" s="3" t="str">
        <f>_xlfn.XLOOKUP(C34,Tabla42[ADEP],Tabla42[Sector],"")</f>
        <v>Sector 2</v>
      </c>
    </row>
    <row r="35" spans="1:20" x14ac:dyDescent="0.2">
      <c r="A35" s="13" t="s">
        <v>115</v>
      </c>
      <c r="B35" s="13" t="s">
        <v>18</v>
      </c>
      <c r="C35" s="13" t="s">
        <v>116</v>
      </c>
      <c r="D35" s="13" t="s">
        <v>117</v>
      </c>
      <c r="E35" s="13" t="s">
        <v>2059</v>
      </c>
      <c r="F35" s="14">
        <v>46300.536747685182</v>
      </c>
      <c r="G35" s="13" t="s">
        <v>21</v>
      </c>
      <c r="H35" s="13" t="s">
        <v>2060</v>
      </c>
      <c r="I35" s="15">
        <v>340</v>
      </c>
      <c r="J35" s="13" t="s">
        <v>22</v>
      </c>
      <c r="K35" s="13" t="s">
        <v>23</v>
      </c>
      <c r="L35" s="15">
        <v>434</v>
      </c>
      <c r="M35" s="13" t="s">
        <v>189</v>
      </c>
      <c r="N35" s="14">
        <v>46300.55972222222</v>
      </c>
      <c r="O35" s="15">
        <v>340</v>
      </c>
      <c r="P35" s="13" t="s">
        <v>25</v>
      </c>
      <c r="Q35" s="15">
        <v>40</v>
      </c>
      <c r="R35" s="3" t="str">
        <f>IF(OR(G35="12R",G35="12L"),_xlfn.XLOOKUP(C35,Tabla42[ADEP],Tabla42[SID 12R],""),IF(OR(G35="30L",G35="30R"),_xlfn.XLOOKUP(C35,Tabla42[ADEP],Tabla42[SID 30L],""),""))</f>
        <v>ENEBA</v>
      </c>
      <c r="S35" s="3">
        <f t="shared" si="0"/>
        <v>12</v>
      </c>
      <c r="T35" s="3" t="str">
        <f>_xlfn.XLOOKUP(C35,Tabla42[ADEP],Tabla42[Sector],"")</f>
        <v>Sector 3</v>
      </c>
    </row>
    <row r="36" spans="1:20" x14ac:dyDescent="0.2">
      <c r="A36" s="13" t="s">
        <v>513</v>
      </c>
      <c r="B36" s="13" t="s">
        <v>18</v>
      </c>
      <c r="C36" s="13" t="s">
        <v>206</v>
      </c>
      <c r="D36" s="13" t="s">
        <v>53</v>
      </c>
      <c r="E36" s="13" t="s">
        <v>106</v>
      </c>
      <c r="F36" s="14">
        <v>46300.542337962965</v>
      </c>
      <c r="G36" s="13" t="s">
        <v>21</v>
      </c>
      <c r="H36" s="13" t="s">
        <v>2061</v>
      </c>
      <c r="I36" s="15">
        <v>380</v>
      </c>
      <c r="J36" s="13" t="s">
        <v>22</v>
      </c>
      <c r="K36" s="13" t="s">
        <v>23</v>
      </c>
      <c r="L36" s="15">
        <v>959</v>
      </c>
      <c r="M36" s="13" t="s">
        <v>2062</v>
      </c>
      <c r="N36" s="14">
        <v>46300.591504629629</v>
      </c>
      <c r="O36" s="15">
        <v>380</v>
      </c>
      <c r="P36" s="13" t="s">
        <v>25</v>
      </c>
      <c r="Q36" s="15">
        <v>190</v>
      </c>
      <c r="R36" s="3" t="str">
        <f>IF(OR(G36="12R",G36="12L"),_xlfn.XLOOKUP(C36,Tabla42[ADEP],Tabla42[SID 12R],""),IF(OR(G36="30L",G36="30R"),_xlfn.XLOOKUP(C36,Tabla42[ADEP],Tabla42[SID 30L],""),""))</f>
        <v>UDGUV</v>
      </c>
      <c r="S36" s="3">
        <f t="shared" si="0"/>
        <v>13</v>
      </c>
      <c r="T36" s="3" t="str">
        <f>_xlfn.XLOOKUP(C36,Tabla42[ADEP],Tabla42[Sector],"")</f>
        <v>Sector 2</v>
      </c>
    </row>
    <row r="37" spans="1:20" x14ac:dyDescent="0.2">
      <c r="A37" s="13" t="s">
        <v>119</v>
      </c>
      <c r="B37" s="13" t="s">
        <v>18</v>
      </c>
      <c r="C37" s="13" t="s">
        <v>42</v>
      </c>
      <c r="D37" s="13" t="s">
        <v>122</v>
      </c>
      <c r="E37" s="13" t="s">
        <v>2063</v>
      </c>
      <c r="F37" s="14">
        <v>46300.549143518518</v>
      </c>
      <c r="G37" s="13" t="s">
        <v>21</v>
      </c>
      <c r="H37" s="13" t="s">
        <v>2064</v>
      </c>
      <c r="I37" s="15">
        <v>380</v>
      </c>
      <c r="J37" s="13" t="s">
        <v>22</v>
      </c>
      <c r="K37" s="13" t="s">
        <v>23</v>
      </c>
      <c r="L37" s="15">
        <v>888</v>
      </c>
      <c r="M37" s="13" t="s">
        <v>2065</v>
      </c>
      <c r="N37" s="14">
        <v>46300.595335648148</v>
      </c>
      <c r="O37" s="15">
        <v>380</v>
      </c>
      <c r="P37" s="13" t="s">
        <v>25</v>
      </c>
      <c r="Q37" s="15">
        <v>190</v>
      </c>
      <c r="R37" s="3" t="str">
        <f>IF(OR(G37="12R",G37="12L"),_xlfn.XLOOKUP(C37,Tabla42[ADEP],Tabla42[SID 12R],""),IF(OR(G37="30L",G37="30R"),_xlfn.XLOOKUP(C37,Tabla42[ADEP],Tabla42[SID 30L],""),""))</f>
        <v>UDGUV</v>
      </c>
      <c r="S37" s="3">
        <f t="shared" si="0"/>
        <v>13</v>
      </c>
      <c r="T37" s="3" t="str">
        <f>_xlfn.XLOOKUP(C37,Tabla42[ADEP],Tabla42[Sector],"")</f>
        <v>Sector 2</v>
      </c>
    </row>
    <row r="38" spans="1:20" x14ac:dyDescent="0.2">
      <c r="A38" s="13" t="s">
        <v>125</v>
      </c>
      <c r="B38" s="13" t="s">
        <v>18</v>
      </c>
      <c r="C38" s="13" t="s">
        <v>126</v>
      </c>
      <c r="D38" s="13" t="s">
        <v>122</v>
      </c>
      <c r="E38" s="13" t="s">
        <v>1580</v>
      </c>
      <c r="F38" s="14">
        <v>46300.551249999997</v>
      </c>
      <c r="G38" s="13" t="s">
        <v>21</v>
      </c>
      <c r="H38" s="13" t="s">
        <v>2066</v>
      </c>
      <c r="I38" s="15">
        <v>360</v>
      </c>
      <c r="J38" s="13" t="s">
        <v>22</v>
      </c>
      <c r="K38" s="13" t="s">
        <v>23</v>
      </c>
      <c r="L38" s="15">
        <v>425</v>
      </c>
      <c r="M38" s="13" t="s">
        <v>189</v>
      </c>
      <c r="N38" s="14">
        <v>46300.574664351851</v>
      </c>
      <c r="O38" s="15">
        <v>360</v>
      </c>
      <c r="P38" s="13" t="s">
        <v>25</v>
      </c>
      <c r="Q38" s="15">
        <v>40</v>
      </c>
      <c r="R38" s="3" t="str">
        <f>IF(OR(G38="12R",G38="12L"),_xlfn.XLOOKUP(C38,Tabla42[ADEP],Tabla42[SID 12R],""),IF(OR(G38="30L",G38="30R"),_xlfn.XLOOKUP(C38,Tabla42[ADEP],Tabla42[SID 30L],""),""))</f>
        <v>ENEBA</v>
      </c>
      <c r="S38" s="3">
        <f t="shared" si="0"/>
        <v>13</v>
      </c>
      <c r="T38" s="3" t="str">
        <f>_xlfn.XLOOKUP(C38,Tabla42[ADEP],Tabla42[Sector],"")</f>
        <v>Sector 3</v>
      </c>
    </row>
    <row r="39" spans="1:20" x14ac:dyDescent="0.2">
      <c r="A39" s="13" t="s">
        <v>2067</v>
      </c>
      <c r="B39" s="13" t="s">
        <v>18</v>
      </c>
      <c r="C39" s="13" t="s">
        <v>2068</v>
      </c>
      <c r="D39" s="13" t="s">
        <v>2069</v>
      </c>
      <c r="E39" s="13"/>
      <c r="F39" s="14">
        <v>46300.583090277774</v>
      </c>
      <c r="G39" s="13" t="s">
        <v>21</v>
      </c>
      <c r="H39" s="13" t="s">
        <v>2070</v>
      </c>
      <c r="I39" s="15">
        <v>270</v>
      </c>
      <c r="J39" s="13" t="s">
        <v>22</v>
      </c>
      <c r="K39" s="13" t="s">
        <v>50</v>
      </c>
      <c r="L39" s="15">
        <v>214</v>
      </c>
      <c r="M39" s="13" t="s">
        <v>355</v>
      </c>
      <c r="N39" s="14">
        <v>46300.606261574074</v>
      </c>
      <c r="O39" s="15">
        <v>270</v>
      </c>
      <c r="P39" s="13" t="s">
        <v>129</v>
      </c>
      <c r="Q39" s="15">
        <v>40</v>
      </c>
      <c r="R39" s="3" t="str">
        <f>IF(OR(G39="12R",G39="12L"),_xlfn.XLOOKUP(C39,Tabla42[ADEP],Tabla42[SID 12R],""),IF(OR(G39="30L",G39="30R"),_xlfn.XLOOKUP(C39,Tabla42[ADEP],Tabla42[SID 30L],""),""))</f>
        <v>NUDAL</v>
      </c>
      <c r="S39" s="3">
        <f t="shared" si="0"/>
        <v>13</v>
      </c>
      <c r="T39" s="3" t="str">
        <f>_xlfn.XLOOKUP(C39,Tabla42[ADEP],Tabla42[Sector],"")</f>
        <v>Sector 3</v>
      </c>
    </row>
    <row r="40" spans="1:20" x14ac:dyDescent="0.2">
      <c r="A40" s="13" t="s">
        <v>2071</v>
      </c>
      <c r="B40" s="13" t="s">
        <v>18</v>
      </c>
      <c r="C40" s="13" t="s">
        <v>1199</v>
      </c>
      <c r="D40" s="13" t="s">
        <v>394</v>
      </c>
      <c r="E40" s="13"/>
      <c r="F40" s="14">
        <v>46300.586215277777</v>
      </c>
      <c r="G40" s="13" t="s">
        <v>21</v>
      </c>
      <c r="H40" s="13" t="s">
        <v>2072</v>
      </c>
      <c r="I40" s="15">
        <v>240</v>
      </c>
      <c r="J40" s="13" t="s">
        <v>22</v>
      </c>
      <c r="K40" s="13" t="s">
        <v>50</v>
      </c>
      <c r="L40" s="15">
        <v>952</v>
      </c>
      <c r="M40" s="13" t="s">
        <v>2058</v>
      </c>
      <c r="N40" s="14">
        <v>46300.673726851855</v>
      </c>
      <c r="O40" s="15">
        <v>240</v>
      </c>
      <c r="P40" s="13" t="s">
        <v>129</v>
      </c>
      <c r="Q40" s="15">
        <v>40</v>
      </c>
      <c r="R40" s="3" t="str">
        <f>IF(OR(G40="12R",G40="12L"),_xlfn.XLOOKUP(C40,Tabla42[ADEP],Tabla42[SID 12R],""),IF(OR(G40="30L",G40="30R"),_xlfn.XLOOKUP(C40,Tabla42[ADEP],Tabla42[SID 30L],""),""))</f>
        <v>UDGUV</v>
      </c>
      <c r="S40" s="3">
        <f t="shared" si="0"/>
        <v>14</v>
      </c>
      <c r="T40" s="3" t="str">
        <f>_xlfn.XLOOKUP(C40,Tabla42[ADEP],Tabla42[Sector],"")</f>
        <v>Sector 2</v>
      </c>
    </row>
    <row r="41" spans="1:20" x14ac:dyDescent="0.2">
      <c r="A41" s="13" t="s">
        <v>127</v>
      </c>
      <c r="B41" s="13" t="s">
        <v>18</v>
      </c>
      <c r="C41" s="13" t="s">
        <v>128</v>
      </c>
      <c r="D41" s="13" t="s">
        <v>43</v>
      </c>
      <c r="E41" s="13" t="s">
        <v>788</v>
      </c>
      <c r="F41" s="14">
        <v>46300.595775462964</v>
      </c>
      <c r="G41" s="13" t="s">
        <v>21</v>
      </c>
      <c r="H41" s="13" t="s">
        <v>2073</v>
      </c>
      <c r="I41" s="15">
        <v>310</v>
      </c>
      <c r="J41" s="13" t="s">
        <v>22</v>
      </c>
      <c r="K41" s="13" t="s">
        <v>23</v>
      </c>
      <c r="L41" s="15">
        <v>136</v>
      </c>
      <c r="M41" s="13" t="s">
        <v>39</v>
      </c>
      <c r="N41" s="14">
        <v>46300.605439814812</v>
      </c>
      <c r="O41" s="15">
        <v>223</v>
      </c>
      <c r="P41" s="13" t="s">
        <v>25</v>
      </c>
      <c r="Q41" s="15">
        <v>190</v>
      </c>
      <c r="R41" s="3" t="str">
        <f>IF(OR(G41="12R",G41="12L"),_xlfn.XLOOKUP(C41,Tabla42[ADEP],Tabla42[SID 12R],""),IF(OR(G41="30L",G41="30R"),_xlfn.XLOOKUP(C41,Tabla42[ADEP],Tabla42[SID 30L],""),""))</f>
        <v>OMSUK</v>
      </c>
      <c r="S41" s="3">
        <f t="shared" si="0"/>
        <v>14</v>
      </c>
      <c r="T41" s="3" t="str">
        <f>_xlfn.XLOOKUP(C41,Tabla42[ADEP],Tabla42[Sector],"")</f>
        <v>Sector 3</v>
      </c>
    </row>
    <row r="42" spans="1:20" x14ac:dyDescent="0.2">
      <c r="A42" s="13" t="s">
        <v>131</v>
      </c>
      <c r="B42" s="13" t="s">
        <v>18</v>
      </c>
      <c r="C42" s="13" t="s">
        <v>42</v>
      </c>
      <c r="D42" s="13" t="s">
        <v>43</v>
      </c>
      <c r="E42" s="13" t="s">
        <v>182</v>
      </c>
      <c r="F42" s="14">
        <v>46300.603159722225</v>
      </c>
      <c r="G42" s="13" t="s">
        <v>21</v>
      </c>
      <c r="H42" s="13" t="s">
        <v>2074</v>
      </c>
      <c r="I42" s="15">
        <v>360</v>
      </c>
      <c r="J42" s="13" t="s">
        <v>22</v>
      </c>
      <c r="K42" s="13" t="s">
        <v>23</v>
      </c>
      <c r="L42" s="15">
        <v>928</v>
      </c>
      <c r="M42" s="13" t="s">
        <v>2075</v>
      </c>
      <c r="N42" s="14">
        <v>46300.651331018518</v>
      </c>
      <c r="O42" s="15">
        <v>360</v>
      </c>
      <c r="P42" s="13" t="s">
        <v>25</v>
      </c>
      <c r="Q42" s="15">
        <v>190</v>
      </c>
      <c r="R42" s="3" t="str">
        <f>IF(OR(G42="12R",G42="12L"),_xlfn.XLOOKUP(C42,Tabla42[ADEP],Tabla42[SID 12R],""),IF(OR(G42="30L",G42="30R"),_xlfn.XLOOKUP(C42,Tabla42[ADEP],Tabla42[SID 30L],""),""))</f>
        <v>UDGUV</v>
      </c>
      <c r="S42" s="3">
        <f t="shared" si="0"/>
        <v>14</v>
      </c>
      <c r="T42" s="3" t="str">
        <f>_xlfn.XLOOKUP(C42,Tabla42[ADEP],Tabla42[Sector],"")</f>
        <v>Sector 2</v>
      </c>
    </row>
    <row r="43" spans="1:20" x14ac:dyDescent="0.2">
      <c r="A43" s="13" t="s">
        <v>423</v>
      </c>
      <c r="B43" s="13" t="s">
        <v>18</v>
      </c>
      <c r="C43" s="13" t="s">
        <v>154</v>
      </c>
      <c r="D43" s="13" t="s">
        <v>424</v>
      </c>
      <c r="E43" s="13"/>
      <c r="F43" s="14">
        <v>46300.617118055554</v>
      </c>
      <c r="G43" s="13" t="s">
        <v>21</v>
      </c>
      <c r="H43" s="13" t="s">
        <v>155</v>
      </c>
      <c r="I43" s="15">
        <v>15</v>
      </c>
      <c r="J43" s="13" t="s">
        <v>130</v>
      </c>
      <c r="K43" s="13" t="s">
        <v>50</v>
      </c>
      <c r="L43" s="15">
        <v>58</v>
      </c>
      <c r="M43" s="13" t="s">
        <v>154</v>
      </c>
      <c r="N43" s="14">
        <v>46300.62972222222</v>
      </c>
      <c r="O43" s="15">
        <v>0</v>
      </c>
      <c r="P43" s="13" t="s">
        <v>129</v>
      </c>
      <c r="Q43" s="15">
        <v>15</v>
      </c>
      <c r="R43" s="3" t="str">
        <f>IF(OR(G43="12R",G43="12L"),_xlfn.XLOOKUP(C43,Tabla42[ADEP],Tabla42[SID 12R],""),IF(OR(G43="30L",G43="30R"),_xlfn.XLOOKUP(C43,Tabla42[ADEP],Tabla42[SID 30L],""),""))</f>
        <v>CZM</v>
      </c>
      <c r="S43" s="3">
        <f t="shared" si="0"/>
        <v>14</v>
      </c>
      <c r="T43" s="3" t="str">
        <f>_xlfn.XLOOKUP(C43,Tabla42[ADEP],Tabla42[Sector],"")</f>
        <v>Sector 7</v>
      </c>
    </row>
    <row r="44" spans="1:20" x14ac:dyDescent="0.2">
      <c r="A44" s="13" t="s">
        <v>2076</v>
      </c>
      <c r="B44" s="13" t="s">
        <v>18</v>
      </c>
      <c r="C44" s="13" t="s">
        <v>18</v>
      </c>
      <c r="D44" s="13" t="s">
        <v>2077</v>
      </c>
      <c r="E44" s="13"/>
      <c r="F44" s="14">
        <v>46300.628784722219</v>
      </c>
      <c r="G44" s="13" t="s">
        <v>21</v>
      </c>
      <c r="H44" s="13" t="s">
        <v>2078</v>
      </c>
      <c r="I44" s="15">
        <v>15</v>
      </c>
      <c r="J44" s="13" t="s">
        <v>130</v>
      </c>
      <c r="K44" s="13" t="s">
        <v>50</v>
      </c>
      <c r="L44" s="15">
        <v>104</v>
      </c>
      <c r="M44" s="13" t="s">
        <v>18</v>
      </c>
      <c r="N44" s="14">
        <v>46300.656759259262</v>
      </c>
      <c r="O44" s="15">
        <v>0</v>
      </c>
      <c r="P44" s="13" t="s">
        <v>129</v>
      </c>
      <c r="Q44" s="15">
        <v>15</v>
      </c>
      <c r="R44" s="3" t="str">
        <f>IF(OR(G44="12R",G44="12L"),_xlfn.XLOOKUP(C44,Tabla42[ADEP],Tabla42[SID 12R],""),IF(OR(G44="30L",G44="30R"),_xlfn.XLOOKUP(C44,Tabla42[ADEP],Tabla42[SID 30L],""),""))</f>
        <v/>
      </c>
      <c r="S44" s="3">
        <f t="shared" si="0"/>
        <v>15</v>
      </c>
      <c r="T44" s="3" t="str">
        <f>_xlfn.XLOOKUP(C44,Tabla42[ADEP],Tabla42[Sector],"")</f>
        <v/>
      </c>
    </row>
    <row r="45" spans="1:20" x14ac:dyDescent="0.2">
      <c r="A45" s="13" t="s">
        <v>135</v>
      </c>
      <c r="B45" s="13" t="s">
        <v>18</v>
      </c>
      <c r="C45" s="13" t="s">
        <v>32</v>
      </c>
      <c r="D45" s="13" t="s">
        <v>53</v>
      </c>
      <c r="E45" s="13" t="s">
        <v>645</v>
      </c>
      <c r="F45" s="14">
        <v>46300.632152777776</v>
      </c>
      <c r="G45" s="13" t="s">
        <v>21</v>
      </c>
      <c r="H45" s="13" t="s">
        <v>2079</v>
      </c>
      <c r="I45" s="15">
        <v>380</v>
      </c>
      <c r="J45" s="13" t="s">
        <v>22</v>
      </c>
      <c r="K45" s="13" t="s">
        <v>23</v>
      </c>
      <c r="L45" s="15">
        <v>896</v>
      </c>
      <c r="M45" s="13" t="s">
        <v>2080</v>
      </c>
      <c r="N45" s="14">
        <v>46300.678206018521</v>
      </c>
      <c r="O45" s="15">
        <v>380</v>
      </c>
      <c r="P45" s="13" t="s">
        <v>25</v>
      </c>
      <c r="Q45" s="15">
        <v>190</v>
      </c>
      <c r="R45" s="3" t="str">
        <f>IF(OR(G45="12R",G45="12L"),_xlfn.XLOOKUP(C45,Tabla42[ADEP],Tabla42[SID 12R],""),IF(OR(G45="30L",G45="30R"),_xlfn.XLOOKUP(C45,Tabla42[ADEP],Tabla42[SID 30L],""),""))</f>
        <v>UDGUV</v>
      </c>
      <c r="S45" s="3">
        <f t="shared" si="0"/>
        <v>15</v>
      </c>
      <c r="T45" s="3" t="str">
        <f>_xlfn.XLOOKUP(C45,Tabla42[ADEP],Tabla42[Sector],"")</f>
        <v>Sector 2</v>
      </c>
    </row>
    <row r="46" spans="1:20" x14ac:dyDescent="0.2">
      <c r="A46" s="13" t="s">
        <v>1198</v>
      </c>
      <c r="B46" s="13" t="s">
        <v>18</v>
      </c>
      <c r="C46" s="13" t="s">
        <v>1199</v>
      </c>
      <c r="D46" s="13" t="s">
        <v>394</v>
      </c>
      <c r="E46" s="13"/>
      <c r="F46" s="14">
        <v>46300.648159722223</v>
      </c>
      <c r="G46" s="13" t="s">
        <v>21</v>
      </c>
      <c r="H46" s="13" t="s">
        <v>2081</v>
      </c>
      <c r="I46" s="15">
        <v>280</v>
      </c>
      <c r="J46" s="13" t="s">
        <v>22</v>
      </c>
      <c r="K46" s="13" t="s">
        <v>50</v>
      </c>
      <c r="L46" s="15">
        <v>930</v>
      </c>
      <c r="M46" s="13" t="s">
        <v>2082</v>
      </c>
      <c r="N46" s="14">
        <v>46300.739270833335</v>
      </c>
      <c r="O46" s="15">
        <v>280</v>
      </c>
      <c r="P46" s="13" t="s">
        <v>129</v>
      </c>
      <c r="Q46" s="15">
        <v>40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3" t="s">
        <v>139</v>
      </c>
      <c r="B47" s="13" t="s">
        <v>18</v>
      </c>
      <c r="C47" s="13" t="s">
        <v>49</v>
      </c>
      <c r="D47" s="13" t="s">
        <v>33</v>
      </c>
      <c r="E47" s="13" t="s">
        <v>532</v>
      </c>
      <c r="F47" s="14">
        <v>46300.65315972222</v>
      </c>
      <c r="G47" s="13" t="s">
        <v>21</v>
      </c>
      <c r="H47" s="13" t="s">
        <v>2083</v>
      </c>
      <c r="I47" s="15">
        <v>360</v>
      </c>
      <c r="J47" s="13" t="s">
        <v>22</v>
      </c>
      <c r="K47" s="13" t="s">
        <v>141</v>
      </c>
      <c r="L47" s="15">
        <v>864</v>
      </c>
      <c r="M47" s="13" t="s">
        <v>2084</v>
      </c>
      <c r="N47" s="14">
        <v>46300.698194444441</v>
      </c>
      <c r="O47" s="15">
        <v>360</v>
      </c>
      <c r="P47" s="13" t="s">
        <v>25</v>
      </c>
      <c r="Q47" s="15">
        <v>190</v>
      </c>
      <c r="R47" s="3" t="str">
        <f>IF(OR(G47="12R",G47="12L"),_xlfn.XLOOKUP(C47,Tabla42[ADEP],Tabla42[SID 12R],""),IF(OR(G47="30L",G47="30R"),_xlfn.XLOOKUP(C47,Tabla42[ADEP],Tabla42[SID 30L],""),""))</f>
        <v>UDGUV</v>
      </c>
      <c r="S47" s="3">
        <f t="shared" si="0"/>
        <v>15</v>
      </c>
      <c r="T47" s="3" t="str">
        <f>_xlfn.XLOOKUP(C47,Tabla42[ADEP],Tabla42[Sector],"")</f>
        <v>Sector 2</v>
      </c>
    </row>
    <row r="48" spans="1:20" x14ac:dyDescent="0.2">
      <c r="A48" s="13" t="s">
        <v>151</v>
      </c>
      <c r="B48" s="13" t="s">
        <v>18</v>
      </c>
      <c r="C48" s="13" t="s">
        <v>96</v>
      </c>
      <c r="D48" s="13" t="s">
        <v>122</v>
      </c>
      <c r="E48" s="13" t="s">
        <v>752</v>
      </c>
      <c r="F48" s="14">
        <v>46300.655752314815</v>
      </c>
      <c r="G48" s="13" t="s">
        <v>21</v>
      </c>
      <c r="H48" s="13" t="s">
        <v>2085</v>
      </c>
      <c r="I48" s="15">
        <v>380</v>
      </c>
      <c r="J48" s="13" t="s">
        <v>22</v>
      </c>
      <c r="K48" s="13" t="s">
        <v>23</v>
      </c>
      <c r="L48" s="15">
        <v>895</v>
      </c>
      <c r="M48" s="13" t="s">
        <v>959</v>
      </c>
      <c r="N48" s="14">
        <v>46300.702002314814</v>
      </c>
      <c r="O48" s="15">
        <v>380</v>
      </c>
      <c r="P48" s="13" t="s">
        <v>25</v>
      </c>
      <c r="Q48" s="15">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3" t="s">
        <v>146</v>
      </c>
      <c r="B49" s="13" t="s">
        <v>18</v>
      </c>
      <c r="C49" s="13" t="s">
        <v>96</v>
      </c>
      <c r="D49" s="13" t="s">
        <v>60</v>
      </c>
      <c r="E49" s="13" t="s">
        <v>383</v>
      </c>
      <c r="F49" s="14">
        <v>46300.657546296294</v>
      </c>
      <c r="G49" s="13" t="s">
        <v>21</v>
      </c>
      <c r="H49" s="13" t="s">
        <v>2086</v>
      </c>
      <c r="I49" s="15">
        <v>360</v>
      </c>
      <c r="J49" s="13" t="s">
        <v>22</v>
      </c>
      <c r="K49" s="13" t="s">
        <v>23</v>
      </c>
      <c r="L49" s="15">
        <v>860</v>
      </c>
      <c r="M49" s="13" t="s">
        <v>2087</v>
      </c>
      <c r="N49" s="14">
        <v>46300.701747685183</v>
      </c>
      <c r="O49" s="15">
        <v>360</v>
      </c>
      <c r="P49" s="13" t="s">
        <v>25</v>
      </c>
      <c r="Q49" s="15">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13" t="s">
        <v>425</v>
      </c>
      <c r="B50" s="13" t="s">
        <v>18</v>
      </c>
      <c r="C50" s="13" t="s">
        <v>49</v>
      </c>
      <c r="D50" s="13" t="s">
        <v>33</v>
      </c>
      <c r="E50" s="13" t="s">
        <v>281</v>
      </c>
      <c r="F50" s="14">
        <v>46300.658946759257</v>
      </c>
      <c r="G50" s="13" t="s">
        <v>21</v>
      </c>
      <c r="H50" s="13" t="s">
        <v>2088</v>
      </c>
      <c r="I50" s="15">
        <v>340</v>
      </c>
      <c r="J50" s="13" t="s">
        <v>22</v>
      </c>
      <c r="K50" s="13" t="s">
        <v>23</v>
      </c>
      <c r="L50" s="15">
        <v>856</v>
      </c>
      <c r="M50" s="13" t="s">
        <v>45</v>
      </c>
      <c r="N50" s="14">
        <v>46300.704270833332</v>
      </c>
      <c r="O50" s="15">
        <v>340</v>
      </c>
      <c r="P50" s="13" t="s">
        <v>25</v>
      </c>
      <c r="Q50" s="15">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3" t="s">
        <v>2089</v>
      </c>
      <c r="B51" s="13" t="s">
        <v>18</v>
      </c>
      <c r="C51" s="13" t="s">
        <v>49</v>
      </c>
      <c r="D51" s="13" t="s">
        <v>2090</v>
      </c>
      <c r="E51" s="13"/>
      <c r="F51" s="14">
        <v>46300.660567129627</v>
      </c>
      <c r="G51" s="13" t="s">
        <v>21</v>
      </c>
      <c r="H51" s="13" t="s">
        <v>2091</v>
      </c>
      <c r="I51" s="15">
        <v>280</v>
      </c>
      <c r="J51" s="13" t="s">
        <v>22</v>
      </c>
      <c r="K51" s="13" t="s">
        <v>50</v>
      </c>
      <c r="L51" s="15">
        <v>856</v>
      </c>
      <c r="M51" s="13" t="s">
        <v>2087</v>
      </c>
      <c r="N51" s="14">
        <v>46300.726006944446</v>
      </c>
      <c r="O51" s="15">
        <v>280</v>
      </c>
      <c r="P51" s="13" t="s">
        <v>129</v>
      </c>
      <c r="Q51" s="15">
        <v>30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13" t="s">
        <v>364</v>
      </c>
      <c r="B52" s="13" t="s">
        <v>18</v>
      </c>
      <c r="C52" s="13" t="s">
        <v>27</v>
      </c>
      <c r="D52" s="13" t="s">
        <v>60</v>
      </c>
      <c r="E52" s="13" t="s">
        <v>634</v>
      </c>
      <c r="F52" s="14">
        <v>46300.662303240744</v>
      </c>
      <c r="G52" s="13" t="s">
        <v>21</v>
      </c>
      <c r="H52" s="13" t="s">
        <v>2092</v>
      </c>
      <c r="I52" s="15">
        <v>350</v>
      </c>
      <c r="J52" s="13" t="s">
        <v>22</v>
      </c>
      <c r="K52" s="13" t="s">
        <v>23</v>
      </c>
      <c r="L52" s="15">
        <v>226</v>
      </c>
      <c r="M52" s="13" t="s">
        <v>355</v>
      </c>
      <c r="N52" s="14">
        <v>46300.675729166665</v>
      </c>
      <c r="O52" s="15">
        <v>239</v>
      </c>
      <c r="P52" s="13" t="s">
        <v>25</v>
      </c>
      <c r="Q52" s="15">
        <v>40</v>
      </c>
      <c r="R52" s="3" t="str">
        <f>IF(OR(G52="12R",G52="12L"),_xlfn.XLOOKUP(C52,Tabla42[ADEP],Tabla42[SID 12R],""),IF(OR(G52="30L",G52="30R"),_xlfn.XLOOKUP(C52,Tabla42[ADEP],Tabla42[SID 30L],""),""))</f>
        <v>OMSUK</v>
      </c>
      <c r="S52" s="3">
        <f t="shared" si="0"/>
        <v>15</v>
      </c>
      <c r="T52" s="3" t="str">
        <f>_xlfn.XLOOKUP(C52,Tabla42[ADEP],Tabla42[Sector],"")</f>
        <v>Sector 3</v>
      </c>
    </row>
    <row r="53" spans="1:20" x14ac:dyDescent="0.2">
      <c r="A53" s="13" t="s">
        <v>148</v>
      </c>
      <c r="B53" s="13" t="s">
        <v>18</v>
      </c>
      <c r="C53" s="13" t="s">
        <v>42</v>
      </c>
      <c r="D53" s="13" t="s">
        <v>20</v>
      </c>
      <c r="E53" s="13" t="s">
        <v>1052</v>
      </c>
      <c r="F53" s="14">
        <v>46300.664583333331</v>
      </c>
      <c r="G53" s="13" t="s">
        <v>21</v>
      </c>
      <c r="H53" s="13" t="s">
        <v>2093</v>
      </c>
      <c r="I53" s="15">
        <v>360</v>
      </c>
      <c r="J53" s="13" t="s">
        <v>22</v>
      </c>
      <c r="K53" s="13" t="s">
        <v>23</v>
      </c>
      <c r="L53" s="15">
        <v>941</v>
      </c>
      <c r="M53" s="13" t="s">
        <v>2094</v>
      </c>
      <c r="N53" s="14">
        <v>46300.713067129633</v>
      </c>
      <c r="O53" s="15">
        <v>360</v>
      </c>
      <c r="P53" s="13" t="s">
        <v>25</v>
      </c>
      <c r="Q53" s="15">
        <v>190</v>
      </c>
      <c r="R53" s="3" t="str">
        <f>IF(OR(G53="12R",G53="12L"),_xlfn.XLOOKUP(C53,Tabla42[ADEP],Tabla42[SID 12R],""),IF(OR(G53="30L",G53="30R"),_xlfn.XLOOKUP(C53,Tabla42[ADEP],Tabla42[SID 30L],""),""))</f>
        <v>UDGUV</v>
      </c>
      <c r="S53" s="3">
        <f t="shared" si="0"/>
        <v>15</v>
      </c>
      <c r="T53" s="3" t="str">
        <f>_xlfn.XLOOKUP(C53,Tabla42[ADEP],Tabla42[Sector],"")</f>
        <v>Sector 2</v>
      </c>
    </row>
    <row r="54" spans="1:20" x14ac:dyDescent="0.2">
      <c r="A54" s="13" t="s">
        <v>2095</v>
      </c>
      <c r="B54" s="13" t="s">
        <v>18</v>
      </c>
      <c r="C54" s="13" t="s">
        <v>121</v>
      </c>
      <c r="D54" s="13" t="s">
        <v>122</v>
      </c>
      <c r="E54" s="13" t="s">
        <v>2096</v>
      </c>
      <c r="F54" s="14">
        <v>46300.671967592592</v>
      </c>
      <c r="G54" s="13" t="s">
        <v>21</v>
      </c>
      <c r="H54" s="13" t="s">
        <v>2097</v>
      </c>
      <c r="I54" s="15">
        <v>360</v>
      </c>
      <c r="J54" s="13" t="s">
        <v>22</v>
      </c>
      <c r="K54" s="13" t="s">
        <v>23</v>
      </c>
      <c r="L54" s="15">
        <v>537</v>
      </c>
      <c r="M54" s="13" t="s">
        <v>123</v>
      </c>
      <c r="N54" s="14">
        <v>46300.700995370367</v>
      </c>
      <c r="O54" s="15">
        <v>340</v>
      </c>
      <c r="P54" s="13" t="s">
        <v>25</v>
      </c>
      <c r="Q54" s="15">
        <v>40</v>
      </c>
      <c r="R54" s="3" t="str">
        <f>IF(OR(G54="12R",G54="12L"),_xlfn.XLOOKUP(C54,Tabla42[ADEP],Tabla42[SID 12R],""),IF(OR(G54="30L",G54="30R"),_xlfn.XLOOKUP(C54,Tabla42[ADEP],Tabla42[SID 30L],""),""))</f>
        <v>ENEBA</v>
      </c>
      <c r="S54" s="3">
        <f t="shared" si="0"/>
        <v>16</v>
      </c>
      <c r="T54" s="3" t="str">
        <f>_xlfn.XLOOKUP(C54,Tabla42[ADEP],Tabla42[Sector],"")</f>
        <v>Sector 3</v>
      </c>
    </row>
    <row r="55" spans="1:20" x14ac:dyDescent="0.2">
      <c r="A55" s="13" t="s">
        <v>150</v>
      </c>
      <c r="B55" s="13" t="s">
        <v>18</v>
      </c>
      <c r="C55" s="13" t="s">
        <v>32</v>
      </c>
      <c r="D55" s="13" t="s">
        <v>20</v>
      </c>
      <c r="E55" s="13" t="s">
        <v>374</v>
      </c>
      <c r="F55" s="14">
        <v>46300.673148148147</v>
      </c>
      <c r="G55" s="13" t="s">
        <v>21</v>
      </c>
      <c r="H55" s="13" t="s">
        <v>2098</v>
      </c>
      <c r="I55" s="15">
        <v>360</v>
      </c>
      <c r="J55" s="13" t="s">
        <v>22</v>
      </c>
      <c r="K55" s="13" t="s">
        <v>23</v>
      </c>
      <c r="L55" s="15">
        <v>891</v>
      </c>
      <c r="M55" s="13" t="s">
        <v>2099</v>
      </c>
      <c r="N55" s="14">
        <v>46300.719629629632</v>
      </c>
      <c r="O55" s="15">
        <v>340</v>
      </c>
      <c r="P55" s="13" t="s">
        <v>25</v>
      </c>
      <c r="Q55" s="15">
        <v>190</v>
      </c>
      <c r="R55" s="3" t="str">
        <f>IF(OR(G55="12R",G55="12L"),_xlfn.XLOOKUP(C55,Tabla42[ADEP],Tabla42[SID 12R],""),IF(OR(G55="30L",G55="30R"),_xlfn.XLOOKUP(C55,Tabla42[ADEP],Tabla42[SID 30L],""),""))</f>
        <v>UDGUV</v>
      </c>
      <c r="S55" s="3">
        <f t="shared" si="0"/>
        <v>16</v>
      </c>
      <c r="T55" s="3" t="str">
        <f>_xlfn.XLOOKUP(C55,Tabla42[ADEP],Tabla42[Sector],"")</f>
        <v>Sector 2</v>
      </c>
    </row>
    <row r="56" spans="1:20" x14ac:dyDescent="0.2">
      <c r="A56" s="13" t="s">
        <v>145</v>
      </c>
      <c r="B56" s="13" t="s">
        <v>18</v>
      </c>
      <c r="C56" s="13" t="s">
        <v>19</v>
      </c>
      <c r="D56" s="13" t="s">
        <v>53</v>
      </c>
      <c r="E56" s="13" t="s">
        <v>376</v>
      </c>
      <c r="F56" s="14">
        <v>46300.674664351849</v>
      </c>
      <c r="G56" s="13" t="s">
        <v>21</v>
      </c>
      <c r="H56" s="13" t="s">
        <v>2100</v>
      </c>
      <c r="I56" s="15">
        <v>380</v>
      </c>
      <c r="J56" s="13" t="s">
        <v>22</v>
      </c>
      <c r="K56" s="13" t="s">
        <v>23</v>
      </c>
      <c r="L56" s="15">
        <v>881</v>
      </c>
      <c r="M56" s="13" t="s">
        <v>2101</v>
      </c>
      <c r="N56" s="14">
        <v>46300.72084490741</v>
      </c>
      <c r="O56" s="15">
        <v>380</v>
      </c>
      <c r="P56" s="13" t="s">
        <v>25</v>
      </c>
      <c r="Q56" s="15">
        <v>190</v>
      </c>
      <c r="R56" s="3" t="str">
        <f>IF(OR(G56="12R",G56="12L"),_xlfn.XLOOKUP(C56,Tabla42[ADEP],Tabla42[SID 12R],""),IF(OR(G56="30L",G56="30R"),_xlfn.XLOOKUP(C56,Tabla42[ADEP],Tabla42[SID 30L],""),""))</f>
        <v>UDGUV</v>
      </c>
      <c r="S56" s="3">
        <f t="shared" si="0"/>
        <v>16</v>
      </c>
      <c r="T56" s="3" t="str">
        <f>_xlfn.XLOOKUP(C56,Tabla42[ADEP],Tabla42[Sector],"")</f>
        <v>Sector 2</v>
      </c>
    </row>
    <row r="57" spans="1:20" x14ac:dyDescent="0.2">
      <c r="A57" s="13" t="s">
        <v>429</v>
      </c>
      <c r="B57" s="13" t="s">
        <v>18</v>
      </c>
      <c r="C57" s="13" t="s">
        <v>193</v>
      </c>
      <c r="D57" s="13" t="s">
        <v>60</v>
      </c>
      <c r="E57" s="13" t="s">
        <v>2102</v>
      </c>
      <c r="F57" s="14">
        <v>46300.678495370368</v>
      </c>
      <c r="G57" s="13" t="s">
        <v>21</v>
      </c>
      <c r="H57" s="13" t="s">
        <v>2103</v>
      </c>
      <c r="I57" s="15">
        <v>330</v>
      </c>
      <c r="J57" s="13" t="s">
        <v>22</v>
      </c>
      <c r="K57" s="13" t="s">
        <v>23</v>
      </c>
      <c r="L57" s="15">
        <v>360</v>
      </c>
      <c r="M57" s="13" t="s">
        <v>30</v>
      </c>
      <c r="N57" s="14">
        <v>46300.700266203705</v>
      </c>
      <c r="O57" s="15">
        <v>330</v>
      </c>
      <c r="P57" s="13" t="s">
        <v>25</v>
      </c>
      <c r="Q57" s="15">
        <v>40</v>
      </c>
      <c r="R57" s="3" t="str">
        <f>IF(OR(G57="12R",G57="12L"),_xlfn.XLOOKUP(C57,Tabla42[ADEP],Tabla42[SID 12R],""),IF(OR(G57="30L",G57="30R"),_xlfn.XLOOKUP(C57,Tabla42[ADEP],Tabla42[SID 30L],""),""))</f>
        <v>ENEBA</v>
      </c>
      <c r="S57" s="3">
        <f t="shared" si="0"/>
        <v>16</v>
      </c>
      <c r="T57" s="3" t="str">
        <f>_xlfn.XLOOKUP(C57,Tabla42[ADEP],Tabla42[Sector],"")</f>
        <v>Sector 3</v>
      </c>
    </row>
    <row r="58" spans="1:20" x14ac:dyDescent="0.2">
      <c r="A58" s="13" t="s">
        <v>163</v>
      </c>
      <c r="B58" s="13" t="s">
        <v>18</v>
      </c>
      <c r="C58" s="13" t="s">
        <v>164</v>
      </c>
      <c r="D58" s="13" t="s">
        <v>43</v>
      </c>
      <c r="E58" s="13" t="s">
        <v>2104</v>
      </c>
      <c r="F58" s="14">
        <v>46300.680266203701</v>
      </c>
      <c r="G58" s="13" t="s">
        <v>21</v>
      </c>
      <c r="H58" s="13" t="s">
        <v>2105</v>
      </c>
      <c r="I58" s="15">
        <v>330</v>
      </c>
      <c r="J58" s="13" t="s">
        <v>22</v>
      </c>
      <c r="K58" s="13" t="s">
        <v>23</v>
      </c>
      <c r="L58" s="15">
        <v>221</v>
      </c>
      <c r="M58" s="13" t="s">
        <v>355</v>
      </c>
      <c r="N58" s="14">
        <v>46300.69427083333</v>
      </c>
      <c r="O58" s="15">
        <v>278</v>
      </c>
      <c r="P58" s="13" t="s">
        <v>25</v>
      </c>
      <c r="Q58" s="15">
        <v>40</v>
      </c>
      <c r="R58" s="3" t="str">
        <f>IF(OR(G58="12R",G58="12L"),_xlfn.XLOOKUP(C58,Tabla42[ADEP],Tabla42[SID 12R],""),IF(OR(G58="30L",G58="30R"),_xlfn.XLOOKUP(C58,Tabla42[ADEP],Tabla42[SID 30L],""),""))</f>
        <v>OMSUK</v>
      </c>
      <c r="S58" s="3">
        <f t="shared" si="0"/>
        <v>16</v>
      </c>
      <c r="T58" s="3" t="str">
        <f>_xlfn.XLOOKUP(C58,Tabla42[ADEP],Tabla42[Sector],"")</f>
        <v>Sector 3</v>
      </c>
    </row>
    <row r="59" spans="1:20" x14ac:dyDescent="0.2">
      <c r="A59" s="13" t="s">
        <v>208</v>
      </c>
      <c r="B59" s="13" t="s">
        <v>18</v>
      </c>
      <c r="C59" s="13" t="s">
        <v>209</v>
      </c>
      <c r="D59" s="13" t="s">
        <v>28</v>
      </c>
      <c r="E59" s="13" t="s">
        <v>2106</v>
      </c>
      <c r="F59" s="14">
        <v>46300.68141203704</v>
      </c>
      <c r="G59" s="13" t="s">
        <v>21</v>
      </c>
      <c r="H59" s="13" t="s">
        <v>2107</v>
      </c>
      <c r="I59" s="15">
        <v>340</v>
      </c>
      <c r="J59" s="13" t="s">
        <v>22</v>
      </c>
      <c r="K59" s="13" t="s">
        <v>23</v>
      </c>
      <c r="L59" s="15">
        <v>549</v>
      </c>
      <c r="M59" s="13" t="s">
        <v>123</v>
      </c>
      <c r="N59" s="14">
        <v>46300.711064814815</v>
      </c>
      <c r="O59" s="15">
        <v>340</v>
      </c>
      <c r="P59" s="13" t="s">
        <v>25</v>
      </c>
      <c r="Q59" s="15">
        <v>40</v>
      </c>
      <c r="R59" s="3" t="str">
        <f>IF(OR(G59="12R",G59="12L"),_xlfn.XLOOKUP(C59,Tabla42[ADEP],Tabla42[SID 12R],""),IF(OR(G59="30L",G59="30R"),_xlfn.XLOOKUP(C59,Tabla42[ADEP],Tabla42[SID 30L],""),""))</f>
        <v>ENEBA</v>
      </c>
      <c r="S59" s="3">
        <f t="shared" si="0"/>
        <v>16</v>
      </c>
      <c r="T59" s="3" t="str">
        <f>_xlfn.XLOOKUP(C59,Tabla42[ADEP],Tabla42[Sector],"")</f>
        <v>Sector 3</v>
      </c>
    </row>
    <row r="60" spans="1:20" x14ac:dyDescent="0.2">
      <c r="A60" s="13" t="s">
        <v>159</v>
      </c>
      <c r="B60" s="13" t="s">
        <v>18</v>
      </c>
      <c r="C60" s="13" t="s">
        <v>160</v>
      </c>
      <c r="D60" s="13" t="s">
        <v>33</v>
      </c>
      <c r="E60" s="13" t="s">
        <v>754</v>
      </c>
      <c r="F60" s="14">
        <v>46300.684675925928</v>
      </c>
      <c r="G60" s="13" t="s">
        <v>21</v>
      </c>
      <c r="H60" s="13" t="s">
        <v>2108</v>
      </c>
      <c r="I60" s="15">
        <v>360</v>
      </c>
      <c r="J60" s="13" t="s">
        <v>22</v>
      </c>
      <c r="K60" s="13" t="s">
        <v>23</v>
      </c>
      <c r="L60" s="15">
        <v>333</v>
      </c>
      <c r="M60" s="13" t="s">
        <v>2109</v>
      </c>
      <c r="N60" s="14">
        <v>46300.703726851854</v>
      </c>
      <c r="O60" s="15">
        <v>360</v>
      </c>
      <c r="P60" s="13" t="s">
        <v>25</v>
      </c>
      <c r="Q60" s="15">
        <v>190</v>
      </c>
      <c r="R60" s="3" t="str">
        <f>IF(OR(G60="12R",G60="12L"),_xlfn.XLOOKUP(C60,Tabla42[ADEP],Tabla42[SID 12R],""),IF(OR(G60="30L",G60="30R"),_xlfn.XLOOKUP(C60,Tabla42[ADEP],Tabla42[SID 30L],""),""))</f>
        <v>CZM</v>
      </c>
      <c r="S60" s="3">
        <f t="shared" si="0"/>
        <v>16</v>
      </c>
      <c r="T60" s="3" t="str">
        <f>_xlfn.XLOOKUP(C60,Tabla42[ADEP],Tabla42[Sector],"")</f>
        <v>Sector 7</v>
      </c>
    </row>
    <row r="61" spans="1:20" x14ac:dyDescent="0.2">
      <c r="A61" s="13" t="s">
        <v>156</v>
      </c>
      <c r="B61" s="13" t="s">
        <v>18</v>
      </c>
      <c r="C61" s="13" t="s">
        <v>109</v>
      </c>
      <c r="D61" s="13" t="s">
        <v>122</v>
      </c>
      <c r="E61" s="13" t="s">
        <v>2110</v>
      </c>
      <c r="F61" s="14">
        <v>46300.688645833332</v>
      </c>
      <c r="G61" s="13" t="s">
        <v>21</v>
      </c>
      <c r="H61" s="13" t="s">
        <v>2111</v>
      </c>
      <c r="I61" s="15">
        <v>370</v>
      </c>
      <c r="J61" s="13" t="s">
        <v>22</v>
      </c>
      <c r="K61" s="13" t="s">
        <v>23</v>
      </c>
      <c r="L61" s="15">
        <v>150</v>
      </c>
      <c r="M61" s="13" t="s">
        <v>111</v>
      </c>
      <c r="N61" s="14">
        <v>46300.69871527778</v>
      </c>
      <c r="O61" s="15">
        <v>289</v>
      </c>
      <c r="P61" s="13" t="s">
        <v>25</v>
      </c>
      <c r="Q61" s="15">
        <v>190</v>
      </c>
      <c r="R61" s="3" t="str">
        <f>IF(OR(G61="12R",G61="12L"),_xlfn.XLOOKUP(C61,Tabla42[ADEP],Tabla42[SID 12R],""),IF(OR(G61="30L",G61="30R"),_xlfn.XLOOKUP(C61,Tabla42[ADEP],Tabla42[SID 30L],""),""))</f>
        <v>TAKUX</v>
      </c>
      <c r="S61" s="3">
        <f t="shared" si="0"/>
        <v>16</v>
      </c>
      <c r="T61" s="3" t="str">
        <f>_xlfn.XLOOKUP(C61,Tabla42[ADEP],Tabla42[Sector],"")</f>
        <v>Sector 7</v>
      </c>
    </row>
    <row r="62" spans="1:20" x14ac:dyDescent="0.2">
      <c r="A62" s="13" t="s">
        <v>524</v>
      </c>
      <c r="B62" s="13" t="s">
        <v>18</v>
      </c>
      <c r="C62" s="13" t="s">
        <v>19</v>
      </c>
      <c r="D62" s="13" t="s">
        <v>20</v>
      </c>
      <c r="E62" s="13" t="s">
        <v>76</v>
      </c>
      <c r="F62" s="14">
        <v>46300.689918981479</v>
      </c>
      <c r="G62" s="13" t="s">
        <v>21</v>
      </c>
      <c r="H62" s="13" t="s">
        <v>2112</v>
      </c>
      <c r="I62" s="15">
        <v>360</v>
      </c>
      <c r="J62" s="13" t="s">
        <v>22</v>
      </c>
      <c r="K62" s="13" t="s">
        <v>141</v>
      </c>
      <c r="L62" s="15">
        <v>888</v>
      </c>
      <c r="M62" s="13" t="s">
        <v>2113</v>
      </c>
      <c r="N62" s="14">
        <v>46300.735613425924</v>
      </c>
      <c r="O62" s="15">
        <v>360</v>
      </c>
      <c r="P62" s="13" t="s">
        <v>25</v>
      </c>
      <c r="Q62" s="15">
        <v>190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13" t="s">
        <v>365</v>
      </c>
      <c r="B63" s="13" t="s">
        <v>18</v>
      </c>
      <c r="C63" s="13" t="s">
        <v>96</v>
      </c>
      <c r="D63" s="13" t="s">
        <v>53</v>
      </c>
      <c r="E63" s="13" t="s">
        <v>787</v>
      </c>
      <c r="F63" s="14">
        <v>46300.691400462965</v>
      </c>
      <c r="G63" s="13" t="s">
        <v>21</v>
      </c>
      <c r="H63" s="13" t="s">
        <v>2114</v>
      </c>
      <c r="I63" s="15">
        <v>380</v>
      </c>
      <c r="J63" s="13" t="s">
        <v>22</v>
      </c>
      <c r="K63" s="13" t="s">
        <v>141</v>
      </c>
      <c r="L63" s="15">
        <v>882</v>
      </c>
      <c r="M63" s="13" t="s">
        <v>94</v>
      </c>
      <c r="N63" s="14">
        <v>46300.737245370372</v>
      </c>
      <c r="O63" s="15">
        <v>380</v>
      </c>
      <c r="P63" s="13" t="s">
        <v>25</v>
      </c>
      <c r="Q63" s="15">
        <v>190</v>
      </c>
      <c r="R63" s="3" t="str">
        <f>IF(OR(G63="12R",G63="12L"),_xlfn.XLOOKUP(C63,Tabla42[ADEP],Tabla42[SID 12R],""),IF(OR(G63="30L",G63="30R"),_xlfn.XLOOKUP(C63,Tabla42[ADEP],Tabla42[SID 30L],""),""))</f>
        <v>UDGUV</v>
      </c>
      <c r="S63" s="3">
        <f t="shared" si="0"/>
        <v>16</v>
      </c>
      <c r="T63" s="3" t="str">
        <f>_xlfn.XLOOKUP(C63,Tabla42[ADEP],Tabla42[Sector],"")</f>
        <v>Sector 2</v>
      </c>
    </row>
    <row r="64" spans="1:20" x14ac:dyDescent="0.2">
      <c r="A64" s="13" t="s">
        <v>430</v>
      </c>
      <c r="B64" s="13" t="s">
        <v>18</v>
      </c>
      <c r="C64" s="13" t="s">
        <v>265</v>
      </c>
      <c r="D64" s="13" t="s">
        <v>33</v>
      </c>
      <c r="E64" s="13" t="s">
        <v>550</v>
      </c>
      <c r="F64" s="14">
        <v>46300.693043981482</v>
      </c>
      <c r="G64" s="13" t="s">
        <v>21</v>
      </c>
      <c r="H64" s="13" t="s">
        <v>2115</v>
      </c>
      <c r="I64" s="15">
        <v>380</v>
      </c>
      <c r="J64" s="13" t="s">
        <v>22</v>
      </c>
      <c r="K64" s="13" t="s">
        <v>23</v>
      </c>
      <c r="L64" s="15">
        <v>865</v>
      </c>
      <c r="M64" s="13" t="s">
        <v>167</v>
      </c>
      <c r="N64" s="14">
        <v>46300.738969907405</v>
      </c>
      <c r="O64" s="15">
        <v>380</v>
      </c>
      <c r="P64" s="13" t="s">
        <v>25</v>
      </c>
      <c r="Q64" s="15">
        <v>190</v>
      </c>
      <c r="R64" s="3" t="str">
        <f>IF(OR(G64="12R",G64="12L"),_xlfn.XLOOKUP(C64,Tabla42[ADEP],Tabla42[SID 12R],""),IF(OR(G64="30L",G64="30R"),_xlfn.XLOOKUP(C64,Tabla42[ADEP],Tabla42[SID 30L],""),""))</f>
        <v>UDGUV</v>
      </c>
      <c r="S64" s="3">
        <f t="shared" si="0"/>
        <v>16</v>
      </c>
      <c r="T64" s="3" t="str">
        <f>_xlfn.XLOOKUP(C64,Tabla42[ADEP],Tabla42[Sector],"")</f>
        <v>Sector 2</v>
      </c>
    </row>
    <row r="65" spans="1:20" x14ac:dyDescent="0.2">
      <c r="A65" s="13" t="s">
        <v>161</v>
      </c>
      <c r="B65" s="13" t="s">
        <v>18</v>
      </c>
      <c r="C65" s="13" t="s">
        <v>27</v>
      </c>
      <c r="D65" s="13" t="s">
        <v>60</v>
      </c>
      <c r="E65" s="13" t="s">
        <v>638</v>
      </c>
      <c r="F65" s="14">
        <v>46300.694444444445</v>
      </c>
      <c r="G65" s="13" t="s">
        <v>21</v>
      </c>
      <c r="H65" s="13" t="s">
        <v>2116</v>
      </c>
      <c r="I65" s="15">
        <v>330</v>
      </c>
      <c r="J65" s="13" t="s">
        <v>22</v>
      </c>
      <c r="K65" s="13" t="s">
        <v>23</v>
      </c>
      <c r="L65" s="15">
        <v>360</v>
      </c>
      <c r="M65" s="13" t="s">
        <v>30</v>
      </c>
      <c r="N65" s="14">
        <v>46300.716458333336</v>
      </c>
      <c r="O65" s="15">
        <v>330</v>
      </c>
      <c r="P65" s="13" t="s">
        <v>25</v>
      </c>
      <c r="Q65" s="15">
        <v>40</v>
      </c>
      <c r="R65" s="3" t="str">
        <f>IF(OR(G65="12R",G65="12L"),_xlfn.XLOOKUP(C65,Tabla42[ADEP],Tabla42[SID 12R],""),IF(OR(G65="30L",G65="30R"),_xlfn.XLOOKUP(C65,Tabla42[ADEP],Tabla42[SID 30L],""),""))</f>
        <v>OMSUK</v>
      </c>
      <c r="S65" s="3">
        <f t="shared" si="0"/>
        <v>16</v>
      </c>
      <c r="T65" s="3" t="str">
        <f>_xlfn.XLOOKUP(C65,Tabla42[ADEP],Tabla42[Sector],"")</f>
        <v>Sector 3</v>
      </c>
    </row>
    <row r="66" spans="1:20" x14ac:dyDescent="0.2">
      <c r="A66" s="13" t="s">
        <v>152</v>
      </c>
      <c r="B66" s="13" t="s">
        <v>18</v>
      </c>
      <c r="C66" s="13" t="s">
        <v>153</v>
      </c>
      <c r="D66" s="13" t="s">
        <v>33</v>
      </c>
      <c r="E66" s="13" t="s">
        <v>494</v>
      </c>
      <c r="F66" s="14">
        <v>46300.695555555554</v>
      </c>
      <c r="G66" s="13" t="s">
        <v>21</v>
      </c>
      <c r="H66" s="13" t="s">
        <v>2117</v>
      </c>
      <c r="I66" s="15">
        <v>360</v>
      </c>
      <c r="J66" s="13" t="s">
        <v>22</v>
      </c>
      <c r="K66" s="13" t="s">
        <v>23</v>
      </c>
      <c r="L66" s="15">
        <v>877</v>
      </c>
      <c r="M66" s="13" t="s">
        <v>35</v>
      </c>
      <c r="N66" s="14">
        <v>46300.74145833333</v>
      </c>
      <c r="O66" s="15">
        <v>360</v>
      </c>
      <c r="P66" s="13" t="s">
        <v>25</v>
      </c>
      <c r="Q66" s="15">
        <v>190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13" t="s">
        <v>432</v>
      </c>
      <c r="B67" s="13" t="s">
        <v>18</v>
      </c>
      <c r="C67" s="13" t="s">
        <v>233</v>
      </c>
      <c r="D67" s="13" t="s">
        <v>122</v>
      </c>
      <c r="E67" s="13" t="s">
        <v>2118</v>
      </c>
      <c r="F67" s="14">
        <v>46300.696631944447</v>
      </c>
      <c r="G67" s="13" t="s">
        <v>21</v>
      </c>
      <c r="H67" s="13" t="s">
        <v>2119</v>
      </c>
      <c r="I67" s="15">
        <v>360</v>
      </c>
      <c r="J67" s="13" t="s">
        <v>22</v>
      </c>
      <c r="K67" s="13" t="s">
        <v>23</v>
      </c>
      <c r="L67" s="15">
        <v>446</v>
      </c>
      <c r="M67" s="13" t="s">
        <v>189</v>
      </c>
      <c r="N67" s="14">
        <v>46300.722025462965</v>
      </c>
      <c r="O67" s="15">
        <v>360</v>
      </c>
      <c r="P67" s="13" t="s">
        <v>25</v>
      </c>
      <c r="Q67" s="15">
        <v>40</v>
      </c>
      <c r="R67" s="3" t="str">
        <f>IF(OR(G67="12R",G67="12L"),_xlfn.XLOOKUP(C67,Tabla42[ADEP],Tabla42[SID 12R],""),IF(OR(G67="30L",G67="30R"),_xlfn.XLOOKUP(C67,Tabla42[ADEP],Tabla42[SID 30L],""),""))</f>
        <v>UDGUV</v>
      </c>
      <c r="S67" s="3">
        <f t="shared" ref="S67:S130" si="1">HOUR(F67)</f>
        <v>16</v>
      </c>
      <c r="T67" s="3" t="str">
        <f>_xlfn.XLOOKUP(C67,Tabla42[ADEP],Tabla42[Sector],"")</f>
        <v>Sector 2</v>
      </c>
    </row>
    <row r="68" spans="1:20" x14ac:dyDescent="0.2">
      <c r="A68" s="13" t="s">
        <v>181</v>
      </c>
      <c r="B68" s="13" t="s">
        <v>18</v>
      </c>
      <c r="C68" s="13" t="s">
        <v>42</v>
      </c>
      <c r="D68" s="13" t="s">
        <v>28</v>
      </c>
      <c r="E68" s="13" t="s">
        <v>2120</v>
      </c>
      <c r="F68" s="14">
        <v>46300.697754629633</v>
      </c>
      <c r="G68" s="13" t="s">
        <v>21</v>
      </c>
      <c r="H68" s="13" t="s">
        <v>2121</v>
      </c>
      <c r="I68" s="15">
        <v>380</v>
      </c>
      <c r="J68" s="13" t="s">
        <v>22</v>
      </c>
      <c r="K68" s="13" t="s">
        <v>23</v>
      </c>
      <c r="L68" s="15">
        <v>878</v>
      </c>
      <c r="M68" s="13" t="s">
        <v>2122</v>
      </c>
      <c r="N68" s="14">
        <v>46300.743518518517</v>
      </c>
      <c r="O68" s="15">
        <v>380</v>
      </c>
      <c r="P68" s="13" t="s">
        <v>25</v>
      </c>
      <c r="Q68" s="15">
        <v>190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13" t="s">
        <v>177</v>
      </c>
      <c r="B69" s="13" t="s">
        <v>18</v>
      </c>
      <c r="C69" s="13" t="s">
        <v>109</v>
      </c>
      <c r="D69" s="13" t="s">
        <v>122</v>
      </c>
      <c r="E69" s="13" t="s">
        <v>2123</v>
      </c>
      <c r="F69" s="14">
        <v>46300.701608796298</v>
      </c>
      <c r="G69" s="13" t="s">
        <v>21</v>
      </c>
      <c r="H69" s="13" t="s">
        <v>2124</v>
      </c>
      <c r="I69" s="15">
        <v>370</v>
      </c>
      <c r="J69" s="13" t="s">
        <v>22</v>
      </c>
      <c r="K69" s="13" t="s">
        <v>23</v>
      </c>
      <c r="L69" s="15">
        <v>149</v>
      </c>
      <c r="M69" s="13" t="s">
        <v>111</v>
      </c>
      <c r="N69" s="14">
        <v>46300.71162037037</v>
      </c>
      <c r="O69" s="15">
        <v>290</v>
      </c>
      <c r="P69" s="13" t="s">
        <v>25</v>
      </c>
      <c r="Q69" s="15">
        <v>190</v>
      </c>
      <c r="R69" s="3" t="str">
        <f>IF(OR(G69="12R",G69="12L"),_xlfn.XLOOKUP(C69,Tabla42[ADEP],Tabla42[SID 12R],""),IF(OR(G69="30L",G69="30R"),_xlfn.XLOOKUP(C69,Tabla42[ADEP],Tabla42[SID 30L],""),""))</f>
        <v>TAKUX</v>
      </c>
      <c r="S69" s="3">
        <f t="shared" si="1"/>
        <v>16</v>
      </c>
      <c r="T69" s="3" t="str">
        <f>_xlfn.XLOOKUP(C69,Tabla42[ADEP],Tabla42[Sector],"")</f>
        <v>Sector 7</v>
      </c>
    </row>
    <row r="70" spans="1:20" x14ac:dyDescent="0.2">
      <c r="A70" s="13" t="s">
        <v>232</v>
      </c>
      <c r="B70" s="13" t="s">
        <v>18</v>
      </c>
      <c r="C70" s="13" t="s">
        <v>233</v>
      </c>
      <c r="D70" s="13" t="s">
        <v>110</v>
      </c>
      <c r="E70" s="13" t="s">
        <v>653</v>
      </c>
      <c r="F70" s="14">
        <v>46300.7028587963</v>
      </c>
      <c r="G70" s="13" t="s">
        <v>21</v>
      </c>
      <c r="H70" s="13" t="s">
        <v>2125</v>
      </c>
      <c r="I70" s="15">
        <v>380</v>
      </c>
      <c r="J70" s="13" t="s">
        <v>22</v>
      </c>
      <c r="K70" s="13" t="s">
        <v>23</v>
      </c>
      <c r="L70" s="15">
        <v>546</v>
      </c>
      <c r="M70" s="13" t="s">
        <v>123</v>
      </c>
      <c r="N70" s="14">
        <v>46300.732118055559</v>
      </c>
      <c r="O70" s="15">
        <v>380</v>
      </c>
      <c r="P70" s="13" t="s">
        <v>25</v>
      </c>
      <c r="Q70" s="15">
        <v>40</v>
      </c>
      <c r="R70" s="3" t="str">
        <f>IF(OR(G70="12R",G70="12L"),_xlfn.XLOOKUP(C70,Tabla42[ADEP],Tabla42[SID 12R],""),IF(OR(G70="30L",G70="30R"),_xlfn.XLOOKUP(C70,Tabla42[ADEP],Tabla42[SID 30L],""),""))</f>
        <v>UDGUV</v>
      </c>
      <c r="S70" s="3">
        <f t="shared" si="1"/>
        <v>16</v>
      </c>
      <c r="T70" s="3" t="str">
        <f>_xlfn.XLOOKUP(C70,Tabla42[ADEP],Tabla42[Sector],"")</f>
        <v>Sector 2</v>
      </c>
    </row>
    <row r="71" spans="1:20" x14ac:dyDescent="0.2">
      <c r="A71" s="13" t="s">
        <v>2076</v>
      </c>
      <c r="B71" s="13" t="s">
        <v>18</v>
      </c>
      <c r="C71" s="13" t="s">
        <v>18</v>
      </c>
      <c r="D71" s="13" t="s">
        <v>2077</v>
      </c>
      <c r="E71" s="13"/>
      <c r="F71" s="14">
        <v>46300.710057870368</v>
      </c>
      <c r="G71" s="13" t="s">
        <v>21</v>
      </c>
      <c r="H71" s="13" t="s">
        <v>2126</v>
      </c>
      <c r="I71" s="15">
        <v>15</v>
      </c>
      <c r="J71" s="13" t="s">
        <v>130</v>
      </c>
      <c r="K71" s="13" t="s">
        <v>50</v>
      </c>
      <c r="L71" s="15">
        <v>83</v>
      </c>
      <c r="M71" s="13" t="s">
        <v>18</v>
      </c>
      <c r="N71" s="14">
        <v>46300.748749999999</v>
      </c>
      <c r="O71" s="15">
        <v>0</v>
      </c>
      <c r="P71" s="13" t="s">
        <v>129</v>
      </c>
      <c r="Q71" s="15">
        <v>15</v>
      </c>
      <c r="R71" s="3" t="str">
        <f>IF(OR(G71="12R",G71="12L"),_xlfn.XLOOKUP(C71,Tabla42[ADEP],Tabla42[SID 12R],""),IF(OR(G71="30L",G71="30R"),_xlfn.XLOOKUP(C71,Tabla42[ADEP],Tabla42[SID 30L],""),""))</f>
        <v/>
      </c>
      <c r="S71" s="3">
        <f t="shared" si="1"/>
        <v>17</v>
      </c>
      <c r="T71" s="3" t="str">
        <f>_xlfn.XLOOKUP(C71,Tabla42[ADEP],Tabla42[Sector],"")</f>
        <v/>
      </c>
    </row>
    <row r="72" spans="1:20" x14ac:dyDescent="0.2">
      <c r="A72" s="13" t="s">
        <v>1031</v>
      </c>
      <c r="B72" s="13" t="s">
        <v>18</v>
      </c>
      <c r="C72" s="13" t="s">
        <v>353</v>
      </c>
      <c r="D72" s="13" t="s">
        <v>700</v>
      </c>
      <c r="E72" s="13"/>
      <c r="F72" s="14">
        <v>46300.712384259263</v>
      </c>
      <c r="G72" s="13" t="s">
        <v>21</v>
      </c>
      <c r="H72" s="13" t="s">
        <v>2127</v>
      </c>
      <c r="I72" s="15">
        <v>370</v>
      </c>
      <c r="J72" s="13" t="s">
        <v>22</v>
      </c>
      <c r="K72" s="13" t="s">
        <v>50</v>
      </c>
      <c r="L72" s="15">
        <v>222</v>
      </c>
      <c r="M72" s="13" t="s">
        <v>355</v>
      </c>
      <c r="N72" s="14">
        <v>46300.727164351854</v>
      </c>
      <c r="O72" s="15">
        <v>285</v>
      </c>
      <c r="P72" s="13" t="s">
        <v>25</v>
      </c>
      <c r="Q72" s="15">
        <v>40</v>
      </c>
      <c r="R72" s="3" t="str">
        <f>IF(OR(G72="12R",G72="12L"),_xlfn.XLOOKUP(C72,Tabla42[ADEP],Tabla42[SID 12R],""),IF(OR(G72="30L",G72="30R"),_xlfn.XLOOKUP(C72,Tabla42[ADEP],Tabla42[SID 30L],""),""))</f>
        <v>OMSUK</v>
      </c>
      <c r="S72" s="3">
        <f t="shared" si="1"/>
        <v>17</v>
      </c>
      <c r="T72" s="3" t="str">
        <f>_xlfn.XLOOKUP(C72,Tabla42[ADEP],Tabla42[Sector],"")</f>
        <v>Sector 3</v>
      </c>
    </row>
    <row r="73" spans="1:20" x14ac:dyDescent="0.2">
      <c r="A73" s="13" t="s">
        <v>186</v>
      </c>
      <c r="B73" s="13" t="s">
        <v>18</v>
      </c>
      <c r="C73" s="13" t="s">
        <v>121</v>
      </c>
      <c r="D73" s="13" t="s">
        <v>60</v>
      </c>
      <c r="E73" s="13" t="s">
        <v>1463</v>
      </c>
      <c r="F73" s="14">
        <v>46300.713946759257</v>
      </c>
      <c r="G73" s="13" t="s">
        <v>21</v>
      </c>
      <c r="H73" s="13" t="s">
        <v>2128</v>
      </c>
      <c r="I73" s="15">
        <v>340</v>
      </c>
      <c r="J73" s="13" t="s">
        <v>22</v>
      </c>
      <c r="K73" s="13" t="s">
        <v>23</v>
      </c>
      <c r="L73" s="15">
        <v>557</v>
      </c>
      <c r="M73" s="13" t="s">
        <v>123</v>
      </c>
      <c r="N73" s="14">
        <v>46300.744189814817</v>
      </c>
      <c r="O73" s="15">
        <v>340</v>
      </c>
      <c r="P73" s="13" t="s">
        <v>25</v>
      </c>
      <c r="Q73" s="15">
        <v>40</v>
      </c>
      <c r="R73" s="3" t="str">
        <f>IF(OR(G73="12R",G73="12L"),_xlfn.XLOOKUP(C73,Tabla42[ADEP],Tabla42[SID 12R],""),IF(OR(G73="30L",G73="30R"),_xlfn.XLOOKUP(C73,Tabla42[ADEP],Tabla42[SID 30L],""),""))</f>
        <v>ENEBA</v>
      </c>
      <c r="S73" s="3">
        <f t="shared" si="1"/>
        <v>17</v>
      </c>
      <c r="T73" s="3" t="str">
        <f>_xlfn.XLOOKUP(C73,Tabla42[ADEP],Tabla42[Sector],"")</f>
        <v>Sector 3</v>
      </c>
    </row>
    <row r="74" spans="1:20" x14ac:dyDescent="0.2">
      <c r="A74" s="13" t="s">
        <v>378</v>
      </c>
      <c r="B74" s="13" t="s">
        <v>18</v>
      </c>
      <c r="C74" s="13" t="s">
        <v>62</v>
      </c>
      <c r="D74" s="13" t="s">
        <v>53</v>
      </c>
      <c r="E74" s="13" t="s">
        <v>357</v>
      </c>
      <c r="F74" s="14">
        <v>46300.716134259259</v>
      </c>
      <c r="G74" s="13" t="s">
        <v>21</v>
      </c>
      <c r="H74" s="13" t="s">
        <v>2129</v>
      </c>
      <c r="I74" s="15">
        <v>380</v>
      </c>
      <c r="J74" s="13" t="s">
        <v>22</v>
      </c>
      <c r="K74" s="13" t="s">
        <v>23</v>
      </c>
      <c r="L74" s="15">
        <v>889</v>
      </c>
      <c r="M74" s="13" t="s">
        <v>485</v>
      </c>
      <c r="N74" s="14">
        <v>46300.763483796298</v>
      </c>
      <c r="O74" s="15">
        <v>380</v>
      </c>
      <c r="P74" s="13" t="s">
        <v>25</v>
      </c>
      <c r="Q74" s="15">
        <v>190</v>
      </c>
      <c r="R74" s="3" t="str">
        <f>IF(OR(G74="12R",G74="12L"),_xlfn.XLOOKUP(C74,Tabla42[ADEP],Tabla42[SID 12R],""),IF(OR(G74="30L",G74="30R"),_xlfn.XLOOKUP(C74,Tabla42[ADEP],Tabla42[SID 30L],""),""))</f>
        <v>UDGUV</v>
      </c>
      <c r="S74" s="3">
        <f t="shared" si="1"/>
        <v>17</v>
      </c>
      <c r="T74" s="3" t="str">
        <f>_xlfn.XLOOKUP(C74,Tabla42[ADEP],Tabla42[Sector],"")</f>
        <v>Sector 2</v>
      </c>
    </row>
    <row r="75" spans="1:20" x14ac:dyDescent="0.2">
      <c r="A75" s="13" t="s">
        <v>187</v>
      </c>
      <c r="B75" s="13" t="s">
        <v>18</v>
      </c>
      <c r="C75" s="13" t="s">
        <v>188</v>
      </c>
      <c r="D75" s="13" t="s">
        <v>117</v>
      </c>
      <c r="E75" s="13" t="s">
        <v>2130</v>
      </c>
      <c r="F75" s="14">
        <v>46300.7184375</v>
      </c>
      <c r="G75" s="13" t="s">
        <v>21</v>
      </c>
      <c r="H75" s="13" t="s">
        <v>2131</v>
      </c>
      <c r="I75" s="15">
        <v>300</v>
      </c>
      <c r="J75" s="13" t="s">
        <v>22</v>
      </c>
      <c r="K75" s="13" t="s">
        <v>23</v>
      </c>
      <c r="L75" s="15">
        <v>384</v>
      </c>
      <c r="M75" s="13" t="s">
        <v>250</v>
      </c>
      <c r="N75" s="14">
        <v>46300.738495370373</v>
      </c>
      <c r="O75" s="15">
        <v>300</v>
      </c>
      <c r="P75" s="13" t="s">
        <v>25</v>
      </c>
      <c r="Q75" s="15">
        <v>40</v>
      </c>
      <c r="R75" s="3" t="str">
        <f>IF(OR(G75="12R",G75="12L"),_xlfn.XLOOKUP(C75,Tabla42[ADEP],Tabla42[SID 12R],""),IF(OR(G75="30L",G75="30R"),_xlfn.XLOOKUP(C75,Tabla42[ADEP],Tabla42[SID 30L],""),""))</f>
        <v>ENEBA</v>
      </c>
      <c r="S75" s="3">
        <f t="shared" si="1"/>
        <v>17</v>
      </c>
      <c r="T75" s="3" t="str">
        <f>_xlfn.XLOOKUP(C75,Tabla42[ADEP],Tabla42[Sector],"")</f>
        <v>Sector 3</v>
      </c>
    </row>
    <row r="76" spans="1:20" x14ac:dyDescent="0.2">
      <c r="A76" s="13" t="s">
        <v>178</v>
      </c>
      <c r="B76" s="13" t="s">
        <v>18</v>
      </c>
      <c r="C76" s="13" t="s">
        <v>179</v>
      </c>
      <c r="D76" s="13" t="s">
        <v>53</v>
      </c>
      <c r="E76" s="13" t="s">
        <v>393</v>
      </c>
      <c r="F76" s="14">
        <v>46300.726145833331</v>
      </c>
      <c r="G76" s="13" t="s">
        <v>21</v>
      </c>
      <c r="H76" s="13" t="s">
        <v>2132</v>
      </c>
      <c r="I76" s="15">
        <v>380</v>
      </c>
      <c r="J76" s="13" t="s">
        <v>22</v>
      </c>
      <c r="K76" s="13" t="s">
        <v>23</v>
      </c>
      <c r="L76" s="15">
        <v>838</v>
      </c>
      <c r="M76" s="13" t="s">
        <v>179</v>
      </c>
      <c r="N76" s="14">
        <v>46300.770937499998</v>
      </c>
      <c r="O76" s="15">
        <v>15</v>
      </c>
      <c r="P76" s="13" t="s">
        <v>25</v>
      </c>
      <c r="Q76" s="15">
        <v>190</v>
      </c>
      <c r="R76" s="3" t="str">
        <f>IF(OR(G76="12R",G76="12L"),_xlfn.XLOOKUP(C76,Tabla42[ADEP],Tabla42[SID 12R],""),IF(OR(G76="30L",G76="30R"),_xlfn.XLOOKUP(C76,Tabla42[ADEP],Tabla42[SID 30L],""),""))</f>
        <v>UDGUV</v>
      </c>
      <c r="S76" s="3">
        <f t="shared" si="1"/>
        <v>17</v>
      </c>
      <c r="T76" s="3" t="str">
        <f>_xlfn.XLOOKUP(C76,Tabla42[ADEP],Tabla42[Sector],"")</f>
        <v>Sector 2</v>
      </c>
    </row>
    <row r="77" spans="1:20" x14ac:dyDescent="0.2">
      <c r="A77" s="13" t="s">
        <v>183</v>
      </c>
      <c r="B77" s="13" t="s">
        <v>18</v>
      </c>
      <c r="C77" s="13" t="s">
        <v>184</v>
      </c>
      <c r="D77" s="13" t="s">
        <v>60</v>
      </c>
      <c r="E77" s="13" t="s">
        <v>2133</v>
      </c>
      <c r="F77" s="14">
        <v>46300.728148148148</v>
      </c>
      <c r="G77" s="13" t="s">
        <v>21</v>
      </c>
      <c r="H77" s="13" t="s">
        <v>2134</v>
      </c>
      <c r="I77" s="15">
        <v>330</v>
      </c>
      <c r="J77" s="13" t="s">
        <v>22</v>
      </c>
      <c r="K77" s="13" t="s">
        <v>23</v>
      </c>
      <c r="L77" s="15">
        <v>365</v>
      </c>
      <c r="M77" s="13" t="s">
        <v>30</v>
      </c>
      <c r="N77" s="14">
        <v>46300.75</v>
      </c>
      <c r="O77" s="15">
        <v>330</v>
      </c>
      <c r="P77" s="13" t="s">
        <v>25</v>
      </c>
      <c r="Q77" s="15">
        <v>40</v>
      </c>
      <c r="R77" s="3" t="str">
        <f>IF(OR(G77="12R",G77="12L"),_xlfn.XLOOKUP(C77,Tabla42[ADEP],Tabla42[SID 12R],""),IF(OR(G77="30L",G77="30R"),_xlfn.XLOOKUP(C77,Tabla42[ADEP],Tabla42[SID 30L],""),""))</f>
        <v>OMSUK</v>
      </c>
      <c r="S77" s="3">
        <f t="shared" si="1"/>
        <v>17</v>
      </c>
      <c r="T77" s="3" t="str">
        <f>_xlfn.XLOOKUP(C77,Tabla42[ADEP],Tabla42[Sector],"")</f>
        <v>Sector 3</v>
      </c>
    </row>
    <row r="78" spans="1:20" x14ac:dyDescent="0.2">
      <c r="A78" s="13" t="s">
        <v>203</v>
      </c>
      <c r="B78" s="13" t="s">
        <v>18</v>
      </c>
      <c r="C78" s="13" t="s">
        <v>204</v>
      </c>
      <c r="D78" s="13" t="s">
        <v>33</v>
      </c>
      <c r="E78" s="13" t="s">
        <v>2135</v>
      </c>
      <c r="F78" s="14">
        <v>46300.738506944443</v>
      </c>
      <c r="G78" s="13" t="s">
        <v>21</v>
      </c>
      <c r="H78" s="13" t="s">
        <v>2136</v>
      </c>
      <c r="I78" s="15">
        <v>330</v>
      </c>
      <c r="J78" s="13" t="s">
        <v>22</v>
      </c>
      <c r="K78" s="13" t="s">
        <v>23</v>
      </c>
      <c r="L78" s="15">
        <v>153</v>
      </c>
      <c r="M78" s="13" t="s">
        <v>111</v>
      </c>
      <c r="N78" s="14">
        <v>46300.749340277776</v>
      </c>
      <c r="O78" s="15">
        <v>246</v>
      </c>
      <c r="P78" s="13" t="s">
        <v>25</v>
      </c>
      <c r="Q78" s="15">
        <v>190</v>
      </c>
      <c r="R78" s="3" t="str">
        <f>IF(OR(G78="12R",G78="12L"),_xlfn.XLOOKUP(C78,Tabla42[ADEP],Tabla42[SID 12R],""),IF(OR(G78="30L",G78="30R"),_xlfn.XLOOKUP(C78,Tabla42[ADEP],Tabla42[SID 30L],""),""))</f>
        <v>TAKUX</v>
      </c>
      <c r="S78" s="3">
        <f t="shared" si="1"/>
        <v>17</v>
      </c>
      <c r="T78" s="3" t="str">
        <f>_xlfn.XLOOKUP(C78,Tabla42[ADEP],Tabla42[Sector],"")</f>
        <v>Sector 7</v>
      </c>
    </row>
    <row r="79" spans="1:20" x14ac:dyDescent="0.2">
      <c r="A79" s="13" t="s">
        <v>192</v>
      </c>
      <c r="B79" s="13" t="s">
        <v>18</v>
      </c>
      <c r="C79" s="13" t="s">
        <v>193</v>
      </c>
      <c r="D79" s="13" t="s">
        <v>60</v>
      </c>
      <c r="E79" s="13" t="s">
        <v>2137</v>
      </c>
      <c r="F79" s="14">
        <v>46300.739942129629</v>
      </c>
      <c r="G79" s="13" t="s">
        <v>21</v>
      </c>
      <c r="H79" s="13" t="s">
        <v>2138</v>
      </c>
      <c r="I79" s="15">
        <v>350</v>
      </c>
      <c r="J79" s="13" t="s">
        <v>22</v>
      </c>
      <c r="K79" s="13" t="s">
        <v>23</v>
      </c>
      <c r="L79" s="15">
        <v>360</v>
      </c>
      <c r="M79" s="13" t="s">
        <v>30</v>
      </c>
      <c r="N79" s="14">
        <v>46300.760185185187</v>
      </c>
      <c r="O79" s="15">
        <v>350</v>
      </c>
      <c r="P79" s="13" t="s">
        <v>25</v>
      </c>
      <c r="Q79" s="15">
        <v>40</v>
      </c>
      <c r="R79" s="3" t="str">
        <f>IF(OR(G79="12R",G79="12L"),_xlfn.XLOOKUP(C79,Tabla42[ADEP],Tabla42[SID 12R],""),IF(OR(G79="30L",G79="30R"),_xlfn.XLOOKUP(C79,Tabla42[ADEP],Tabla42[SID 30L],""),""))</f>
        <v>ENEBA</v>
      </c>
      <c r="S79" s="3">
        <f t="shared" si="1"/>
        <v>17</v>
      </c>
      <c r="T79" s="3" t="str">
        <f>_xlfn.XLOOKUP(C79,Tabla42[ADEP],Tabla42[Sector],"")</f>
        <v>Sector 3</v>
      </c>
    </row>
    <row r="80" spans="1:20" x14ac:dyDescent="0.2">
      <c r="A80" s="13" t="s">
        <v>221</v>
      </c>
      <c r="B80" s="13" t="s">
        <v>18</v>
      </c>
      <c r="C80" s="13" t="s">
        <v>42</v>
      </c>
      <c r="D80" s="13" t="s">
        <v>43</v>
      </c>
      <c r="E80" s="13" t="s">
        <v>2139</v>
      </c>
      <c r="F80" s="14">
        <v>46300.746516203704</v>
      </c>
      <c r="G80" s="13" t="s">
        <v>21</v>
      </c>
      <c r="H80" s="13" t="s">
        <v>2140</v>
      </c>
      <c r="I80" s="15">
        <v>360</v>
      </c>
      <c r="J80" s="13" t="s">
        <v>22</v>
      </c>
      <c r="K80" s="13" t="s">
        <v>23</v>
      </c>
      <c r="L80" s="15">
        <v>899</v>
      </c>
      <c r="M80" s="13" t="s">
        <v>738</v>
      </c>
      <c r="N80" s="14">
        <v>46300.792615740742</v>
      </c>
      <c r="O80" s="15">
        <v>360</v>
      </c>
      <c r="P80" s="13" t="s">
        <v>25</v>
      </c>
      <c r="Q80" s="15">
        <v>190</v>
      </c>
      <c r="R80" s="3" t="str">
        <f>IF(OR(G80="12R",G80="12L"),_xlfn.XLOOKUP(C80,Tabla42[ADEP],Tabla42[SID 12R],""),IF(OR(G80="30L",G80="30R"),_xlfn.XLOOKUP(C80,Tabla42[ADEP],Tabla42[SID 30L],""),""))</f>
        <v>UDGUV</v>
      </c>
      <c r="S80" s="3">
        <f t="shared" si="1"/>
        <v>17</v>
      </c>
      <c r="T80" s="3" t="str">
        <f>_xlfn.XLOOKUP(C80,Tabla42[ADEP],Tabla42[Sector],"")</f>
        <v>Sector 2</v>
      </c>
    </row>
    <row r="81" spans="1:20" x14ac:dyDescent="0.2">
      <c r="A81" s="13" t="s">
        <v>202</v>
      </c>
      <c r="B81" s="13" t="s">
        <v>18</v>
      </c>
      <c r="C81" s="13" t="s">
        <v>32</v>
      </c>
      <c r="D81" s="13" t="s">
        <v>20</v>
      </c>
      <c r="E81" s="13" t="s">
        <v>2141</v>
      </c>
      <c r="F81" s="14">
        <v>46300.747696759259</v>
      </c>
      <c r="G81" s="13" t="s">
        <v>21</v>
      </c>
      <c r="H81" s="13" t="s">
        <v>2142</v>
      </c>
      <c r="I81" s="15">
        <v>360</v>
      </c>
      <c r="J81" s="13" t="s">
        <v>22</v>
      </c>
      <c r="K81" s="13" t="s">
        <v>23</v>
      </c>
      <c r="L81" s="15">
        <v>880</v>
      </c>
      <c r="M81" s="13" t="s">
        <v>2143</v>
      </c>
      <c r="N81" s="14">
        <v>46300.793761574074</v>
      </c>
      <c r="O81" s="15">
        <v>360</v>
      </c>
      <c r="P81" s="13" t="s">
        <v>25</v>
      </c>
      <c r="Q81" s="15">
        <v>190</v>
      </c>
      <c r="R81" s="3" t="str">
        <f>IF(OR(G81="12R",G81="12L"),_xlfn.XLOOKUP(C81,Tabla42[ADEP],Tabla42[SID 12R],""),IF(OR(G81="30L",G81="30R"),_xlfn.XLOOKUP(C81,Tabla42[ADEP],Tabla42[SID 30L],""),""))</f>
        <v>UDGUV</v>
      </c>
      <c r="S81" s="3">
        <f t="shared" si="1"/>
        <v>17</v>
      </c>
      <c r="T81" s="3" t="str">
        <f>_xlfn.XLOOKUP(C81,Tabla42[ADEP],Tabla42[Sector],"")</f>
        <v>Sector 2</v>
      </c>
    </row>
    <row r="82" spans="1:20" x14ac:dyDescent="0.2">
      <c r="A82" s="13" t="s">
        <v>180</v>
      </c>
      <c r="B82" s="13" t="s">
        <v>18</v>
      </c>
      <c r="C82" s="13" t="s">
        <v>133</v>
      </c>
      <c r="D82" s="13" t="s">
        <v>60</v>
      </c>
      <c r="E82" s="13" t="s">
        <v>2144</v>
      </c>
      <c r="F82" s="14">
        <v>46300.748668981483</v>
      </c>
      <c r="G82" s="13" t="s">
        <v>21</v>
      </c>
      <c r="H82" s="13" t="s">
        <v>2145</v>
      </c>
      <c r="I82" s="15">
        <v>350</v>
      </c>
      <c r="J82" s="13" t="s">
        <v>22</v>
      </c>
      <c r="K82" s="13" t="s">
        <v>23</v>
      </c>
      <c r="L82" s="15">
        <v>360</v>
      </c>
      <c r="M82" s="13" t="s">
        <v>30</v>
      </c>
      <c r="N82" s="14">
        <v>46300.769745370373</v>
      </c>
      <c r="O82" s="15">
        <v>330</v>
      </c>
      <c r="P82" s="13" t="s">
        <v>25</v>
      </c>
      <c r="Q82" s="15">
        <v>40</v>
      </c>
      <c r="R82" s="3" t="str">
        <f>IF(OR(G82="12R",G82="12L"),_xlfn.XLOOKUP(C82,Tabla42[ADEP],Tabla42[SID 12R],""),IF(OR(G82="30L",G82="30R"),_xlfn.XLOOKUP(C82,Tabla42[ADEP],Tabla42[SID 30L],""),""))</f>
        <v>OMSUK</v>
      </c>
      <c r="S82" s="3">
        <f t="shared" si="1"/>
        <v>17</v>
      </c>
      <c r="T82" s="3" t="str">
        <f>_xlfn.XLOOKUP(C82,Tabla42[ADEP],Tabla42[Sector],"")</f>
        <v>Sector 3</v>
      </c>
    </row>
    <row r="83" spans="1:20" x14ac:dyDescent="0.2">
      <c r="A83" s="13" t="s">
        <v>211</v>
      </c>
      <c r="B83" s="13" t="s">
        <v>18</v>
      </c>
      <c r="C83" s="13" t="s">
        <v>212</v>
      </c>
      <c r="D83" s="13" t="s">
        <v>53</v>
      </c>
      <c r="E83" s="13" t="s">
        <v>2146</v>
      </c>
      <c r="F83" s="14">
        <v>46300.753495370373</v>
      </c>
      <c r="G83" s="13" t="s">
        <v>21</v>
      </c>
      <c r="H83" s="13" t="s">
        <v>2147</v>
      </c>
      <c r="I83" s="15">
        <v>370</v>
      </c>
      <c r="J83" s="13" t="s">
        <v>22</v>
      </c>
      <c r="K83" s="13" t="s">
        <v>23</v>
      </c>
      <c r="L83" s="15">
        <v>153</v>
      </c>
      <c r="M83" s="13" t="s">
        <v>111</v>
      </c>
      <c r="N83" s="14">
        <v>46300.763796296298</v>
      </c>
      <c r="O83" s="15">
        <v>287</v>
      </c>
      <c r="P83" s="13" t="s">
        <v>25</v>
      </c>
      <c r="Q83" s="15">
        <v>190</v>
      </c>
      <c r="R83" s="3" t="str">
        <f>IF(OR(G83="12R",G83="12L"),_xlfn.XLOOKUP(C83,Tabla42[ADEP],Tabla42[SID 12R],""),IF(OR(G83="30L",G83="30R"),_xlfn.XLOOKUP(C83,Tabla42[ADEP],Tabla42[SID 30L],""),""))</f>
        <v>TAKUX</v>
      </c>
      <c r="S83" s="3">
        <f t="shared" si="1"/>
        <v>18</v>
      </c>
      <c r="T83" s="3" t="str">
        <f>_xlfn.XLOOKUP(C83,Tabla42[ADEP],Tabla42[Sector],"")</f>
        <v>Sector 7</v>
      </c>
    </row>
    <row r="84" spans="1:20" x14ac:dyDescent="0.2">
      <c r="A84" s="13" t="s">
        <v>244</v>
      </c>
      <c r="B84" s="13" t="s">
        <v>18</v>
      </c>
      <c r="C84" s="13" t="s">
        <v>126</v>
      </c>
      <c r="D84" s="13" t="s">
        <v>60</v>
      </c>
      <c r="E84" s="13" t="s">
        <v>2148</v>
      </c>
      <c r="F84" s="14">
        <v>46300.754594907405</v>
      </c>
      <c r="G84" s="13" t="s">
        <v>21</v>
      </c>
      <c r="H84" s="13" t="s">
        <v>2149</v>
      </c>
      <c r="I84" s="15">
        <v>340</v>
      </c>
      <c r="J84" s="13" t="s">
        <v>22</v>
      </c>
      <c r="K84" s="13" t="s">
        <v>23</v>
      </c>
      <c r="L84" s="15">
        <v>443</v>
      </c>
      <c r="M84" s="13" t="s">
        <v>189</v>
      </c>
      <c r="N84" s="14">
        <v>46300.779039351852</v>
      </c>
      <c r="O84" s="15">
        <v>340</v>
      </c>
      <c r="P84" s="13" t="s">
        <v>25</v>
      </c>
      <c r="Q84" s="15">
        <v>40</v>
      </c>
      <c r="R84" s="3" t="str">
        <f>IF(OR(G84="12R",G84="12L"),_xlfn.XLOOKUP(C84,Tabla42[ADEP],Tabla42[SID 12R],""),IF(OR(G84="30L",G84="30R"),_xlfn.XLOOKUP(C84,Tabla42[ADEP],Tabla42[SID 30L],""),""))</f>
        <v>ENEBA</v>
      </c>
      <c r="S84" s="3">
        <f t="shared" si="1"/>
        <v>18</v>
      </c>
      <c r="T84" s="3" t="str">
        <f>_xlfn.XLOOKUP(C84,Tabla42[ADEP],Tabla42[Sector],"")</f>
        <v>Sector 3</v>
      </c>
    </row>
    <row r="85" spans="1:20" x14ac:dyDescent="0.2">
      <c r="A85" s="13" t="s">
        <v>437</v>
      </c>
      <c r="B85" s="13" t="s">
        <v>18</v>
      </c>
      <c r="C85" s="13" t="s">
        <v>438</v>
      </c>
      <c r="D85" s="13" t="s">
        <v>33</v>
      </c>
      <c r="E85" s="13" t="s">
        <v>677</v>
      </c>
      <c r="F85" s="14">
        <v>46300.755601851852</v>
      </c>
      <c r="G85" s="13" t="s">
        <v>21</v>
      </c>
      <c r="H85" s="13" t="s">
        <v>2150</v>
      </c>
      <c r="I85" s="15">
        <v>380</v>
      </c>
      <c r="J85" s="13" t="s">
        <v>22</v>
      </c>
      <c r="K85" s="13" t="s">
        <v>23</v>
      </c>
      <c r="L85" s="15">
        <v>1000</v>
      </c>
      <c r="M85" s="13" t="s">
        <v>439</v>
      </c>
      <c r="N85" s="14">
        <v>46300.807106481479</v>
      </c>
      <c r="O85" s="15">
        <v>229</v>
      </c>
      <c r="P85" s="13" t="s">
        <v>25</v>
      </c>
      <c r="Q85" s="15">
        <v>190</v>
      </c>
      <c r="R85" s="3" t="str">
        <f>IF(OR(G85="12R",G85="12L"),_xlfn.XLOOKUP(C85,Tabla42[ADEP],Tabla42[SID 12R],""),IF(OR(G85="30L",G85="30R"),_xlfn.XLOOKUP(C85,Tabla42[ADEP],Tabla42[SID 30L],""),""))</f>
        <v>UDGUV</v>
      </c>
      <c r="S85" s="3">
        <f t="shared" si="1"/>
        <v>18</v>
      </c>
      <c r="T85" s="3" t="str">
        <f>_xlfn.XLOOKUP(C85,Tabla42[ADEP],Tabla42[Sector],"")</f>
        <v>Sector 2</v>
      </c>
    </row>
    <row r="86" spans="1:20" x14ac:dyDescent="0.2">
      <c r="A86" s="13" t="s">
        <v>214</v>
      </c>
      <c r="B86" s="13" t="s">
        <v>18</v>
      </c>
      <c r="C86" s="13" t="s">
        <v>215</v>
      </c>
      <c r="D86" s="13" t="s">
        <v>60</v>
      </c>
      <c r="E86" s="13" t="s">
        <v>659</v>
      </c>
      <c r="F86" s="14">
        <v>46300.756527777776</v>
      </c>
      <c r="G86" s="13" t="s">
        <v>21</v>
      </c>
      <c r="H86" s="13" t="s">
        <v>2151</v>
      </c>
      <c r="I86" s="15">
        <v>340</v>
      </c>
      <c r="J86" s="13" t="s">
        <v>22</v>
      </c>
      <c r="K86" s="13" t="s">
        <v>23</v>
      </c>
      <c r="L86" s="15">
        <v>384</v>
      </c>
      <c r="M86" s="13" t="s">
        <v>250</v>
      </c>
      <c r="N86" s="14">
        <v>46300.778993055559</v>
      </c>
      <c r="O86" s="15">
        <v>340</v>
      </c>
      <c r="P86" s="13" t="s">
        <v>25</v>
      </c>
      <c r="Q86" s="15">
        <v>40</v>
      </c>
      <c r="R86" s="3" t="str">
        <f>IF(OR(G86="12R",G86="12L"),_xlfn.XLOOKUP(C86,Tabla42[ADEP],Tabla42[SID 12R],""),IF(OR(G86="30L",G86="30R"),_xlfn.XLOOKUP(C86,Tabla42[ADEP],Tabla42[SID 30L],""),""))</f>
        <v>OMSUK</v>
      </c>
      <c r="S86" s="3">
        <f t="shared" si="1"/>
        <v>18</v>
      </c>
      <c r="T86" s="3" t="str">
        <f>_xlfn.XLOOKUP(C86,Tabla42[ADEP],Tabla42[Sector],"")</f>
        <v>Sector 3</v>
      </c>
    </row>
    <row r="87" spans="1:20" x14ac:dyDescent="0.2">
      <c r="A87" s="13" t="s">
        <v>205</v>
      </c>
      <c r="B87" s="13" t="s">
        <v>18</v>
      </c>
      <c r="C87" s="13" t="s">
        <v>206</v>
      </c>
      <c r="D87" s="13" t="s">
        <v>20</v>
      </c>
      <c r="E87" s="13" t="s">
        <v>484</v>
      </c>
      <c r="F87" s="14">
        <v>46300.757997685185</v>
      </c>
      <c r="G87" s="13" t="s">
        <v>21</v>
      </c>
      <c r="H87" s="13" t="s">
        <v>2152</v>
      </c>
      <c r="I87" s="15">
        <v>360</v>
      </c>
      <c r="J87" s="13" t="s">
        <v>22</v>
      </c>
      <c r="K87" s="13" t="s">
        <v>23</v>
      </c>
      <c r="L87" s="15">
        <v>891</v>
      </c>
      <c r="M87" s="13" t="s">
        <v>668</v>
      </c>
      <c r="N87" s="14">
        <v>46300.803379629629</v>
      </c>
      <c r="O87" s="15">
        <v>360</v>
      </c>
      <c r="P87" s="13" t="s">
        <v>25</v>
      </c>
      <c r="Q87" s="15">
        <v>190</v>
      </c>
      <c r="R87" s="3" t="str">
        <f>IF(OR(G87="12R",G87="12L"),_xlfn.XLOOKUP(C87,Tabla42[ADEP],Tabla42[SID 12R],""),IF(OR(G87="30L",G87="30R"),_xlfn.XLOOKUP(C87,Tabla42[ADEP],Tabla42[SID 30L],""),""))</f>
        <v>UDGUV</v>
      </c>
      <c r="S87" s="3">
        <f t="shared" si="1"/>
        <v>18</v>
      </c>
      <c r="T87" s="3" t="str">
        <f>_xlfn.XLOOKUP(C87,Tabla42[ADEP],Tabla42[Sector],"")</f>
        <v>Sector 2</v>
      </c>
    </row>
    <row r="88" spans="1:20" x14ac:dyDescent="0.2">
      <c r="A88" s="13" t="s">
        <v>217</v>
      </c>
      <c r="B88" s="13" t="s">
        <v>18</v>
      </c>
      <c r="C88" s="13" t="s">
        <v>158</v>
      </c>
      <c r="D88" s="13" t="s">
        <v>20</v>
      </c>
      <c r="E88" s="13" t="s">
        <v>2153</v>
      </c>
      <c r="F88" s="14">
        <v>46300.758587962962</v>
      </c>
      <c r="G88" s="13" t="s">
        <v>21</v>
      </c>
      <c r="H88" s="13" t="s">
        <v>2154</v>
      </c>
      <c r="I88" s="15">
        <v>330</v>
      </c>
      <c r="J88" s="13" t="s">
        <v>22</v>
      </c>
      <c r="K88" s="13" t="s">
        <v>23</v>
      </c>
      <c r="L88" s="15">
        <v>136</v>
      </c>
      <c r="M88" s="13" t="s">
        <v>39</v>
      </c>
      <c r="N88" s="14">
        <v>46300.76803240741</v>
      </c>
      <c r="O88" s="15">
        <v>219</v>
      </c>
      <c r="P88" s="13" t="s">
        <v>25</v>
      </c>
      <c r="Q88" s="15">
        <v>190</v>
      </c>
      <c r="R88" s="3" t="str">
        <f>IF(OR(G88="12R",G88="12L"),_xlfn.XLOOKUP(C88,Tabla42[ADEP],Tabla42[SID 12R],""),IF(OR(G88="30L",G88="30R"),_xlfn.XLOOKUP(C88,Tabla42[ADEP],Tabla42[SID 30L],""),""))</f>
        <v>OMSUK</v>
      </c>
      <c r="S88" s="3">
        <f t="shared" si="1"/>
        <v>18</v>
      </c>
      <c r="T88" s="3" t="str">
        <f>_xlfn.XLOOKUP(C88,Tabla42[ADEP],Tabla42[Sector],"")</f>
        <v>Sector 3</v>
      </c>
    </row>
    <row r="89" spans="1:20" x14ac:dyDescent="0.2">
      <c r="A89" s="13" t="s">
        <v>216</v>
      </c>
      <c r="B89" s="13" t="s">
        <v>18</v>
      </c>
      <c r="C89" s="13" t="s">
        <v>32</v>
      </c>
      <c r="D89" s="13" t="s">
        <v>20</v>
      </c>
      <c r="E89" s="13" t="s">
        <v>169</v>
      </c>
      <c r="F89" s="14">
        <v>46300.759976851848</v>
      </c>
      <c r="G89" s="13" t="s">
        <v>21</v>
      </c>
      <c r="H89" s="13" t="s">
        <v>2155</v>
      </c>
      <c r="I89" s="15">
        <v>360</v>
      </c>
      <c r="J89" s="13" t="s">
        <v>22</v>
      </c>
      <c r="K89" s="13" t="s">
        <v>23</v>
      </c>
      <c r="L89" s="15">
        <v>867</v>
      </c>
      <c r="M89" s="13" t="s">
        <v>2156</v>
      </c>
      <c r="N89" s="14">
        <v>46300.805300925924</v>
      </c>
      <c r="O89" s="15">
        <v>360</v>
      </c>
      <c r="P89" s="13" t="s">
        <v>25</v>
      </c>
      <c r="Q89" s="15">
        <v>190</v>
      </c>
      <c r="R89" s="3" t="str">
        <f>IF(OR(G89="12R",G89="12L"),_xlfn.XLOOKUP(C89,Tabla42[ADEP],Tabla42[SID 12R],""),IF(OR(G89="30L",G89="30R"),_xlfn.XLOOKUP(C89,Tabla42[ADEP],Tabla42[SID 30L],""),""))</f>
        <v>UDGUV</v>
      </c>
      <c r="S89" s="3">
        <f t="shared" si="1"/>
        <v>18</v>
      </c>
      <c r="T89" s="3" t="str">
        <f>_xlfn.XLOOKUP(C89,Tabla42[ADEP],Tabla42[Sector],"")</f>
        <v>Sector 2</v>
      </c>
    </row>
    <row r="90" spans="1:20" x14ac:dyDescent="0.2">
      <c r="A90" s="13" t="s">
        <v>2157</v>
      </c>
      <c r="B90" s="13" t="s">
        <v>18</v>
      </c>
      <c r="C90" s="13" t="s">
        <v>188</v>
      </c>
      <c r="D90" s="13" t="s">
        <v>60</v>
      </c>
      <c r="E90" s="13" t="s">
        <v>531</v>
      </c>
      <c r="F90" s="14">
        <v>46300.760995370372</v>
      </c>
      <c r="G90" s="13" t="s">
        <v>21</v>
      </c>
      <c r="H90" s="13" t="s">
        <v>2158</v>
      </c>
      <c r="I90" s="15">
        <v>340</v>
      </c>
      <c r="J90" s="13" t="s">
        <v>22</v>
      </c>
      <c r="K90" s="13" t="s">
        <v>23</v>
      </c>
      <c r="L90" s="15">
        <v>447</v>
      </c>
      <c r="M90" s="13" t="s">
        <v>189</v>
      </c>
      <c r="N90" s="14">
        <v>46300.785300925927</v>
      </c>
      <c r="O90" s="15">
        <v>320</v>
      </c>
      <c r="P90" s="13" t="s">
        <v>25</v>
      </c>
      <c r="Q90" s="15">
        <v>40</v>
      </c>
      <c r="R90" s="3" t="str">
        <f>IF(OR(G90="12R",G90="12L"),_xlfn.XLOOKUP(C90,Tabla42[ADEP],Tabla42[SID 12R],""),IF(OR(G90="30L",G90="30R"),_xlfn.XLOOKUP(C90,Tabla42[ADEP],Tabla42[SID 30L],""),""))</f>
        <v>ENEBA</v>
      </c>
      <c r="S90" s="3">
        <f t="shared" si="1"/>
        <v>18</v>
      </c>
      <c r="T90" s="3" t="str">
        <f>_xlfn.XLOOKUP(C90,Tabla42[ADEP],Tabla42[Sector],"")</f>
        <v>Sector 3</v>
      </c>
    </row>
    <row r="91" spans="1:20" x14ac:dyDescent="0.2">
      <c r="A91" s="13" t="s">
        <v>222</v>
      </c>
      <c r="B91" s="13" t="s">
        <v>18</v>
      </c>
      <c r="C91" s="13" t="s">
        <v>223</v>
      </c>
      <c r="D91" s="13" t="s">
        <v>110</v>
      </c>
      <c r="E91" s="13" t="s">
        <v>2159</v>
      </c>
      <c r="F91" s="14">
        <v>46300.762430555558</v>
      </c>
      <c r="G91" s="13" t="s">
        <v>21</v>
      </c>
      <c r="H91" s="13" t="s">
        <v>2160</v>
      </c>
      <c r="I91" s="15">
        <v>350</v>
      </c>
      <c r="J91" s="13" t="s">
        <v>22</v>
      </c>
      <c r="K91" s="13" t="s">
        <v>23</v>
      </c>
      <c r="L91" s="15">
        <v>136</v>
      </c>
      <c r="M91" s="13" t="s">
        <v>39</v>
      </c>
      <c r="N91" s="14">
        <v>46300.77138888889</v>
      </c>
      <c r="O91" s="15">
        <v>274</v>
      </c>
      <c r="P91" s="13" t="s">
        <v>25</v>
      </c>
      <c r="Q91" s="15">
        <v>190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13" t="s">
        <v>597</v>
      </c>
      <c r="B92" s="13" t="s">
        <v>18</v>
      </c>
      <c r="C92" s="13" t="s">
        <v>598</v>
      </c>
      <c r="D92" s="13" t="s">
        <v>122</v>
      </c>
      <c r="E92" s="13" t="s">
        <v>2161</v>
      </c>
      <c r="F92" s="14">
        <v>46300.763692129629</v>
      </c>
      <c r="G92" s="13" t="s">
        <v>21</v>
      </c>
      <c r="H92" s="13" t="s">
        <v>2162</v>
      </c>
      <c r="I92" s="15">
        <v>360</v>
      </c>
      <c r="J92" s="13" t="s">
        <v>22</v>
      </c>
      <c r="K92" s="13" t="s">
        <v>23</v>
      </c>
      <c r="L92" s="15">
        <v>446</v>
      </c>
      <c r="M92" s="13" t="s">
        <v>189</v>
      </c>
      <c r="N92" s="14">
        <v>46300.787673611114</v>
      </c>
      <c r="O92" s="15">
        <v>360</v>
      </c>
      <c r="P92" s="13" t="s">
        <v>25</v>
      </c>
      <c r="Q92" s="15">
        <v>40</v>
      </c>
      <c r="R92" s="3" t="str">
        <f>IF(OR(G92="12R",G92="12L"),_xlfn.XLOOKUP(C92,Tabla42[ADEP],Tabla42[SID 12R],""),IF(OR(G92="30L",G92="30R"),_xlfn.XLOOKUP(C92,Tabla42[ADEP],Tabla42[SID 30L],""),""))</f>
        <v>OMSUK</v>
      </c>
      <c r="S92" s="3">
        <f t="shared" si="1"/>
        <v>18</v>
      </c>
      <c r="T92" s="3" t="str">
        <f>_xlfn.XLOOKUP(C92,Tabla42[ADEP],Tabla42[Sector],"")</f>
        <v>Sector 3</v>
      </c>
    </row>
    <row r="93" spans="1:20" x14ac:dyDescent="0.2">
      <c r="A93" s="13" t="s">
        <v>199</v>
      </c>
      <c r="B93" s="13" t="s">
        <v>18</v>
      </c>
      <c r="C93" s="13" t="s">
        <v>200</v>
      </c>
      <c r="D93" s="13" t="s">
        <v>110</v>
      </c>
      <c r="E93" s="13" t="s">
        <v>2163</v>
      </c>
      <c r="F93" s="14">
        <v>46300.765034722222</v>
      </c>
      <c r="G93" s="13" t="s">
        <v>21</v>
      </c>
      <c r="H93" s="13" t="s">
        <v>2164</v>
      </c>
      <c r="I93" s="15">
        <v>360</v>
      </c>
      <c r="J93" s="13" t="s">
        <v>22</v>
      </c>
      <c r="K93" s="13" t="s">
        <v>23</v>
      </c>
      <c r="L93" s="15">
        <v>452</v>
      </c>
      <c r="M93" s="13" t="s">
        <v>189</v>
      </c>
      <c r="N93" s="14">
        <v>46300.789606481485</v>
      </c>
      <c r="O93" s="15">
        <v>340</v>
      </c>
      <c r="P93" s="13" t="s">
        <v>25</v>
      </c>
      <c r="Q93" s="15">
        <v>40</v>
      </c>
      <c r="R93" s="3" t="str">
        <f>IF(OR(G93="12R",G93="12L"),_xlfn.XLOOKUP(C93,Tabla42[ADEP],Tabla42[SID 12R],""),IF(OR(G93="30L",G93="30R"),_xlfn.XLOOKUP(C93,Tabla42[ADEP],Tabla42[SID 30L],""),""))</f>
        <v>OMSUK</v>
      </c>
      <c r="S93" s="3">
        <f t="shared" si="1"/>
        <v>18</v>
      </c>
      <c r="T93" s="3" t="str">
        <f>_xlfn.XLOOKUP(C93,Tabla42[ADEP],Tabla42[Sector],"")</f>
        <v>Sector 3</v>
      </c>
    </row>
    <row r="94" spans="1:20" x14ac:dyDescent="0.2">
      <c r="A94" s="13" t="s">
        <v>358</v>
      </c>
      <c r="B94" s="13" t="s">
        <v>18</v>
      </c>
      <c r="C94" s="13" t="s">
        <v>359</v>
      </c>
      <c r="D94" s="13" t="s">
        <v>33</v>
      </c>
      <c r="E94" s="13" t="s">
        <v>2165</v>
      </c>
      <c r="F94" s="14">
        <v>46300.76635416667</v>
      </c>
      <c r="G94" s="13" t="s">
        <v>21</v>
      </c>
      <c r="H94" s="13" t="s">
        <v>2166</v>
      </c>
      <c r="I94" s="15">
        <v>330</v>
      </c>
      <c r="J94" s="13" t="s">
        <v>22</v>
      </c>
      <c r="K94" s="13" t="s">
        <v>23</v>
      </c>
      <c r="L94" s="15">
        <v>350</v>
      </c>
      <c r="M94" s="13" t="s">
        <v>30</v>
      </c>
      <c r="N94" s="14">
        <v>46300.785370370373</v>
      </c>
      <c r="O94" s="15">
        <v>330</v>
      </c>
      <c r="P94" s="13" t="s">
        <v>25</v>
      </c>
      <c r="Q94" s="15">
        <v>40</v>
      </c>
      <c r="R94" s="3" t="str">
        <f>IF(OR(G94="12R",G94="12L"),_xlfn.XLOOKUP(C94,Tabla42[ADEP],Tabla42[SID 12R],""),IF(OR(G94="30L",G94="30R"),_xlfn.XLOOKUP(C94,Tabla42[ADEP],Tabla42[SID 30L],""),""))</f>
        <v>OMSUK</v>
      </c>
      <c r="S94" s="3">
        <f t="shared" si="1"/>
        <v>18</v>
      </c>
      <c r="T94" s="3" t="str">
        <f>_xlfn.XLOOKUP(C94,Tabla42[ADEP],Tabla42[Sector],"")</f>
        <v>Sector 3</v>
      </c>
    </row>
    <row r="95" spans="1:20" x14ac:dyDescent="0.2">
      <c r="A95" s="13" t="s">
        <v>237</v>
      </c>
      <c r="B95" s="13" t="s">
        <v>18</v>
      </c>
      <c r="C95" s="13" t="s">
        <v>116</v>
      </c>
      <c r="D95" s="13" t="s">
        <v>117</v>
      </c>
      <c r="E95" s="13" t="s">
        <v>743</v>
      </c>
      <c r="F95" s="14">
        <v>46300.76761574074</v>
      </c>
      <c r="G95" s="13" t="s">
        <v>21</v>
      </c>
      <c r="H95" s="13" t="s">
        <v>2167</v>
      </c>
      <c r="I95" s="15">
        <v>300</v>
      </c>
      <c r="J95" s="13" t="s">
        <v>22</v>
      </c>
      <c r="K95" s="13" t="s">
        <v>23</v>
      </c>
      <c r="L95" s="15">
        <v>539</v>
      </c>
      <c r="M95" s="13" t="s">
        <v>123</v>
      </c>
      <c r="N95" s="14">
        <v>46300.796516203707</v>
      </c>
      <c r="O95" s="15">
        <v>300</v>
      </c>
      <c r="P95" s="13" t="s">
        <v>25</v>
      </c>
      <c r="Q95" s="15">
        <v>40</v>
      </c>
      <c r="R95" s="3" t="str">
        <f>IF(OR(G95="12R",G95="12L"),_xlfn.XLOOKUP(C95,Tabla42[ADEP],Tabla42[SID 12R],""),IF(OR(G95="30L",G95="30R"),_xlfn.XLOOKUP(C95,Tabla42[ADEP],Tabla42[SID 30L],""),""))</f>
        <v>ENEBA</v>
      </c>
      <c r="S95" s="3">
        <f t="shared" si="1"/>
        <v>18</v>
      </c>
      <c r="T95" s="3" t="str">
        <f>_xlfn.XLOOKUP(C95,Tabla42[ADEP],Tabla42[Sector],"")</f>
        <v>Sector 3</v>
      </c>
    </row>
    <row r="96" spans="1:20" x14ac:dyDescent="0.2">
      <c r="A96" s="13" t="s">
        <v>373</v>
      </c>
      <c r="B96" s="13" t="s">
        <v>18</v>
      </c>
      <c r="C96" s="13" t="s">
        <v>32</v>
      </c>
      <c r="D96" s="13" t="s">
        <v>20</v>
      </c>
      <c r="E96" s="13" t="s">
        <v>57</v>
      </c>
      <c r="F96" s="14">
        <v>46300.768680555557</v>
      </c>
      <c r="G96" s="13" t="s">
        <v>21</v>
      </c>
      <c r="H96" s="13" t="s">
        <v>2168</v>
      </c>
      <c r="I96" s="15">
        <v>360</v>
      </c>
      <c r="J96" s="13" t="s">
        <v>22</v>
      </c>
      <c r="K96" s="13" t="s">
        <v>141</v>
      </c>
      <c r="L96" s="15">
        <v>890</v>
      </c>
      <c r="M96" s="13" t="s">
        <v>35</v>
      </c>
      <c r="N96" s="14">
        <v>46300.815601851849</v>
      </c>
      <c r="O96" s="15">
        <v>360</v>
      </c>
      <c r="P96" s="13" t="s">
        <v>25</v>
      </c>
      <c r="Q96" s="15">
        <v>190</v>
      </c>
      <c r="R96" s="3" t="str">
        <f>IF(OR(G96="12R",G96="12L"),_xlfn.XLOOKUP(C96,Tabla42[ADEP],Tabla42[SID 12R],""),IF(OR(G96="30L",G96="30R"),_xlfn.XLOOKUP(C96,Tabla42[ADEP],Tabla42[SID 30L],""),""))</f>
        <v>UDGUV</v>
      </c>
      <c r="S96" s="3">
        <f t="shared" si="1"/>
        <v>18</v>
      </c>
      <c r="T96" s="3" t="str">
        <f>_xlfn.XLOOKUP(C96,Tabla42[ADEP],Tabla42[Sector],"")</f>
        <v>Sector 2</v>
      </c>
    </row>
    <row r="97" spans="1:20" x14ac:dyDescent="0.2">
      <c r="A97" s="13" t="s">
        <v>225</v>
      </c>
      <c r="B97" s="13" t="s">
        <v>18</v>
      </c>
      <c r="C97" s="13" t="s">
        <v>27</v>
      </c>
      <c r="D97" s="13" t="s">
        <v>226</v>
      </c>
      <c r="E97" s="13" t="s">
        <v>2169</v>
      </c>
      <c r="F97" s="14">
        <v>46300.76971064815</v>
      </c>
      <c r="G97" s="13" t="s">
        <v>21</v>
      </c>
      <c r="H97" s="13" t="s">
        <v>2170</v>
      </c>
      <c r="I97" s="15">
        <v>350</v>
      </c>
      <c r="J97" s="13" t="s">
        <v>22</v>
      </c>
      <c r="K97" s="13" t="s">
        <v>23</v>
      </c>
      <c r="L97" s="15">
        <v>360</v>
      </c>
      <c r="M97" s="13" t="s">
        <v>30</v>
      </c>
      <c r="N97" s="14">
        <v>46300.790868055556</v>
      </c>
      <c r="O97" s="15">
        <v>350</v>
      </c>
      <c r="P97" s="13" t="s">
        <v>25</v>
      </c>
      <c r="Q97" s="15">
        <v>40</v>
      </c>
      <c r="R97" s="3" t="str">
        <f>IF(OR(G97="12R",G97="12L"),_xlfn.XLOOKUP(C97,Tabla42[ADEP],Tabla42[SID 12R],""),IF(OR(G97="30L",G97="30R"),_xlfn.XLOOKUP(C97,Tabla42[ADEP],Tabla42[SID 30L],""),""))</f>
        <v>OMSUK</v>
      </c>
      <c r="S97" s="3">
        <f t="shared" si="1"/>
        <v>18</v>
      </c>
      <c r="T97" s="3" t="str">
        <f>_xlfn.XLOOKUP(C97,Tabla42[ADEP],Tabla42[Sector],"")</f>
        <v>Sector 3</v>
      </c>
    </row>
    <row r="98" spans="1:20" x14ac:dyDescent="0.2">
      <c r="A98" s="13" t="s">
        <v>218</v>
      </c>
      <c r="B98" s="13" t="s">
        <v>18</v>
      </c>
      <c r="C98" s="13" t="s">
        <v>219</v>
      </c>
      <c r="D98" s="13" t="s">
        <v>43</v>
      </c>
      <c r="E98" s="13" t="s">
        <v>2171</v>
      </c>
      <c r="F98" s="14">
        <v>46300.770671296297</v>
      </c>
      <c r="G98" s="13" t="s">
        <v>21</v>
      </c>
      <c r="H98" s="13" t="s">
        <v>2172</v>
      </c>
      <c r="I98" s="15">
        <v>320</v>
      </c>
      <c r="J98" s="13" t="s">
        <v>22</v>
      </c>
      <c r="K98" s="13" t="s">
        <v>23</v>
      </c>
      <c r="L98" s="15">
        <v>874</v>
      </c>
      <c r="M98" s="13" t="s">
        <v>1226</v>
      </c>
      <c r="N98" s="14">
        <v>46300.815370370372</v>
      </c>
      <c r="O98" s="15">
        <v>320</v>
      </c>
      <c r="P98" s="13" t="s">
        <v>25</v>
      </c>
      <c r="Q98" s="15">
        <v>190</v>
      </c>
      <c r="R98" s="3" t="str">
        <f>IF(OR(G98="12R",G98="12L"),_xlfn.XLOOKUP(C98,Tabla42[ADEP],Tabla42[SID 12R],""),IF(OR(G98="30L",G98="30R"),_xlfn.XLOOKUP(C98,Tabla42[ADEP],Tabla42[SID 30L],""),""))</f>
        <v>UDGUV</v>
      </c>
      <c r="S98" s="3">
        <f t="shared" si="1"/>
        <v>18</v>
      </c>
      <c r="T98" s="3" t="str">
        <f>_xlfn.XLOOKUP(C98,Tabla42[ADEP],Tabla42[Sector],"")</f>
        <v>Sector 2</v>
      </c>
    </row>
    <row r="99" spans="1:20" x14ac:dyDescent="0.2">
      <c r="A99" s="13" t="s">
        <v>228</v>
      </c>
      <c r="B99" s="13" t="s">
        <v>18</v>
      </c>
      <c r="C99" s="13" t="s">
        <v>27</v>
      </c>
      <c r="D99" s="13" t="s">
        <v>28</v>
      </c>
      <c r="E99" s="13" t="s">
        <v>29</v>
      </c>
      <c r="F99" s="14">
        <v>46300.772083333337</v>
      </c>
      <c r="G99" s="13" t="s">
        <v>21</v>
      </c>
      <c r="H99" s="13" t="s">
        <v>2173</v>
      </c>
      <c r="I99" s="15">
        <v>310</v>
      </c>
      <c r="J99" s="13" t="s">
        <v>22</v>
      </c>
      <c r="K99" s="13" t="s">
        <v>23</v>
      </c>
      <c r="L99" s="15">
        <v>360</v>
      </c>
      <c r="M99" s="13" t="s">
        <v>30</v>
      </c>
      <c r="N99" s="14">
        <v>46300.79347222222</v>
      </c>
      <c r="O99" s="15">
        <v>310</v>
      </c>
      <c r="P99" s="13" t="s">
        <v>25</v>
      </c>
      <c r="Q99" s="15">
        <v>40</v>
      </c>
      <c r="R99" s="3" t="str">
        <f>IF(OR(G99="12R",G99="12L"),_xlfn.XLOOKUP(C99,Tabla42[ADEP],Tabla42[SID 12R],""),IF(OR(G99="30L",G99="30R"),_xlfn.XLOOKUP(C99,Tabla42[ADEP],Tabla42[SID 30L],""),""))</f>
        <v>OMSUK</v>
      </c>
      <c r="S99" s="3">
        <f t="shared" si="1"/>
        <v>18</v>
      </c>
      <c r="T99" s="3" t="str">
        <f>_xlfn.XLOOKUP(C99,Tabla42[ADEP],Tabla42[Sector],"")</f>
        <v>Sector 3</v>
      </c>
    </row>
    <row r="100" spans="1:20" x14ac:dyDescent="0.2">
      <c r="A100" s="13" t="s">
        <v>229</v>
      </c>
      <c r="B100" s="13" t="s">
        <v>18</v>
      </c>
      <c r="C100" s="13" t="s">
        <v>230</v>
      </c>
      <c r="D100" s="13" t="s">
        <v>231</v>
      </c>
      <c r="E100" s="13" t="s">
        <v>591</v>
      </c>
      <c r="F100" s="14">
        <v>46300.779965277776</v>
      </c>
      <c r="G100" s="13" t="s">
        <v>21</v>
      </c>
      <c r="H100" s="13" t="s">
        <v>2174</v>
      </c>
      <c r="I100" s="15">
        <v>100</v>
      </c>
      <c r="J100" s="13" t="s">
        <v>22</v>
      </c>
      <c r="K100" s="13" t="s">
        <v>23</v>
      </c>
      <c r="L100" s="15">
        <v>352</v>
      </c>
      <c r="M100" s="13" t="s">
        <v>230</v>
      </c>
      <c r="N100" s="14">
        <v>46300.837592592594</v>
      </c>
      <c r="O100" s="15">
        <v>0</v>
      </c>
      <c r="P100" s="13" t="s">
        <v>129</v>
      </c>
      <c r="Q100" s="15">
        <v>40</v>
      </c>
      <c r="R100" s="3" t="str">
        <f>IF(OR(G100="12R",G100="12L"),_xlfn.XLOOKUP(C100,Tabla42[ADEP],Tabla42[SID 12R],""),IF(OR(G100="30L",G100="30R"),_xlfn.XLOOKUP(C100,Tabla42[ADEP],Tabla42[SID 30L],""),""))</f>
        <v>CZM</v>
      </c>
      <c r="S100" s="3">
        <f t="shared" si="1"/>
        <v>18</v>
      </c>
      <c r="T100" s="3" t="str">
        <f>_xlfn.XLOOKUP(C100,Tabla42[ADEP],Tabla42[Sector],"")</f>
        <v>Sector 7</v>
      </c>
    </row>
    <row r="101" spans="1:20" x14ac:dyDescent="0.2">
      <c r="A101" s="13" t="s">
        <v>227</v>
      </c>
      <c r="B101" s="13" t="s">
        <v>18</v>
      </c>
      <c r="C101" s="13" t="s">
        <v>133</v>
      </c>
      <c r="D101" s="13" t="s">
        <v>60</v>
      </c>
      <c r="E101" s="13" t="s">
        <v>810</v>
      </c>
      <c r="F101" s="14">
        <v>46300.781238425923</v>
      </c>
      <c r="G101" s="13" t="s">
        <v>21</v>
      </c>
      <c r="H101" s="13" t="s">
        <v>2175</v>
      </c>
      <c r="I101" s="15">
        <v>290</v>
      </c>
      <c r="J101" s="13" t="s">
        <v>22</v>
      </c>
      <c r="K101" s="13" t="s">
        <v>23</v>
      </c>
      <c r="L101" s="15">
        <v>224</v>
      </c>
      <c r="M101" s="13" t="s">
        <v>355</v>
      </c>
      <c r="N101" s="14">
        <v>46300.79519675926</v>
      </c>
      <c r="O101" s="15">
        <v>205</v>
      </c>
      <c r="P101" s="13" t="s">
        <v>25</v>
      </c>
      <c r="Q101" s="15">
        <v>40</v>
      </c>
      <c r="R101" s="3" t="str">
        <f>IF(OR(G101="12R",G101="12L"),_xlfn.XLOOKUP(C101,Tabla42[ADEP],Tabla42[SID 12R],""),IF(OR(G101="30L",G101="30R"),_xlfn.XLOOKUP(C101,Tabla42[ADEP],Tabla42[SID 30L],""),""))</f>
        <v>OMSUK</v>
      </c>
      <c r="S101" s="3">
        <f t="shared" si="1"/>
        <v>18</v>
      </c>
      <c r="T101" s="3" t="str">
        <f>_xlfn.XLOOKUP(C101,Tabla42[ADEP],Tabla42[Sector],"")</f>
        <v>Sector 3</v>
      </c>
    </row>
    <row r="102" spans="1:20" x14ac:dyDescent="0.2">
      <c r="A102" s="13" t="s">
        <v>2176</v>
      </c>
      <c r="B102" s="13" t="s">
        <v>18</v>
      </c>
      <c r="C102" s="13" t="s">
        <v>133</v>
      </c>
      <c r="D102" s="13" t="s">
        <v>28</v>
      </c>
      <c r="E102" s="13" t="s">
        <v>2177</v>
      </c>
      <c r="F102" s="14">
        <v>46300.784085648149</v>
      </c>
      <c r="G102" s="13" t="s">
        <v>21</v>
      </c>
      <c r="H102" s="13" t="s">
        <v>2178</v>
      </c>
      <c r="I102" s="15">
        <v>350</v>
      </c>
      <c r="J102" s="13" t="s">
        <v>22</v>
      </c>
      <c r="K102" s="13" t="s">
        <v>23</v>
      </c>
      <c r="L102" s="15">
        <v>360</v>
      </c>
      <c r="M102" s="13" t="s">
        <v>30</v>
      </c>
      <c r="N102" s="14">
        <v>46300.805601851855</v>
      </c>
      <c r="O102" s="15">
        <v>350</v>
      </c>
      <c r="P102" s="13" t="s">
        <v>25</v>
      </c>
      <c r="Q102" s="15">
        <v>40</v>
      </c>
      <c r="R102" s="3" t="str">
        <f>IF(OR(G102="12R",G102="12L"),_xlfn.XLOOKUP(C102,Tabla42[ADEP],Tabla42[SID 12R],""),IF(OR(G102="30L",G102="30R"),_xlfn.XLOOKUP(C102,Tabla42[ADEP],Tabla42[SID 30L],""),""))</f>
        <v>OMSUK</v>
      </c>
      <c r="S102" s="3">
        <f t="shared" si="1"/>
        <v>18</v>
      </c>
      <c r="T102" s="3" t="str">
        <f>_xlfn.XLOOKUP(C102,Tabla42[ADEP],Tabla42[Sector],"")</f>
        <v>Sector 3</v>
      </c>
    </row>
    <row r="103" spans="1:20" x14ac:dyDescent="0.2">
      <c r="A103" s="13" t="s">
        <v>235</v>
      </c>
      <c r="B103" s="13" t="s">
        <v>18</v>
      </c>
      <c r="C103" s="13" t="s">
        <v>62</v>
      </c>
      <c r="D103" s="13" t="s">
        <v>53</v>
      </c>
      <c r="E103" s="13" t="s">
        <v>207</v>
      </c>
      <c r="F103" s="14">
        <v>46300.787905092591</v>
      </c>
      <c r="G103" s="13" t="s">
        <v>21</v>
      </c>
      <c r="H103" s="13" t="s">
        <v>2179</v>
      </c>
      <c r="I103" s="15">
        <v>380</v>
      </c>
      <c r="J103" s="13" t="s">
        <v>22</v>
      </c>
      <c r="K103" s="13" t="s">
        <v>23</v>
      </c>
      <c r="L103" s="15">
        <v>870</v>
      </c>
      <c r="M103" s="13" t="s">
        <v>167</v>
      </c>
      <c r="N103" s="14">
        <v>46300.833101851851</v>
      </c>
      <c r="O103" s="15">
        <v>380</v>
      </c>
      <c r="P103" s="13" t="s">
        <v>25</v>
      </c>
      <c r="Q103" s="15">
        <v>190</v>
      </c>
      <c r="R103" s="3" t="str">
        <f>IF(OR(G103="12R",G103="12L"),_xlfn.XLOOKUP(C103,Tabla42[ADEP],Tabla42[SID 12R],""),IF(OR(G103="30L",G103="30R"),_xlfn.XLOOKUP(C103,Tabla42[ADEP],Tabla42[SID 30L],""),""))</f>
        <v>UDGUV</v>
      </c>
      <c r="S103" s="3">
        <f t="shared" si="1"/>
        <v>18</v>
      </c>
      <c r="T103" s="3" t="str">
        <f>_xlfn.XLOOKUP(C103,Tabla42[ADEP],Tabla42[Sector],"")</f>
        <v>Sector 2</v>
      </c>
    </row>
    <row r="104" spans="1:20" x14ac:dyDescent="0.2">
      <c r="A104" s="13" t="s">
        <v>384</v>
      </c>
      <c r="B104" s="13" t="s">
        <v>18</v>
      </c>
      <c r="C104" s="13" t="s">
        <v>96</v>
      </c>
      <c r="D104" s="13" t="s">
        <v>33</v>
      </c>
      <c r="E104" s="13" t="s">
        <v>368</v>
      </c>
      <c r="F104" s="14">
        <v>46300.789583333331</v>
      </c>
      <c r="G104" s="13" t="s">
        <v>21</v>
      </c>
      <c r="H104" s="13" t="s">
        <v>2180</v>
      </c>
      <c r="I104" s="15">
        <v>360</v>
      </c>
      <c r="J104" s="13" t="s">
        <v>22</v>
      </c>
      <c r="K104" s="13" t="s">
        <v>141</v>
      </c>
      <c r="L104" s="15">
        <v>878</v>
      </c>
      <c r="M104" s="13" t="s">
        <v>1532</v>
      </c>
      <c r="N104" s="14">
        <v>46300.834768518522</v>
      </c>
      <c r="O104" s="15">
        <v>360</v>
      </c>
      <c r="P104" s="13" t="s">
        <v>25</v>
      </c>
      <c r="Q104" s="15">
        <v>190</v>
      </c>
      <c r="R104" s="3" t="str">
        <f>IF(OR(G104="12R",G104="12L"),_xlfn.XLOOKUP(C104,Tabla42[ADEP],Tabla42[SID 12R],""),IF(OR(G104="30L",G104="30R"),_xlfn.XLOOKUP(C104,Tabla42[ADEP],Tabla42[SID 30L],""),""))</f>
        <v>UDGUV</v>
      </c>
      <c r="S104" s="3">
        <f t="shared" si="1"/>
        <v>18</v>
      </c>
      <c r="T104" s="3" t="str">
        <f>_xlfn.XLOOKUP(C104,Tabla42[ADEP],Tabla42[Sector],"")</f>
        <v>Sector 2</v>
      </c>
    </row>
    <row r="105" spans="1:20" x14ac:dyDescent="0.2">
      <c r="A105" s="13" t="s">
        <v>238</v>
      </c>
      <c r="B105" s="13" t="s">
        <v>18</v>
      </c>
      <c r="C105" s="13" t="s">
        <v>239</v>
      </c>
      <c r="D105" s="13" t="s">
        <v>20</v>
      </c>
      <c r="E105" s="13" t="s">
        <v>2024</v>
      </c>
      <c r="F105" s="14">
        <v>46300.791539351849</v>
      </c>
      <c r="G105" s="13" t="s">
        <v>21</v>
      </c>
      <c r="H105" s="13" t="s">
        <v>2181</v>
      </c>
      <c r="I105" s="15">
        <v>360</v>
      </c>
      <c r="J105" s="13" t="s">
        <v>22</v>
      </c>
      <c r="K105" s="13" t="s">
        <v>23</v>
      </c>
      <c r="L105" s="15">
        <v>894</v>
      </c>
      <c r="M105" s="13" t="s">
        <v>2182</v>
      </c>
      <c r="N105" s="14">
        <v>46300.838518518518</v>
      </c>
      <c r="O105" s="15">
        <v>360</v>
      </c>
      <c r="P105" s="13" t="s">
        <v>25</v>
      </c>
      <c r="Q105" s="15">
        <v>190</v>
      </c>
      <c r="R105" s="3" t="str">
        <f>IF(OR(G105="12R",G105="12L"),_xlfn.XLOOKUP(C105,Tabla42[ADEP],Tabla42[SID 12R],""),IF(OR(G105="30L",G105="30R"),_xlfn.XLOOKUP(C105,Tabla42[ADEP],Tabla42[SID 30L],""),""))</f>
        <v>UDGUV</v>
      </c>
      <c r="S105" s="3">
        <f t="shared" si="1"/>
        <v>18</v>
      </c>
      <c r="T105" s="3" t="str">
        <f>_xlfn.XLOOKUP(C105,Tabla42[ADEP],Tabla42[Sector],"")</f>
        <v>Sector 2</v>
      </c>
    </row>
    <row r="106" spans="1:20" x14ac:dyDescent="0.2">
      <c r="A106" s="13" t="s">
        <v>245</v>
      </c>
      <c r="B106" s="13" t="s">
        <v>18</v>
      </c>
      <c r="C106" s="13" t="s">
        <v>109</v>
      </c>
      <c r="D106" s="13" t="s">
        <v>122</v>
      </c>
      <c r="E106" s="13" t="s">
        <v>2183</v>
      </c>
      <c r="F106" s="14">
        <v>46300.792650462965</v>
      </c>
      <c r="G106" s="13" t="s">
        <v>21</v>
      </c>
      <c r="H106" s="13" t="s">
        <v>2184</v>
      </c>
      <c r="I106" s="15">
        <v>350</v>
      </c>
      <c r="J106" s="13" t="s">
        <v>22</v>
      </c>
      <c r="K106" s="13" t="s">
        <v>23</v>
      </c>
      <c r="L106" s="15">
        <v>149</v>
      </c>
      <c r="M106" s="13" t="s">
        <v>111</v>
      </c>
      <c r="N106" s="14">
        <v>46300.802673611113</v>
      </c>
      <c r="O106" s="15">
        <v>277</v>
      </c>
      <c r="P106" s="13" t="s">
        <v>25</v>
      </c>
      <c r="Q106" s="15">
        <v>190</v>
      </c>
      <c r="R106" s="3" t="str">
        <f>IF(OR(G106="12R",G106="12L"),_xlfn.XLOOKUP(C106,Tabla42[ADEP],Tabla42[SID 12R],""),IF(OR(G106="30L",G106="30R"),_xlfn.XLOOKUP(C106,Tabla42[ADEP],Tabla42[SID 30L],""),""))</f>
        <v>TAKUX</v>
      </c>
      <c r="S106" s="3">
        <f t="shared" si="1"/>
        <v>19</v>
      </c>
      <c r="T106" s="3" t="str">
        <f>_xlfn.XLOOKUP(C106,Tabla42[ADEP],Tabla42[Sector],"")</f>
        <v>Sector 7</v>
      </c>
    </row>
    <row r="107" spans="1:20" x14ac:dyDescent="0.2">
      <c r="A107" s="13" t="s">
        <v>284</v>
      </c>
      <c r="B107" s="13" t="s">
        <v>18</v>
      </c>
      <c r="C107" s="13" t="s">
        <v>137</v>
      </c>
      <c r="D107" s="13" t="s">
        <v>60</v>
      </c>
      <c r="E107" s="13" t="s">
        <v>2185</v>
      </c>
      <c r="F107" s="14">
        <v>46300.793877314813</v>
      </c>
      <c r="G107" s="13" t="s">
        <v>21</v>
      </c>
      <c r="H107" s="13" t="s">
        <v>386</v>
      </c>
      <c r="I107" s="15">
        <v>350</v>
      </c>
      <c r="J107" s="13" t="s">
        <v>22</v>
      </c>
      <c r="K107" s="13" t="s">
        <v>23</v>
      </c>
      <c r="L107" s="15">
        <v>136</v>
      </c>
      <c r="M107" s="13" t="s">
        <v>39</v>
      </c>
      <c r="N107" s="14">
        <v>46300.803368055553</v>
      </c>
      <c r="O107" s="15">
        <v>239</v>
      </c>
      <c r="P107" s="13" t="s">
        <v>25</v>
      </c>
      <c r="Q107" s="15">
        <v>190</v>
      </c>
      <c r="R107" s="3" t="str">
        <f>IF(OR(G107="12R",G107="12L"),_xlfn.XLOOKUP(C107,Tabla42[ADEP],Tabla42[SID 12R],""),IF(OR(G107="30L",G107="30R"),_xlfn.XLOOKUP(C107,Tabla42[ADEP],Tabla42[SID 30L],""),""))</f>
        <v>NUDAL</v>
      </c>
      <c r="S107" s="3">
        <f t="shared" si="1"/>
        <v>19</v>
      </c>
      <c r="T107" s="3" t="str">
        <f>_xlfn.XLOOKUP(C107,Tabla42[ADEP],Tabla42[Sector],"")</f>
        <v>Sector 3</v>
      </c>
    </row>
    <row r="108" spans="1:20" x14ac:dyDescent="0.2">
      <c r="A108" s="13" t="s">
        <v>240</v>
      </c>
      <c r="B108" s="13" t="s">
        <v>18</v>
      </c>
      <c r="C108" s="13" t="s">
        <v>116</v>
      </c>
      <c r="D108" s="13" t="s">
        <v>43</v>
      </c>
      <c r="E108" s="13" t="s">
        <v>2186</v>
      </c>
      <c r="F108" s="14">
        <v>46300.795011574075</v>
      </c>
      <c r="G108" s="13" t="s">
        <v>21</v>
      </c>
      <c r="H108" s="13" t="s">
        <v>2187</v>
      </c>
      <c r="I108" s="15">
        <v>340</v>
      </c>
      <c r="J108" s="13" t="s">
        <v>22</v>
      </c>
      <c r="K108" s="13" t="s">
        <v>23</v>
      </c>
      <c r="L108" s="15">
        <v>430</v>
      </c>
      <c r="M108" s="13" t="s">
        <v>189</v>
      </c>
      <c r="N108" s="14">
        <v>46300.818229166667</v>
      </c>
      <c r="O108" s="15">
        <v>340</v>
      </c>
      <c r="P108" s="13" t="s">
        <v>25</v>
      </c>
      <c r="Q108" s="15">
        <v>40</v>
      </c>
      <c r="R108" s="3" t="str">
        <f>IF(OR(G108="12R",G108="12L"),_xlfn.XLOOKUP(C108,Tabla42[ADEP],Tabla42[SID 12R],""),IF(OR(G108="30L",G108="30R"),_xlfn.XLOOKUP(C108,Tabla42[ADEP],Tabla42[SID 30L],""),""))</f>
        <v>ENEBA</v>
      </c>
      <c r="S108" s="3">
        <f t="shared" si="1"/>
        <v>19</v>
      </c>
      <c r="T108" s="3" t="str">
        <f>_xlfn.XLOOKUP(C108,Tabla42[ADEP],Tabla42[Sector],"")</f>
        <v>Sector 3</v>
      </c>
    </row>
    <row r="109" spans="1:20" x14ac:dyDescent="0.2">
      <c r="A109" s="13" t="s">
        <v>460</v>
      </c>
      <c r="B109" s="13" t="s">
        <v>18</v>
      </c>
      <c r="C109" s="13" t="s">
        <v>126</v>
      </c>
      <c r="D109" s="13" t="s">
        <v>20</v>
      </c>
      <c r="E109" s="13" t="s">
        <v>2188</v>
      </c>
      <c r="F109" s="14">
        <v>46300.796782407408</v>
      </c>
      <c r="G109" s="13" t="s">
        <v>21</v>
      </c>
      <c r="H109" s="13" t="s">
        <v>2189</v>
      </c>
      <c r="I109" s="15">
        <v>340</v>
      </c>
      <c r="J109" s="13" t="s">
        <v>22</v>
      </c>
      <c r="K109" s="13" t="s">
        <v>23</v>
      </c>
      <c r="L109" s="15">
        <v>433</v>
      </c>
      <c r="M109" s="13" t="s">
        <v>189</v>
      </c>
      <c r="N109" s="14">
        <v>46300.821851851855</v>
      </c>
      <c r="O109" s="15">
        <v>320</v>
      </c>
      <c r="P109" s="13" t="s">
        <v>25</v>
      </c>
      <c r="Q109" s="15">
        <v>40</v>
      </c>
      <c r="R109" s="3" t="str">
        <f>IF(OR(G109="12R",G109="12L"),_xlfn.XLOOKUP(C109,Tabla42[ADEP],Tabla42[SID 12R],""),IF(OR(G109="30L",G109="30R"),_xlfn.XLOOKUP(C109,Tabla42[ADEP],Tabla42[SID 30L],""),""))</f>
        <v>ENEBA</v>
      </c>
      <c r="S109" s="3">
        <f t="shared" si="1"/>
        <v>19</v>
      </c>
      <c r="T109" s="3" t="str">
        <f>_xlfn.XLOOKUP(C109,Tabla42[ADEP],Tabla42[Sector],"")</f>
        <v>Sector 3</v>
      </c>
    </row>
    <row r="110" spans="1:20" x14ac:dyDescent="0.2">
      <c r="A110" s="13" t="s">
        <v>270</v>
      </c>
      <c r="B110" s="13" t="s">
        <v>18</v>
      </c>
      <c r="C110" s="13" t="s">
        <v>93</v>
      </c>
      <c r="D110" s="13" t="s">
        <v>53</v>
      </c>
      <c r="E110" s="13" t="s">
        <v>106</v>
      </c>
      <c r="F110" s="14">
        <v>46300.798101851855</v>
      </c>
      <c r="G110" s="13" t="s">
        <v>21</v>
      </c>
      <c r="H110" s="13" t="s">
        <v>2190</v>
      </c>
      <c r="I110" s="15">
        <v>380</v>
      </c>
      <c r="J110" s="13" t="s">
        <v>22</v>
      </c>
      <c r="K110" s="13" t="s">
        <v>23</v>
      </c>
      <c r="L110" s="15">
        <v>876</v>
      </c>
      <c r="M110" s="13" t="s">
        <v>94</v>
      </c>
      <c r="N110" s="14">
        <v>46300.843576388892</v>
      </c>
      <c r="O110" s="15">
        <v>200</v>
      </c>
      <c r="P110" s="13" t="s">
        <v>25</v>
      </c>
      <c r="Q110" s="15">
        <v>190</v>
      </c>
      <c r="R110" s="3" t="str">
        <f>IF(OR(G110="12R",G110="12L"),_xlfn.XLOOKUP(C110,Tabla42[ADEP],Tabla42[SID 12R],""),IF(OR(G110="30L",G110="30R"),_xlfn.XLOOKUP(C110,Tabla42[ADEP],Tabla42[SID 30L],""),""))</f>
        <v>UDGUV</v>
      </c>
      <c r="S110" s="3">
        <f t="shared" si="1"/>
        <v>19</v>
      </c>
      <c r="T110" s="3" t="str">
        <f>_xlfn.XLOOKUP(C110,Tabla42[ADEP],Tabla42[Sector],"")</f>
        <v>Sector 2</v>
      </c>
    </row>
    <row r="111" spans="1:20" x14ac:dyDescent="0.2">
      <c r="A111" s="13" t="s">
        <v>454</v>
      </c>
      <c r="B111" s="13" t="s">
        <v>18</v>
      </c>
      <c r="C111" s="13" t="s">
        <v>242</v>
      </c>
      <c r="D111" s="13" t="s">
        <v>243</v>
      </c>
      <c r="E111" s="13" t="s">
        <v>2191</v>
      </c>
      <c r="F111" s="14">
        <v>46300.800104166665</v>
      </c>
      <c r="G111" s="13" t="s">
        <v>21</v>
      </c>
      <c r="H111" s="13" t="s">
        <v>2192</v>
      </c>
      <c r="I111" s="15">
        <v>350</v>
      </c>
      <c r="J111" s="13" t="s">
        <v>22</v>
      </c>
      <c r="K111" s="13" t="s">
        <v>23</v>
      </c>
      <c r="L111" s="15">
        <v>136</v>
      </c>
      <c r="M111" s="13" t="s">
        <v>39</v>
      </c>
      <c r="N111" s="14">
        <v>46300.809340277781</v>
      </c>
      <c r="O111" s="15">
        <v>221</v>
      </c>
      <c r="P111" s="13" t="s">
        <v>40</v>
      </c>
      <c r="Q111" s="15">
        <v>190</v>
      </c>
      <c r="R111" s="3" t="str">
        <f>IF(OR(G111="12R",G111="12L"),_xlfn.XLOOKUP(C111,Tabla42[ADEP],Tabla42[SID 12R],""),IF(OR(G111="30L",G111="30R"),_xlfn.XLOOKUP(C111,Tabla42[ADEP],Tabla42[SID 30L],""),""))</f>
        <v>NUDAL</v>
      </c>
      <c r="S111" s="3">
        <f t="shared" si="1"/>
        <v>19</v>
      </c>
      <c r="T111" s="3" t="str">
        <f>_xlfn.XLOOKUP(C111,Tabla42[ADEP],Tabla42[Sector],"")</f>
        <v>Sector 3</v>
      </c>
    </row>
    <row r="112" spans="1:20" x14ac:dyDescent="0.2">
      <c r="A112" s="13" t="s">
        <v>2076</v>
      </c>
      <c r="B112" s="13" t="s">
        <v>18</v>
      </c>
      <c r="C112" s="13" t="s">
        <v>18</v>
      </c>
      <c r="D112" s="13" t="s">
        <v>2077</v>
      </c>
      <c r="E112" s="13"/>
      <c r="F112" s="14">
        <v>46300.802175925928</v>
      </c>
      <c r="G112" s="13" t="s">
        <v>21</v>
      </c>
      <c r="H112" s="13" t="s">
        <v>2193</v>
      </c>
      <c r="I112" s="15">
        <v>15</v>
      </c>
      <c r="J112" s="13" t="s">
        <v>130</v>
      </c>
      <c r="K112" s="13" t="s">
        <v>50</v>
      </c>
      <c r="L112" s="15">
        <v>135</v>
      </c>
      <c r="M112" s="13" t="s">
        <v>18</v>
      </c>
      <c r="N112" s="14">
        <v>46300.846550925926</v>
      </c>
      <c r="O112" s="15">
        <v>0</v>
      </c>
      <c r="P112" s="13" t="s">
        <v>129</v>
      </c>
      <c r="Q112" s="15">
        <v>15</v>
      </c>
      <c r="R112" s="3" t="str">
        <f>IF(OR(G112="12R",G112="12L"),_xlfn.XLOOKUP(C112,Tabla42[ADEP],Tabla42[SID 12R],""),IF(OR(G112="30L",G112="30R"),_xlfn.XLOOKUP(C112,Tabla42[ADEP],Tabla42[SID 30L],""),""))</f>
        <v/>
      </c>
      <c r="S112" s="3">
        <f t="shared" si="1"/>
        <v>19</v>
      </c>
      <c r="T112" s="3" t="str">
        <f>_xlfn.XLOOKUP(C112,Tabla42[ADEP],Tabla42[Sector],"")</f>
        <v/>
      </c>
    </row>
    <row r="113" spans="1:20" x14ac:dyDescent="0.2">
      <c r="A113" s="13" t="s">
        <v>2194</v>
      </c>
      <c r="B113" s="13" t="s">
        <v>18</v>
      </c>
      <c r="C113" s="13" t="s">
        <v>254</v>
      </c>
      <c r="D113" s="13" t="s">
        <v>427</v>
      </c>
      <c r="E113" s="13"/>
      <c r="F113" s="14">
        <v>46300.80400462963</v>
      </c>
      <c r="G113" s="13" t="s">
        <v>21</v>
      </c>
      <c r="H113" s="13" t="s">
        <v>2195</v>
      </c>
      <c r="I113" s="15">
        <v>300</v>
      </c>
      <c r="J113" s="13" t="s">
        <v>22</v>
      </c>
      <c r="K113" s="13" t="s">
        <v>50</v>
      </c>
      <c r="L113" s="15">
        <v>867</v>
      </c>
      <c r="M113" s="13" t="s">
        <v>2196</v>
      </c>
      <c r="N113" s="14">
        <v>46300.851076388892</v>
      </c>
      <c r="O113" s="15">
        <v>360</v>
      </c>
      <c r="P113" s="13" t="s">
        <v>25</v>
      </c>
      <c r="Q113" s="15">
        <v>30</v>
      </c>
      <c r="R113" s="3" t="str">
        <f>IF(OR(G113="12R",G113="12L"),_xlfn.XLOOKUP(C113,Tabla42[ADEP],Tabla42[SID 12R],""),IF(OR(G113="30L",G113="30R"),_xlfn.XLOOKUP(C113,Tabla42[ADEP],Tabla42[SID 30L],""),""))</f>
        <v>UDGUV</v>
      </c>
      <c r="S113" s="3">
        <f t="shared" si="1"/>
        <v>19</v>
      </c>
      <c r="T113" s="3" t="str">
        <f>_xlfn.XLOOKUP(C113,Tabla42[ADEP],Tabla42[Sector],"")</f>
        <v>Sector 2</v>
      </c>
    </row>
    <row r="114" spans="1:20" x14ac:dyDescent="0.2">
      <c r="A114" s="13" t="s">
        <v>285</v>
      </c>
      <c r="B114" s="13" t="s">
        <v>18</v>
      </c>
      <c r="C114" s="13" t="s">
        <v>160</v>
      </c>
      <c r="D114" s="13" t="s">
        <v>53</v>
      </c>
      <c r="E114" s="13" t="s">
        <v>2197</v>
      </c>
      <c r="F114" s="14">
        <v>46300.804849537039</v>
      </c>
      <c r="G114" s="13" t="s">
        <v>21</v>
      </c>
      <c r="H114" s="13" t="s">
        <v>2198</v>
      </c>
      <c r="I114" s="15">
        <v>320</v>
      </c>
      <c r="J114" s="13" t="s">
        <v>22</v>
      </c>
      <c r="K114" s="13" t="s">
        <v>23</v>
      </c>
      <c r="L114" s="15">
        <v>326</v>
      </c>
      <c r="M114" s="13" t="s">
        <v>2199</v>
      </c>
      <c r="N114" s="14">
        <v>46300.823576388888</v>
      </c>
      <c r="O114" s="15">
        <v>380</v>
      </c>
      <c r="P114" s="13" t="s">
        <v>25</v>
      </c>
      <c r="Q114" s="15">
        <v>190</v>
      </c>
      <c r="R114" s="3" t="str">
        <f>IF(OR(G114="12R",G114="12L"),_xlfn.XLOOKUP(C114,Tabla42[ADEP],Tabla42[SID 12R],""),IF(OR(G114="30L",G114="30R"),_xlfn.XLOOKUP(C114,Tabla42[ADEP],Tabla42[SID 30L],""),""))</f>
        <v>CZM</v>
      </c>
      <c r="S114" s="3">
        <f t="shared" si="1"/>
        <v>19</v>
      </c>
      <c r="T114" s="3" t="str">
        <f>_xlfn.XLOOKUP(C114,Tabla42[ADEP],Tabla42[Sector],"")</f>
        <v>Sector 7</v>
      </c>
    </row>
    <row r="115" spans="1:20" x14ac:dyDescent="0.2">
      <c r="A115" s="13" t="s">
        <v>247</v>
      </c>
      <c r="B115" s="13" t="s">
        <v>18</v>
      </c>
      <c r="C115" s="13" t="s">
        <v>137</v>
      </c>
      <c r="D115" s="13" t="s">
        <v>28</v>
      </c>
      <c r="E115" s="13" t="s">
        <v>2200</v>
      </c>
      <c r="F115" s="14">
        <v>46300.806527777779</v>
      </c>
      <c r="G115" s="13" t="s">
        <v>21</v>
      </c>
      <c r="H115" s="13" t="s">
        <v>1032</v>
      </c>
      <c r="I115" s="15">
        <v>330</v>
      </c>
      <c r="J115" s="13" t="s">
        <v>22</v>
      </c>
      <c r="K115" s="13" t="s">
        <v>23</v>
      </c>
      <c r="L115" s="15">
        <v>135</v>
      </c>
      <c r="M115" s="13" t="s">
        <v>39</v>
      </c>
      <c r="N115" s="14">
        <v>46300.815474537034</v>
      </c>
      <c r="O115" s="15">
        <v>236</v>
      </c>
      <c r="P115" s="13" t="s">
        <v>25</v>
      </c>
      <c r="Q115" s="15">
        <v>190</v>
      </c>
      <c r="R115" s="3" t="str">
        <f>IF(OR(G115="12R",G115="12L"),_xlfn.XLOOKUP(C115,Tabla42[ADEP],Tabla42[SID 12R],""),IF(OR(G115="30L",G115="30R"),_xlfn.XLOOKUP(C115,Tabla42[ADEP],Tabla42[SID 30L],""),""))</f>
        <v>NUDAL</v>
      </c>
      <c r="S115" s="3">
        <f t="shared" si="1"/>
        <v>19</v>
      </c>
      <c r="T115" s="3" t="str">
        <f>_xlfn.XLOOKUP(C115,Tabla42[ADEP],Tabla42[Sector],"")</f>
        <v>Sector 3</v>
      </c>
    </row>
    <row r="116" spans="1:20" x14ac:dyDescent="0.2">
      <c r="A116" s="13" t="s">
        <v>445</v>
      </c>
      <c r="B116" s="13" t="s">
        <v>18</v>
      </c>
      <c r="C116" s="13" t="s">
        <v>263</v>
      </c>
      <c r="D116" s="13" t="s">
        <v>28</v>
      </c>
      <c r="E116" s="13" t="s">
        <v>2201</v>
      </c>
      <c r="F116" s="14">
        <v>46300.807870370372</v>
      </c>
      <c r="G116" s="13" t="s">
        <v>21</v>
      </c>
      <c r="H116" s="13" t="s">
        <v>446</v>
      </c>
      <c r="I116" s="15">
        <v>330</v>
      </c>
      <c r="J116" s="13" t="s">
        <v>22</v>
      </c>
      <c r="K116" s="13" t="s">
        <v>23</v>
      </c>
      <c r="L116" s="15">
        <v>136</v>
      </c>
      <c r="M116" s="13" t="s">
        <v>39</v>
      </c>
      <c r="N116" s="14">
        <v>46300.817361111112</v>
      </c>
      <c r="O116" s="15">
        <v>226</v>
      </c>
      <c r="P116" s="13" t="s">
        <v>25</v>
      </c>
      <c r="Q116" s="15">
        <v>40</v>
      </c>
      <c r="R116" s="3" t="str">
        <f>IF(OR(G116="12R",G116="12L"),_xlfn.XLOOKUP(C116,Tabla42[ADEP],Tabla42[SID 12R],""),IF(OR(G116="30L",G116="30R"),_xlfn.XLOOKUP(C116,Tabla42[ADEP],Tabla42[SID 30L],""),""))</f>
        <v>OMSUK</v>
      </c>
      <c r="S116" s="3">
        <f t="shared" si="1"/>
        <v>19</v>
      </c>
      <c r="T116" s="3" t="str">
        <f>_xlfn.XLOOKUP(C116,Tabla42[ADEP],Tabla42[Sector],"")</f>
        <v>Sector 3</v>
      </c>
    </row>
    <row r="117" spans="1:20" x14ac:dyDescent="0.2">
      <c r="A117" s="13" t="s">
        <v>251</v>
      </c>
      <c r="B117" s="13" t="s">
        <v>18</v>
      </c>
      <c r="C117" s="13" t="s">
        <v>126</v>
      </c>
      <c r="D117" s="13" t="s">
        <v>60</v>
      </c>
      <c r="E117" s="13" t="s">
        <v>2202</v>
      </c>
      <c r="F117" s="14">
        <v>46300.80908564815</v>
      </c>
      <c r="G117" s="13" t="s">
        <v>21</v>
      </c>
      <c r="H117" s="13" t="s">
        <v>2203</v>
      </c>
      <c r="I117" s="15">
        <v>350</v>
      </c>
      <c r="J117" s="13" t="s">
        <v>22</v>
      </c>
      <c r="K117" s="13" t="s">
        <v>23</v>
      </c>
      <c r="L117" s="15">
        <v>359</v>
      </c>
      <c r="M117" s="13" t="s">
        <v>30</v>
      </c>
      <c r="N117" s="14">
        <v>46300.829814814817</v>
      </c>
      <c r="O117" s="15">
        <v>350</v>
      </c>
      <c r="P117" s="13" t="s">
        <v>25</v>
      </c>
      <c r="Q117" s="15">
        <v>40</v>
      </c>
      <c r="R117" s="3" t="str">
        <f>IF(OR(G117="12R",G117="12L"),_xlfn.XLOOKUP(C117,Tabla42[ADEP],Tabla42[SID 12R],""),IF(OR(G117="30L",G117="30R"),_xlfn.XLOOKUP(C117,Tabla42[ADEP],Tabla42[SID 30L],""),""))</f>
        <v>ENEBA</v>
      </c>
      <c r="S117" s="3">
        <f t="shared" si="1"/>
        <v>19</v>
      </c>
      <c r="T117" s="3" t="str">
        <f>_xlfn.XLOOKUP(C117,Tabla42[ADEP],Tabla42[Sector],"")</f>
        <v>Sector 3</v>
      </c>
    </row>
    <row r="118" spans="1:20" x14ac:dyDescent="0.2">
      <c r="A118" s="13" t="s">
        <v>387</v>
      </c>
      <c r="B118" s="13" t="s">
        <v>18</v>
      </c>
      <c r="C118" s="13" t="s">
        <v>388</v>
      </c>
      <c r="D118" s="13" t="s">
        <v>60</v>
      </c>
      <c r="E118" s="13" t="s">
        <v>2204</v>
      </c>
      <c r="F118" s="14">
        <v>46300.810439814813</v>
      </c>
      <c r="G118" s="13" t="s">
        <v>21</v>
      </c>
      <c r="H118" s="13" t="s">
        <v>2205</v>
      </c>
      <c r="I118" s="15">
        <v>340</v>
      </c>
      <c r="J118" s="13" t="s">
        <v>22</v>
      </c>
      <c r="K118" s="13" t="s">
        <v>23</v>
      </c>
      <c r="L118" s="15">
        <v>535</v>
      </c>
      <c r="M118" s="13" t="s">
        <v>123</v>
      </c>
      <c r="N118" s="14">
        <v>46300.839606481481</v>
      </c>
      <c r="O118" s="15">
        <v>340</v>
      </c>
      <c r="P118" s="13" t="s">
        <v>25</v>
      </c>
      <c r="Q118" s="15">
        <v>40</v>
      </c>
      <c r="R118" s="3" t="str">
        <f>IF(OR(G118="12R",G118="12L"),_xlfn.XLOOKUP(C118,Tabla42[ADEP],Tabla42[SID 12R],""),IF(OR(G118="30L",G118="30R"),_xlfn.XLOOKUP(C118,Tabla42[ADEP],Tabla42[SID 30L],""),""))</f>
        <v>ENEBA</v>
      </c>
      <c r="S118" s="3">
        <f t="shared" si="1"/>
        <v>19</v>
      </c>
      <c r="T118" s="3" t="str">
        <f>_xlfn.XLOOKUP(C118,Tabla42[ADEP],Tabla42[Sector],"")</f>
        <v>Sector 3</v>
      </c>
    </row>
    <row r="119" spans="1:20" x14ac:dyDescent="0.2">
      <c r="A119" s="13" t="s">
        <v>246</v>
      </c>
      <c r="B119" s="13" t="s">
        <v>18</v>
      </c>
      <c r="C119" s="13" t="s">
        <v>209</v>
      </c>
      <c r="D119" s="13" t="s">
        <v>28</v>
      </c>
      <c r="E119" s="13" t="s">
        <v>1120</v>
      </c>
      <c r="F119" s="14">
        <v>46300.81181712963</v>
      </c>
      <c r="G119" s="13" t="s">
        <v>21</v>
      </c>
      <c r="H119" s="13" t="s">
        <v>2206</v>
      </c>
      <c r="I119" s="15">
        <v>360</v>
      </c>
      <c r="J119" s="13" t="s">
        <v>22</v>
      </c>
      <c r="K119" s="13" t="s">
        <v>23</v>
      </c>
      <c r="L119" s="15">
        <v>541</v>
      </c>
      <c r="M119" s="13" t="s">
        <v>123</v>
      </c>
      <c r="N119" s="14">
        <v>46300.841226851851</v>
      </c>
      <c r="O119" s="15">
        <v>380</v>
      </c>
      <c r="P119" s="13" t="s">
        <v>25</v>
      </c>
      <c r="Q119" s="15">
        <v>190</v>
      </c>
      <c r="R119" s="3" t="str">
        <f>IF(OR(G119="12R",G119="12L"),_xlfn.XLOOKUP(C119,Tabla42[ADEP],Tabla42[SID 12R],""),IF(OR(G119="30L",G119="30R"),_xlfn.XLOOKUP(C119,Tabla42[ADEP],Tabla42[SID 30L],""),""))</f>
        <v>ENEBA</v>
      </c>
      <c r="S119" s="3">
        <f t="shared" si="1"/>
        <v>19</v>
      </c>
      <c r="T119" s="3" t="str">
        <f>_xlfn.XLOOKUP(C119,Tabla42[ADEP],Tabla42[Sector],"")</f>
        <v>Sector 3</v>
      </c>
    </row>
    <row r="120" spans="1:20" x14ac:dyDescent="0.2">
      <c r="A120" s="13" t="s">
        <v>259</v>
      </c>
      <c r="B120" s="13" t="s">
        <v>18</v>
      </c>
      <c r="C120" s="13" t="s">
        <v>32</v>
      </c>
      <c r="D120" s="13" t="s">
        <v>53</v>
      </c>
      <c r="E120" s="13" t="s">
        <v>2036</v>
      </c>
      <c r="F120" s="14">
        <v>46300.812893518516</v>
      </c>
      <c r="G120" s="13" t="s">
        <v>21</v>
      </c>
      <c r="H120" s="13" t="s">
        <v>2207</v>
      </c>
      <c r="I120" s="15">
        <v>380</v>
      </c>
      <c r="J120" s="13" t="s">
        <v>22</v>
      </c>
      <c r="K120" s="13" t="s">
        <v>23</v>
      </c>
      <c r="L120" s="15">
        <v>885</v>
      </c>
      <c r="M120" s="13" t="s">
        <v>2208</v>
      </c>
      <c r="N120" s="14">
        <v>46300.860081018516</v>
      </c>
      <c r="O120" s="15">
        <v>380</v>
      </c>
      <c r="P120" s="13" t="s">
        <v>25</v>
      </c>
      <c r="Q120" s="15">
        <v>190</v>
      </c>
      <c r="R120" s="3" t="str">
        <f>IF(OR(G120="12R",G120="12L"),_xlfn.XLOOKUP(C120,Tabla42[ADEP],Tabla42[SID 12R],""),IF(OR(G120="30L",G120="30R"),_xlfn.XLOOKUP(C120,Tabla42[ADEP],Tabla42[SID 30L],""),""))</f>
        <v>UDGUV</v>
      </c>
      <c r="S120" s="3">
        <f t="shared" si="1"/>
        <v>19</v>
      </c>
      <c r="T120" s="3" t="str">
        <f>_xlfn.XLOOKUP(C120,Tabla42[ADEP],Tabla42[Sector],"")</f>
        <v>Sector 2</v>
      </c>
    </row>
    <row r="121" spans="1:20" x14ac:dyDescent="0.2">
      <c r="A121" s="13" t="s">
        <v>253</v>
      </c>
      <c r="B121" s="13" t="s">
        <v>18</v>
      </c>
      <c r="C121" s="13" t="s">
        <v>254</v>
      </c>
      <c r="D121" s="13" t="s">
        <v>20</v>
      </c>
      <c r="E121" s="13" t="s">
        <v>2209</v>
      </c>
      <c r="F121" s="14">
        <v>46300.814108796294</v>
      </c>
      <c r="G121" s="13" t="s">
        <v>21</v>
      </c>
      <c r="H121" s="13" t="s">
        <v>2210</v>
      </c>
      <c r="I121" s="15">
        <v>360</v>
      </c>
      <c r="J121" s="13" t="s">
        <v>22</v>
      </c>
      <c r="K121" s="13" t="s">
        <v>23</v>
      </c>
      <c r="L121" s="15">
        <v>888</v>
      </c>
      <c r="M121" s="13" t="s">
        <v>35</v>
      </c>
      <c r="N121" s="14">
        <v>46300.860034722224</v>
      </c>
      <c r="O121" s="15">
        <v>360</v>
      </c>
      <c r="P121" s="13" t="s">
        <v>25</v>
      </c>
      <c r="Q121" s="15">
        <v>190</v>
      </c>
      <c r="R121" s="3" t="str">
        <f>IF(OR(G121="12R",G121="12L"),_xlfn.XLOOKUP(C121,Tabla42[ADEP],Tabla42[SID 12R],""),IF(OR(G121="30L",G121="30R"),_xlfn.XLOOKUP(C121,Tabla42[ADEP],Tabla42[SID 30L],""),""))</f>
        <v>UDGUV</v>
      </c>
      <c r="S121" s="3">
        <f t="shared" si="1"/>
        <v>19</v>
      </c>
      <c r="T121" s="3" t="str">
        <f>_xlfn.XLOOKUP(C121,Tabla42[ADEP],Tabla42[Sector],"")</f>
        <v>Sector 2</v>
      </c>
    </row>
    <row r="122" spans="1:20" x14ac:dyDescent="0.2">
      <c r="A122" s="13" t="s">
        <v>261</v>
      </c>
      <c r="B122" s="13" t="s">
        <v>18</v>
      </c>
      <c r="C122" s="13" t="s">
        <v>158</v>
      </c>
      <c r="D122" s="13" t="s">
        <v>33</v>
      </c>
      <c r="E122" s="13" t="s">
        <v>2211</v>
      </c>
      <c r="F122" s="14">
        <v>46300.815289351849</v>
      </c>
      <c r="G122" s="13" t="s">
        <v>21</v>
      </c>
      <c r="H122" s="13" t="s">
        <v>2212</v>
      </c>
      <c r="I122" s="15">
        <v>330</v>
      </c>
      <c r="J122" s="13" t="s">
        <v>22</v>
      </c>
      <c r="K122" s="13" t="s">
        <v>23</v>
      </c>
      <c r="L122" s="15">
        <v>136</v>
      </c>
      <c r="M122" s="13" t="s">
        <v>39</v>
      </c>
      <c r="N122" s="14">
        <v>46300.824861111112</v>
      </c>
      <c r="O122" s="15">
        <v>228</v>
      </c>
      <c r="P122" s="13" t="s">
        <v>25</v>
      </c>
      <c r="Q122" s="15">
        <v>190</v>
      </c>
      <c r="R122" s="3" t="str">
        <f>IF(OR(G122="12R",G122="12L"),_xlfn.XLOOKUP(C122,Tabla42[ADEP],Tabla42[SID 12R],""),IF(OR(G122="30L",G122="30R"),_xlfn.XLOOKUP(C122,Tabla42[ADEP],Tabla42[SID 30L],""),""))</f>
        <v>OMSUK</v>
      </c>
      <c r="S122" s="3">
        <f t="shared" si="1"/>
        <v>19</v>
      </c>
      <c r="T122" s="3" t="str">
        <f>_xlfn.XLOOKUP(C122,Tabla42[ADEP],Tabla42[Sector],"")</f>
        <v>Sector 3</v>
      </c>
    </row>
    <row r="123" spans="1:20" x14ac:dyDescent="0.2">
      <c r="A123" s="13" t="s">
        <v>256</v>
      </c>
      <c r="B123" s="13" t="s">
        <v>18</v>
      </c>
      <c r="C123" s="13" t="s">
        <v>257</v>
      </c>
      <c r="D123" s="13" t="s">
        <v>117</v>
      </c>
      <c r="E123" s="13" t="s">
        <v>258</v>
      </c>
      <c r="F123" s="14">
        <v>46300.816724537035</v>
      </c>
      <c r="G123" s="13" t="s">
        <v>21</v>
      </c>
      <c r="H123" s="13" t="s">
        <v>2213</v>
      </c>
      <c r="I123" s="15">
        <v>300</v>
      </c>
      <c r="J123" s="13" t="s">
        <v>22</v>
      </c>
      <c r="K123" s="13" t="s">
        <v>23</v>
      </c>
      <c r="L123" s="15">
        <v>544</v>
      </c>
      <c r="M123" s="13" t="s">
        <v>123</v>
      </c>
      <c r="N123" s="14">
        <v>46300.845775462964</v>
      </c>
      <c r="O123" s="15">
        <v>300</v>
      </c>
      <c r="P123" s="13" t="s">
        <v>25</v>
      </c>
      <c r="Q123" s="15">
        <v>40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13" t="s">
        <v>1201</v>
      </c>
      <c r="B124" s="13" t="s">
        <v>18</v>
      </c>
      <c r="C124" s="13" t="s">
        <v>592</v>
      </c>
      <c r="D124" s="13" t="s">
        <v>28</v>
      </c>
      <c r="E124" s="13" t="s">
        <v>2214</v>
      </c>
      <c r="F124" s="14">
        <v>46300.81790509259</v>
      </c>
      <c r="G124" s="13" t="s">
        <v>21</v>
      </c>
      <c r="H124" s="13" t="s">
        <v>2215</v>
      </c>
      <c r="I124" s="15">
        <v>340</v>
      </c>
      <c r="J124" s="13" t="s">
        <v>22</v>
      </c>
      <c r="K124" s="13" t="s">
        <v>23</v>
      </c>
      <c r="L124" s="15">
        <v>446</v>
      </c>
      <c r="M124" s="13" t="s">
        <v>189</v>
      </c>
      <c r="N124" s="14">
        <v>46300.842893518522</v>
      </c>
      <c r="O124" s="15">
        <v>340</v>
      </c>
      <c r="P124" s="13" t="s">
        <v>25</v>
      </c>
      <c r="Q124" s="15">
        <v>40</v>
      </c>
      <c r="R124" s="3" t="str">
        <f>IF(OR(G124="12R",G124="12L"),_xlfn.XLOOKUP(C124,Tabla42[ADEP],Tabla42[SID 12R],""),IF(OR(G124="30L",G124="30R"),_xlfn.XLOOKUP(C124,Tabla42[ADEP],Tabla42[SID 30L],""),""))</f>
        <v>ENEBA</v>
      </c>
      <c r="S124" s="3">
        <f t="shared" si="1"/>
        <v>19</v>
      </c>
      <c r="T124" s="3" t="str">
        <f>_xlfn.XLOOKUP(C124,Tabla42[ADEP],Tabla42[Sector],"")</f>
        <v>Sector 3</v>
      </c>
    </row>
    <row r="125" spans="1:20" x14ac:dyDescent="0.2">
      <c r="A125" s="13" t="s">
        <v>2216</v>
      </c>
      <c r="B125" s="13" t="s">
        <v>18</v>
      </c>
      <c r="C125" s="13" t="s">
        <v>353</v>
      </c>
      <c r="D125" s="13" t="s">
        <v>124</v>
      </c>
      <c r="E125" s="13"/>
      <c r="F125" s="14">
        <v>46300.819293981483</v>
      </c>
      <c r="G125" s="13" t="s">
        <v>21</v>
      </c>
      <c r="H125" s="13" t="s">
        <v>2217</v>
      </c>
      <c r="I125" s="15">
        <v>270</v>
      </c>
      <c r="J125" s="13" t="s">
        <v>22</v>
      </c>
      <c r="K125" s="13" t="s">
        <v>50</v>
      </c>
      <c r="L125" s="15">
        <v>234</v>
      </c>
      <c r="M125" s="13" t="s">
        <v>355</v>
      </c>
      <c r="N125" s="14">
        <v>46300.835879629631</v>
      </c>
      <c r="O125" s="15">
        <v>270</v>
      </c>
      <c r="P125" s="13" t="s">
        <v>25</v>
      </c>
      <c r="Q125" s="15">
        <v>40</v>
      </c>
      <c r="R125" s="3" t="str">
        <f>IF(OR(G125="12R",G125="12L"),_xlfn.XLOOKUP(C125,Tabla42[ADEP],Tabla42[SID 12R],""),IF(OR(G125="30L",G125="30R"),_xlfn.XLOOKUP(C125,Tabla42[ADEP],Tabla42[SID 30L],""),""))</f>
        <v>OMSUK</v>
      </c>
      <c r="S125" s="3">
        <f t="shared" si="1"/>
        <v>19</v>
      </c>
      <c r="T125" s="3" t="str">
        <f>_xlfn.XLOOKUP(C125,Tabla42[ADEP],Tabla42[Sector],"")</f>
        <v>Sector 3</v>
      </c>
    </row>
    <row r="126" spans="1:20" x14ac:dyDescent="0.2">
      <c r="A126" s="13" t="s">
        <v>264</v>
      </c>
      <c r="B126" s="13" t="s">
        <v>18</v>
      </c>
      <c r="C126" s="13" t="s">
        <v>265</v>
      </c>
      <c r="D126" s="13" t="s">
        <v>33</v>
      </c>
      <c r="E126" s="13" t="s">
        <v>574</v>
      </c>
      <c r="F126" s="14">
        <v>46300.820636574077</v>
      </c>
      <c r="G126" s="13" t="s">
        <v>21</v>
      </c>
      <c r="H126" s="13" t="s">
        <v>2218</v>
      </c>
      <c r="I126" s="15">
        <v>380</v>
      </c>
      <c r="J126" s="13" t="s">
        <v>22</v>
      </c>
      <c r="K126" s="13" t="s">
        <v>23</v>
      </c>
      <c r="L126" s="15">
        <v>870</v>
      </c>
      <c r="M126" s="13" t="s">
        <v>2219</v>
      </c>
      <c r="N126" s="14">
        <v>46300.8671412037</v>
      </c>
      <c r="O126" s="15">
        <v>380</v>
      </c>
      <c r="P126" s="13" t="s">
        <v>25</v>
      </c>
      <c r="Q126" s="15">
        <v>190</v>
      </c>
      <c r="R126" s="3" t="str">
        <f>IF(OR(G126="12R",G126="12L"),_xlfn.XLOOKUP(C126,Tabla42[ADEP],Tabla42[SID 12R],""),IF(OR(G126="30L",G126="30R"),_xlfn.XLOOKUP(C126,Tabla42[ADEP],Tabla42[SID 30L],""),""))</f>
        <v>UDGUV</v>
      </c>
      <c r="S126" s="3">
        <f t="shared" si="1"/>
        <v>19</v>
      </c>
      <c r="T126" s="3" t="str">
        <f>_xlfn.XLOOKUP(C126,Tabla42[ADEP],Tabla42[Sector],"")</f>
        <v>Sector 2</v>
      </c>
    </row>
    <row r="127" spans="1:20" x14ac:dyDescent="0.2">
      <c r="A127" s="13" t="s">
        <v>268</v>
      </c>
      <c r="B127" s="13" t="s">
        <v>18</v>
      </c>
      <c r="C127" s="13" t="s">
        <v>42</v>
      </c>
      <c r="D127" s="13" t="s">
        <v>43</v>
      </c>
      <c r="E127" s="13" t="s">
        <v>2220</v>
      </c>
      <c r="F127" s="14">
        <v>46300.825254629628</v>
      </c>
      <c r="G127" s="13" t="s">
        <v>21</v>
      </c>
      <c r="H127" s="13" t="s">
        <v>2221</v>
      </c>
      <c r="I127" s="15">
        <v>360</v>
      </c>
      <c r="J127" s="13" t="s">
        <v>22</v>
      </c>
      <c r="K127" s="13" t="s">
        <v>23</v>
      </c>
      <c r="L127" s="15">
        <v>914</v>
      </c>
      <c r="M127" s="13" t="s">
        <v>2222</v>
      </c>
      <c r="N127" s="14">
        <v>46300.872106481482</v>
      </c>
      <c r="O127" s="15">
        <v>360</v>
      </c>
      <c r="P127" s="13" t="s">
        <v>25</v>
      </c>
      <c r="Q127" s="15">
        <v>190</v>
      </c>
      <c r="R127" s="3" t="str">
        <f>IF(OR(G127="12R",G127="12L"),_xlfn.XLOOKUP(C127,Tabla42[ADEP],Tabla42[SID 12R],""),IF(OR(G127="30L",G127="30R"),_xlfn.XLOOKUP(C127,Tabla42[ADEP],Tabla42[SID 30L],""),""))</f>
        <v>UDGUV</v>
      </c>
      <c r="S127" s="3">
        <f t="shared" si="1"/>
        <v>19</v>
      </c>
      <c r="T127" s="3" t="str">
        <f>_xlfn.XLOOKUP(C127,Tabla42[ADEP],Tabla42[Sector],"")</f>
        <v>Sector 2</v>
      </c>
    </row>
    <row r="128" spans="1:20" x14ac:dyDescent="0.2">
      <c r="A128" s="13" t="s">
        <v>241</v>
      </c>
      <c r="B128" s="13" t="s">
        <v>18</v>
      </c>
      <c r="C128" s="13" t="s">
        <v>121</v>
      </c>
      <c r="D128" s="13" t="s">
        <v>60</v>
      </c>
      <c r="E128" s="13" t="s">
        <v>2223</v>
      </c>
      <c r="F128" s="14">
        <v>46300.826307870368</v>
      </c>
      <c r="G128" s="13" t="s">
        <v>21</v>
      </c>
      <c r="H128" s="13" t="s">
        <v>2224</v>
      </c>
      <c r="I128" s="15">
        <v>360</v>
      </c>
      <c r="J128" s="13" t="s">
        <v>22</v>
      </c>
      <c r="K128" s="13" t="s">
        <v>23</v>
      </c>
      <c r="L128" s="15">
        <v>538</v>
      </c>
      <c r="M128" s="13" t="s">
        <v>123</v>
      </c>
      <c r="N128" s="14">
        <v>46300.854305555556</v>
      </c>
      <c r="O128" s="15">
        <v>340</v>
      </c>
      <c r="P128" s="13" t="s">
        <v>25</v>
      </c>
      <c r="Q128" s="15">
        <v>40</v>
      </c>
      <c r="R128" s="3" t="str">
        <f>IF(OR(G128="12R",G128="12L"),_xlfn.XLOOKUP(C128,Tabla42[ADEP],Tabla42[SID 12R],""),IF(OR(G128="30L",G128="30R"),_xlfn.XLOOKUP(C128,Tabla42[ADEP],Tabla42[SID 30L],""),""))</f>
        <v>ENEBA</v>
      </c>
      <c r="S128" s="3">
        <f t="shared" si="1"/>
        <v>19</v>
      </c>
      <c r="T128" s="3" t="str">
        <f>_xlfn.XLOOKUP(C128,Tabla42[ADEP],Tabla42[Sector],"")</f>
        <v>Sector 3</v>
      </c>
    </row>
    <row r="129" spans="1:20" x14ac:dyDescent="0.2">
      <c r="A129" s="13" t="s">
        <v>443</v>
      </c>
      <c r="B129" s="13" t="s">
        <v>18</v>
      </c>
      <c r="C129" s="13" t="s">
        <v>444</v>
      </c>
      <c r="D129" s="13" t="s">
        <v>110</v>
      </c>
      <c r="E129" s="13" t="s">
        <v>234</v>
      </c>
      <c r="F129" s="14">
        <v>46300.827627314815</v>
      </c>
      <c r="G129" s="13" t="s">
        <v>21</v>
      </c>
      <c r="H129" s="13" t="s">
        <v>2225</v>
      </c>
      <c r="I129" s="15">
        <v>360</v>
      </c>
      <c r="J129" s="13" t="s">
        <v>22</v>
      </c>
      <c r="K129" s="13" t="s">
        <v>23</v>
      </c>
      <c r="L129" s="15">
        <v>440</v>
      </c>
      <c r="M129" s="13" t="s">
        <v>189</v>
      </c>
      <c r="N129" s="14">
        <v>46300.851446759261</v>
      </c>
      <c r="O129" s="15">
        <v>380</v>
      </c>
      <c r="P129" s="13" t="s">
        <v>25</v>
      </c>
      <c r="Q129" s="15">
        <v>40</v>
      </c>
      <c r="R129" s="3" t="str">
        <f>IF(OR(G129="12R",G129="12L"),_xlfn.XLOOKUP(C129,Tabla42[ADEP],Tabla42[SID 12R],""),IF(OR(G129="30L",G129="30R"),_xlfn.XLOOKUP(C129,Tabla42[ADEP],Tabla42[SID 30L],""),""))</f>
        <v>ENEBA</v>
      </c>
      <c r="S129" s="3">
        <f t="shared" si="1"/>
        <v>19</v>
      </c>
      <c r="T129" s="3" t="str">
        <f>_xlfn.XLOOKUP(C129,Tabla42[ADEP],Tabla42[Sector],"")</f>
        <v>Sector 3</v>
      </c>
    </row>
    <row r="130" spans="1:20" x14ac:dyDescent="0.2">
      <c r="A130" s="13" t="s">
        <v>271</v>
      </c>
      <c r="B130" s="13" t="s">
        <v>18</v>
      </c>
      <c r="C130" s="13" t="s">
        <v>116</v>
      </c>
      <c r="D130" s="13" t="s">
        <v>43</v>
      </c>
      <c r="E130" s="13" t="s">
        <v>428</v>
      </c>
      <c r="F130" s="14">
        <v>46300.830520833333</v>
      </c>
      <c r="G130" s="13" t="s">
        <v>21</v>
      </c>
      <c r="H130" s="13" t="s">
        <v>2226</v>
      </c>
      <c r="I130" s="15">
        <v>340</v>
      </c>
      <c r="J130" s="13" t="s">
        <v>22</v>
      </c>
      <c r="K130" s="13" t="s">
        <v>23</v>
      </c>
      <c r="L130" s="15">
        <v>573</v>
      </c>
      <c r="M130" s="13" t="s">
        <v>123</v>
      </c>
      <c r="N130" s="14">
        <v>46300.861354166664</v>
      </c>
      <c r="O130" s="15">
        <v>360</v>
      </c>
      <c r="P130" s="13" t="s">
        <v>25</v>
      </c>
      <c r="Q130" s="15">
        <v>40</v>
      </c>
      <c r="R130" s="3" t="str">
        <f>IF(OR(G130="12R",G130="12L"),_xlfn.XLOOKUP(C130,Tabla42[ADEP],Tabla42[SID 12R],""),IF(OR(G130="30L",G130="30R"),_xlfn.XLOOKUP(C130,Tabla42[ADEP],Tabla42[SID 30L],""),""))</f>
        <v>ENEBA</v>
      </c>
      <c r="S130" s="3">
        <f t="shared" si="1"/>
        <v>19</v>
      </c>
      <c r="T130" s="3" t="str">
        <f>_xlfn.XLOOKUP(C130,Tabla42[ADEP],Tabla42[Sector],"")</f>
        <v>Sector 3</v>
      </c>
    </row>
    <row r="131" spans="1:20" x14ac:dyDescent="0.2">
      <c r="A131" s="13" t="s">
        <v>266</v>
      </c>
      <c r="B131" s="13" t="s">
        <v>18</v>
      </c>
      <c r="C131" s="13" t="s">
        <v>184</v>
      </c>
      <c r="D131" s="13" t="s">
        <v>60</v>
      </c>
      <c r="E131" s="13" t="s">
        <v>2227</v>
      </c>
      <c r="F131" s="14">
        <v>46300.831921296296</v>
      </c>
      <c r="G131" s="13" t="s">
        <v>21</v>
      </c>
      <c r="H131" s="13" t="s">
        <v>2228</v>
      </c>
      <c r="I131" s="15">
        <v>350</v>
      </c>
      <c r="J131" s="13" t="s">
        <v>22</v>
      </c>
      <c r="K131" s="13" t="s">
        <v>23</v>
      </c>
      <c r="L131" s="15">
        <v>359</v>
      </c>
      <c r="M131" s="13" t="s">
        <v>30</v>
      </c>
      <c r="N131" s="14">
        <v>46300.853171296294</v>
      </c>
      <c r="O131" s="15">
        <v>350</v>
      </c>
      <c r="P131" s="13" t="s">
        <v>25</v>
      </c>
      <c r="Q131" s="15">
        <v>40</v>
      </c>
      <c r="R131" s="3" t="str">
        <f>IF(OR(G131="12R",G131="12L"),_xlfn.XLOOKUP(C131,Tabla42[ADEP],Tabla42[SID 12R],""),IF(OR(G131="30L",G131="30R"),_xlfn.XLOOKUP(C131,Tabla42[ADEP],Tabla42[SID 30L],""),""))</f>
        <v>OMSUK</v>
      </c>
      <c r="S131" s="3">
        <f t="shared" ref="S131:S194" si="2">HOUR(F131)</f>
        <v>19</v>
      </c>
      <c r="T131" s="3" t="str">
        <f>_xlfn.XLOOKUP(C131,Tabla42[ADEP],Tabla42[Sector],"")</f>
        <v>Sector 3</v>
      </c>
    </row>
    <row r="132" spans="1:20" x14ac:dyDescent="0.2">
      <c r="A132" s="13" t="s">
        <v>744</v>
      </c>
      <c r="B132" s="13" t="s">
        <v>18</v>
      </c>
      <c r="C132" s="13" t="s">
        <v>188</v>
      </c>
      <c r="D132" s="13" t="s">
        <v>122</v>
      </c>
      <c r="E132" s="13" t="s">
        <v>2229</v>
      </c>
      <c r="F132" s="14">
        <v>46300.833275462966</v>
      </c>
      <c r="G132" s="13" t="s">
        <v>21</v>
      </c>
      <c r="H132" s="13" t="s">
        <v>2230</v>
      </c>
      <c r="I132" s="15">
        <v>360</v>
      </c>
      <c r="J132" s="13" t="s">
        <v>22</v>
      </c>
      <c r="K132" s="13" t="s">
        <v>23</v>
      </c>
      <c r="L132" s="15">
        <v>444</v>
      </c>
      <c r="M132" s="13" t="s">
        <v>189</v>
      </c>
      <c r="N132" s="14">
        <v>46300.857141203705</v>
      </c>
      <c r="O132" s="15">
        <v>360</v>
      </c>
      <c r="P132" s="13" t="s">
        <v>25</v>
      </c>
      <c r="Q132" s="15">
        <v>40</v>
      </c>
      <c r="R132" s="3" t="str">
        <f>IF(OR(G132="12R",G132="12L"),_xlfn.XLOOKUP(C132,Tabla42[ADEP],Tabla42[SID 12R],""),IF(OR(G132="30L",G132="30R"),_xlfn.XLOOKUP(C132,Tabla42[ADEP],Tabla42[SID 30L],""),""))</f>
        <v>ENEBA</v>
      </c>
      <c r="S132" s="3">
        <f t="shared" si="2"/>
        <v>19</v>
      </c>
      <c r="T132" s="3" t="str">
        <f>_xlfn.XLOOKUP(C132,Tabla42[ADEP],Tabla42[Sector],"")</f>
        <v>Sector 3</v>
      </c>
    </row>
    <row r="133" spans="1:20" x14ac:dyDescent="0.2">
      <c r="A133" s="13" t="s">
        <v>2231</v>
      </c>
      <c r="B133" s="13" t="s">
        <v>18</v>
      </c>
      <c r="C133" s="13" t="s">
        <v>958</v>
      </c>
      <c r="D133" s="13" t="s">
        <v>2232</v>
      </c>
      <c r="E133" s="13" t="s">
        <v>2233</v>
      </c>
      <c r="F133" s="14">
        <v>46300.834490740737</v>
      </c>
      <c r="G133" s="13" t="s">
        <v>21</v>
      </c>
      <c r="H133" s="13" t="s">
        <v>2234</v>
      </c>
      <c r="I133" s="15">
        <v>310</v>
      </c>
      <c r="J133" s="13" t="s">
        <v>22</v>
      </c>
      <c r="K133" s="13" t="s">
        <v>141</v>
      </c>
      <c r="L133" s="15">
        <v>136</v>
      </c>
      <c r="M133" s="13" t="s">
        <v>39</v>
      </c>
      <c r="N133" s="14">
        <v>46300.844108796293</v>
      </c>
      <c r="O133" s="15">
        <v>202</v>
      </c>
      <c r="P133" s="13" t="s">
        <v>25</v>
      </c>
      <c r="Q133" s="15">
        <v>30</v>
      </c>
      <c r="R133" s="3" t="str">
        <f>IF(OR(G133="12R",G133="12L"),_xlfn.XLOOKUP(C133,Tabla42[ADEP],Tabla42[SID 12R],""),IF(OR(G133="30L",G133="30R"),_xlfn.XLOOKUP(C133,Tabla42[ADEP],Tabla42[SID 30L],""),""))</f>
        <v>NUDAL</v>
      </c>
      <c r="S133" s="3">
        <f t="shared" si="2"/>
        <v>20</v>
      </c>
      <c r="T133" s="3" t="str">
        <f>_xlfn.XLOOKUP(C133,Tabla42[ADEP],Tabla42[Sector],"")</f>
        <v>Sector 3</v>
      </c>
    </row>
    <row r="134" spans="1:20" x14ac:dyDescent="0.2">
      <c r="A134" s="13" t="s">
        <v>272</v>
      </c>
      <c r="B134" s="13" t="s">
        <v>18</v>
      </c>
      <c r="C134" s="13" t="s">
        <v>42</v>
      </c>
      <c r="D134" s="13" t="s">
        <v>53</v>
      </c>
      <c r="E134" s="13" t="s">
        <v>70</v>
      </c>
      <c r="F134" s="14">
        <v>46300.835729166669</v>
      </c>
      <c r="G134" s="13" t="s">
        <v>21</v>
      </c>
      <c r="H134" s="13" t="s">
        <v>2235</v>
      </c>
      <c r="I134" s="15">
        <v>360</v>
      </c>
      <c r="J134" s="13" t="s">
        <v>22</v>
      </c>
      <c r="K134" s="13" t="s">
        <v>23</v>
      </c>
      <c r="L134" s="15">
        <v>878</v>
      </c>
      <c r="M134" s="13" t="s">
        <v>45</v>
      </c>
      <c r="N134" s="14">
        <v>46300.880868055552</v>
      </c>
      <c r="O134" s="15">
        <v>360</v>
      </c>
      <c r="P134" s="13" t="s">
        <v>25</v>
      </c>
      <c r="Q134" s="15">
        <v>190</v>
      </c>
      <c r="R134" s="3" t="str">
        <f>IF(OR(G134="12R",G134="12L"),_xlfn.XLOOKUP(C134,Tabla42[ADEP],Tabla42[SID 12R],""),IF(OR(G134="30L",G134="30R"),_xlfn.XLOOKUP(C134,Tabla42[ADEP],Tabla42[SID 30L],""),""))</f>
        <v>UDGUV</v>
      </c>
      <c r="S134" s="3">
        <f t="shared" si="2"/>
        <v>20</v>
      </c>
      <c r="T134" s="3" t="str">
        <f>_xlfn.XLOOKUP(C134,Tabla42[ADEP],Tabla42[Sector],"")</f>
        <v>Sector 2</v>
      </c>
    </row>
    <row r="135" spans="1:20" x14ac:dyDescent="0.2">
      <c r="A135" s="13" t="s">
        <v>2236</v>
      </c>
      <c r="B135" s="13" t="s">
        <v>18</v>
      </c>
      <c r="C135" s="13" t="s">
        <v>353</v>
      </c>
      <c r="D135" s="13" t="s">
        <v>2237</v>
      </c>
      <c r="E135" s="13"/>
      <c r="F135" s="14">
        <v>46300.837939814817</v>
      </c>
      <c r="G135" s="13" t="s">
        <v>21</v>
      </c>
      <c r="H135" s="13" t="s">
        <v>2238</v>
      </c>
      <c r="I135" s="15">
        <v>90</v>
      </c>
      <c r="J135" s="13" t="s">
        <v>22</v>
      </c>
      <c r="K135" s="13" t="s">
        <v>50</v>
      </c>
      <c r="L135" s="15">
        <v>217</v>
      </c>
      <c r="M135" s="13" t="s">
        <v>355</v>
      </c>
      <c r="N135" s="14">
        <v>46300.870138888888</v>
      </c>
      <c r="O135" s="15">
        <v>90</v>
      </c>
      <c r="P135" s="13" t="s">
        <v>129</v>
      </c>
      <c r="Q135" s="15">
        <v>40</v>
      </c>
      <c r="R135" s="3" t="str">
        <f>IF(OR(G135="12R",G135="12L"),_xlfn.XLOOKUP(C135,Tabla42[ADEP],Tabla42[SID 12R],""),IF(OR(G135="30L",G135="30R"),_xlfn.XLOOKUP(C135,Tabla42[ADEP],Tabla42[SID 30L],""),""))</f>
        <v>OMSUK</v>
      </c>
      <c r="S135" s="3">
        <f t="shared" si="2"/>
        <v>20</v>
      </c>
      <c r="T135" s="3" t="str">
        <f>_xlfn.XLOOKUP(C135,Tabla42[ADEP],Tabla42[Sector],"")</f>
        <v>Sector 3</v>
      </c>
    </row>
    <row r="136" spans="1:20" x14ac:dyDescent="0.2">
      <c r="A136" s="13" t="s">
        <v>600</v>
      </c>
      <c r="B136" s="13" t="s">
        <v>18</v>
      </c>
      <c r="C136" s="13" t="s">
        <v>293</v>
      </c>
      <c r="D136" s="13" t="s">
        <v>20</v>
      </c>
      <c r="E136" s="13" t="s">
        <v>2239</v>
      </c>
      <c r="F136" s="14">
        <v>46300.83966435185</v>
      </c>
      <c r="G136" s="13" t="s">
        <v>21</v>
      </c>
      <c r="H136" s="13" t="s">
        <v>2240</v>
      </c>
      <c r="I136" s="15">
        <v>340</v>
      </c>
      <c r="J136" s="13" t="s">
        <v>22</v>
      </c>
      <c r="K136" s="13" t="s">
        <v>23</v>
      </c>
      <c r="L136" s="15">
        <v>528</v>
      </c>
      <c r="M136" s="13" t="s">
        <v>123</v>
      </c>
      <c r="N136" s="14">
        <v>46300.867152777777</v>
      </c>
      <c r="O136" s="15">
        <v>340</v>
      </c>
      <c r="P136" s="13" t="s">
        <v>25</v>
      </c>
      <c r="Q136" s="15">
        <v>40</v>
      </c>
      <c r="R136" s="3" t="str">
        <f>IF(OR(G136="12R",G136="12L"),_xlfn.XLOOKUP(C136,Tabla42[ADEP],Tabla42[SID 12R],""),IF(OR(G136="30L",G136="30R"),_xlfn.XLOOKUP(C136,Tabla42[ADEP],Tabla42[SID 30L],""),""))</f>
        <v>UDGUV</v>
      </c>
      <c r="S136" s="3">
        <f t="shared" si="2"/>
        <v>20</v>
      </c>
      <c r="T136" s="3" t="str">
        <f>_xlfn.XLOOKUP(C136,Tabla42[ADEP],Tabla42[Sector],"")</f>
        <v>Sector 2</v>
      </c>
    </row>
    <row r="137" spans="1:20" x14ac:dyDescent="0.2">
      <c r="A137" s="13" t="s">
        <v>745</v>
      </c>
      <c r="B137" s="13" t="s">
        <v>18</v>
      </c>
      <c r="C137" s="13" t="s">
        <v>121</v>
      </c>
      <c r="D137" s="13" t="s">
        <v>122</v>
      </c>
      <c r="E137" s="13" t="s">
        <v>1244</v>
      </c>
      <c r="F137" s="14">
        <v>46300.841550925928</v>
      </c>
      <c r="G137" s="13" t="s">
        <v>21</v>
      </c>
      <c r="H137" s="13" t="s">
        <v>2241</v>
      </c>
      <c r="I137" s="15">
        <v>360</v>
      </c>
      <c r="J137" s="13" t="s">
        <v>22</v>
      </c>
      <c r="K137" s="13" t="s">
        <v>23</v>
      </c>
      <c r="L137" s="15">
        <v>530</v>
      </c>
      <c r="M137" s="13" t="s">
        <v>123</v>
      </c>
      <c r="N137" s="14">
        <v>46300.869386574072</v>
      </c>
      <c r="O137" s="15">
        <v>320</v>
      </c>
      <c r="P137" s="13" t="s">
        <v>25</v>
      </c>
      <c r="Q137" s="15">
        <v>40</v>
      </c>
      <c r="R137" s="3" t="str">
        <f>IF(OR(G137="12R",G137="12L"),_xlfn.XLOOKUP(C137,Tabla42[ADEP],Tabla42[SID 12R],""),IF(OR(G137="30L",G137="30R"),_xlfn.XLOOKUP(C137,Tabla42[ADEP],Tabla42[SID 30L],""),""))</f>
        <v>ENEBA</v>
      </c>
      <c r="S137" s="3">
        <f t="shared" si="2"/>
        <v>20</v>
      </c>
      <c r="T137" s="3" t="str">
        <f>_xlfn.XLOOKUP(C137,Tabla42[ADEP],Tabla42[Sector],"")</f>
        <v>Sector 3</v>
      </c>
    </row>
    <row r="138" spans="1:20" x14ac:dyDescent="0.2">
      <c r="A138" s="13" t="s">
        <v>274</v>
      </c>
      <c r="B138" s="13" t="s">
        <v>18</v>
      </c>
      <c r="C138" s="13" t="s">
        <v>96</v>
      </c>
      <c r="D138" s="13" t="s">
        <v>53</v>
      </c>
      <c r="E138" s="13" t="s">
        <v>734</v>
      </c>
      <c r="F138" s="14">
        <v>46300.843587962961</v>
      </c>
      <c r="G138" s="13" t="s">
        <v>21</v>
      </c>
      <c r="H138" s="13" t="s">
        <v>2242</v>
      </c>
      <c r="I138" s="15">
        <v>360</v>
      </c>
      <c r="J138" s="13" t="s">
        <v>22</v>
      </c>
      <c r="K138" s="13" t="s">
        <v>23</v>
      </c>
      <c r="L138" s="15">
        <v>866</v>
      </c>
      <c r="M138" s="13" t="s">
        <v>45</v>
      </c>
      <c r="N138" s="14">
        <v>46300.889756944445</v>
      </c>
      <c r="O138" s="15">
        <v>360</v>
      </c>
      <c r="P138" s="13" t="s">
        <v>25</v>
      </c>
      <c r="Q138" s="15">
        <v>190</v>
      </c>
      <c r="R138" s="3" t="str">
        <f>IF(OR(G138="12R",G138="12L"),_xlfn.XLOOKUP(C138,Tabla42[ADEP],Tabla42[SID 12R],""),IF(OR(G138="30L",G138="30R"),_xlfn.XLOOKUP(C138,Tabla42[ADEP],Tabla42[SID 30L],""),""))</f>
        <v>UDGUV</v>
      </c>
      <c r="S138" s="3">
        <f t="shared" si="2"/>
        <v>20</v>
      </c>
      <c r="T138" s="3" t="str">
        <f>_xlfn.XLOOKUP(C138,Tabla42[ADEP],Tabla42[Sector],"")</f>
        <v>Sector 2</v>
      </c>
    </row>
    <row r="139" spans="1:20" x14ac:dyDescent="0.2">
      <c r="A139" s="13" t="s">
        <v>280</v>
      </c>
      <c r="B139" s="13" t="s">
        <v>18</v>
      </c>
      <c r="C139" s="13" t="s">
        <v>49</v>
      </c>
      <c r="D139" s="13" t="s">
        <v>53</v>
      </c>
      <c r="E139" s="13" t="s">
        <v>331</v>
      </c>
      <c r="F139" s="14">
        <v>46300.852939814817</v>
      </c>
      <c r="G139" s="13" t="s">
        <v>21</v>
      </c>
      <c r="H139" s="13" t="s">
        <v>2243</v>
      </c>
      <c r="I139" s="15">
        <v>380</v>
      </c>
      <c r="J139" s="13" t="s">
        <v>22</v>
      </c>
      <c r="K139" s="13" t="s">
        <v>23</v>
      </c>
      <c r="L139" s="15">
        <v>872</v>
      </c>
      <c r="M139" s="13" t="s">
        <v>45</v>
      </c>
      <c r="N139" s="14">
        <v>46300.898738425924</v>
      </c>
      <c r="O139" s="15">
        <v>380</v>
      </c>
      <c r="P139" s="13" t="s">
        <v>25</v>
      </c>
      <c r="Q139" s="15">
        <v>190</v>
      </c>
      <c r="R139" s="3" t="str">
        <f>IF(OR(G139="12R",G139="12L"),_xlfn.XLOOKUP(C139,Tabla42[ADEP],Tabla42[SID 12R],""),IF(OR(G139="30L",G139="30R"),_xlfn.XLOOKUP(C139,Tabla42[ADEP],Tabla42[SID 30L],""),""))</f>
        <v>UDGUV</v>
      </c>
      <c r="S139" s="3">
        <f t="shared" si="2"/>
        <v>20</v>
      </c>
      <c r="T139" s="3" t="str">
        <f>_xlfn.XLOOKUP(C139,Tabla42[ADEP],Tabla42[Sector],"")</f>
        <v>Sector 2</v>
      </c>
    </row>
    <row r="140" spans="1:20" x14ac:dyDescent="0.2">
      <c r="A140" s="13" t="s">
        <v>283</v>
      </c>
      <c r="B140" s="13" t="s">
        <v>18</v>
      </c>
      <c r="C140" s="13" t="s">
        <v>126</v>
      </c>
      <c r="D140" s="13" t="s">
        <v>117</v>
      </c>
      <c r="E140" s="13" t="s">
        <v>2244</v>
      </c>
      <c r="F140" s="14">
        <v>46300.853935185187</v>
      </c>
      <c r="G140" s="13" t="s">
        <v>21</v>
      </c>
      <c r="H140" s="13" t="s">
        <v>2203</v>
      </c>
      <c r="I140" s="15">
        <v>350</v>
      </c>
      <c r="J140" s="13" t="s">
        <v>22</v>
      </c>
      <c r="K140" s="13" t="s">
        <v>23</v>
      </c>
      <c r="L140" s="15">
        <v>359</v>
      </c>
      <c r="M140" s="13" t="s">
        <v>30</v>
      </c>
      <c r="N140" s="14">
        <v>46300.873518518521</v>
      </c>
      <c r="O140" s="15">
        <v>350</v>
      </c>
      <c r="P140" s="13" t="s">
        <v>25</v>
      </c>
      <c r="Q140" s="15">
        <v>40</v>
      </c>
      <c r="R140" s="3" t="str">
        <f>IF(OR(G140="12R",G140="12L"),_xlfn.XLOOKUP(C140,Tabla42[ADEP],Tabla42[SID 12R],""),IF(OR(G140="30L",G140="30R"),_xlfn.XLOOKUP(C140,Tabla42[ADEP],Tabla42[SID 30L],""),""))</f>
        <v>ENEBA</v>
      </c>
      <c r="S140" s="3">
        <f t="shared" si="2"/>
        <v>20</v>
      </c>
      <c r="T140" s="3" t="str">
        <f>_xlfn.XLOOKUP(C140,Tabla42[ADEP],Tabla42[Sector],"")</f>
        <v>Sector 3</v>
      </c>
    </row>
    <row r="141" spans="1:20" x14ac:dyDescent="0.2">
      <c r="A141" s="13" t="s">
        <v>1332</v>
      </c>
      <c r="B141" s="13" t="s">
        <v>18</v>
      </c>
      <c r="C141" s="13" t="s">
        <v>65</v>
      </c>
      <c r="D141" s="13" t="s">
        <v>794</v>
      </c>
      <c r="E141" s="13"/>
      <c r="F141" s="14">
        <v>46300.855868055558</v>
      </c>
      <c r="G141" s="13" t="s">
        <v>21</v>
      </c>
      <c r="H141" s="13" t="s">
        <v>2245</v>
      </c>
      <c r="I141" s="15">
        <v>220</v>
      </c>
      <c r="J141" s="13" t="s">
        <v>22</v>
      </c>
      <c r="K141" s="13" t="s">
        <v>141</v>
      </c>
      <c r="L141" s="15">
        <v>371</v>
      </c>
      <c r="M141" s="13" t="s">
        <v>65</v>
      </c>
      <c r="N141" s="14">
        <v>46300.886828703704</v>
      </c>
      <c r="O141" s="15">
        <v>0</v>
      </c>
      <c r="P141" s="13" t="s">
        <v>129</v>
      </c>
      <c r="Q141" s="15">
        <v>30</v>
      </c>
      <c r="R141" s="3" t="str">
        <f>IF(OR(G141="12R",G141="12L"),_xlfn.XLOOKUP(C141,Tabla42[ADEP],Tabla42[SID 12R],""),IF(OR(G141="30L",G141="30R"),_xlfn.XLOOKUP(C141,Tabla42[ADEP],Tabla42[SID 30L],""),""))</f>
        <v>UDGUV</v>
      </c>
      <c r="S141" s="3">
        <f t="shared" si="2"/>
        <v>20</v>
      </c>
      <c r="T141" s="3" t="str">
        <f>_xlfn.XLOOKUP(C141,Tabla42[ADEP],Tabla42[Sector],"")</f>
        <v>Sector 2</v>
      </c>
    </row>
    <row r="142" spans="1:20" x14ac:dyDescent="0.2">
      <c r="A142" s="13" t="s">
        <v>461</v>
      </c>
      <c r="B142" s="13" t="s">
        <v>18</v>
      </c>
      <c r="C142" s="13" t="s">
        <v>223</v>
      </c>
      <c r="D142" s="13" t="s">
        <v>122</v>
      </c>
      <c r="E142" s="13" t="s">
        <v>2246</v>
      </c>
      <c r="F142" s="14">
        <v>46300.857222222221</v>
      </c>
      <c r="G142" s="13" t="s">
        <v>21</v>
      </c>
      <c r="H142" s="13" t="s">
        <v>2247</v>
      </c>
      <c r="I142" s="15">
        <v>370</v>
      </c>
      <c r="J142" s="13" t="s">
        <v>22</v>
      </c>
      <c r="K142" s="13" t="s">
        <v>23</v>
      </c>
      <c r="L142" s="15">
        <v>349</v>
      </c>
      <c r="M142" s="13" t="s">
        <v>30</v>
      </c>
      <c r="N142" s="14">
        <v>46300.876469907409</v>
      </c>
      <c r="O142" s="15">
        <v>370</v>
      </c>
      <c r="P142" s="13" t="s">
        <v>25</v>
      </c>
      <c r="Q142" s="15">
        <v>40</v>
      </c>
      <c r="R142" s="3" t="str">
        <f>IF(OR(G142="12R",G142="12L"),_xlfn.XLOOKUP(C142,Tabla42[ADEP],Tabla42[SID 12R],""),IF(OR(G142="30L",G142="30R"),_xlfn.XLOOKUP(C142,Tabla42[ADEP],Tabla42[SID 30L],""),""))</f>
        <v>OMSUK</v>
      </c>
      <c r="S142" s="3">
        <f t="shared" si="2"/>
        <v>20</v>
      </c>
      <c r="T142" s="3" t="str">
        <f>_xlfn.XLOOKUP(C142,Tabla42[ADEP],Tabla42[Sector],"")</f>
        <v>Sector 3</v>
      </c>
    </row>
    <row r="143" spans="1:20" x14ac:dyDescent="0.2">
      <c r="A143" s="13" t="s">
        <v>307</v>
      </c>
      <c r="B143" s="13" t="s">
        <v>18</v>
      </c>
      <c r="C143" s="13" t="s">
        <v>190</v>
      </c>
      <c r="D143" s="13" t="s">
        <v>33</v>
      </c>
      <c r="E143" s="13" t="s">
        <v>2248</v>
      </c>
      <c r="F143" s="14">
        <v>46300.858101851853</v>
      </c>
      <c r="G143" s="13" t="s">
        <v>21</v>
      </c>
      <c r="H143" s="13" t="s">
        <v>191</v>
      </c>
      <c r="I143" s="15">
        <v>330</v>
      </c>
      <c r="J143" s="13" t="s">
        <v>22</v>
      </c>
      <c r="K143" s="13" t="s">
        <v>23</v>
      </c>
      <c r="L143" s="15">
        <v>136</v>
      </c>
      <c r="M143" s="13" t="s">
        <v>39</v>
      </c>
      <c r="N143" s="14">
        <v>46300.867592592593</v>
      </c>
      <c r="O143" s="15">
        <v>229</v>
      </c>
      <c r="P143" s="13" t="s">
        <v>25</v>
      </c>
      <c r="Q143" s="15">
        <v>190</v>
      </c>
      <c r="R143" s="3" t="str">
        <f>IF(OR(G143="12R",G143="12L"),_xlfn.XLOOKUP(C143,Tabla42[ADEP],Tabla42[SID 12R],""),IF(OR(G143="30L",G143="30R"),_xlfn.XLOOKUP(C143,Tabla42[ADEP],Tabla42[SID 30L],""),""))</f>
        <v>NUDAL</v>
      </c>
      <c r="S143" s="3">
        <f t="shared" si="2"/>
        <v>20</v>
      </c>
      <c r="T143" s="3" t="str">
        <f>_xlfn.XLOOKUP(C143,Tabla42[ADEP],Tabla42[Sector],"")</f>
        <v>Sector 3</v>
      </c>
    </row>
    <row r="144" spans="1:20" x14ac:dyDescent="0.2">
      <c r="A144" s="13" t="s">
        <v>476</v>
      </c>
      <c r="B144" s="13" t="s">
        <v>18</v>
      </c>
      <c r="C144" s="13" t="s">
        <v>188</v>
      </c>
      <c r="D144" s="13" t="s">
        <v>43</v>
      </c>
      <c r="E144" s="13" t="s">
        <v>2249</v>
      </c>
      <c r="F144" s="14">
        <v>46300.861157407409</v>
      </c>
      <c r="G144" s="13" t="s">
        <v>21</v>
      </c>
      <c r="H144" s="13" t="s">
        <v>2250</v>
      </c>
      <c r="I144" s="15">
        <v>340</v>
      </c>
      <c r="J144" s="13" t="s">
        <v>22</v>
      </c>
      <c r="K144" s="13" t="s">
        <v>23</v>
      </c>
      <c r="L144" s="15">
        <v>371</v>
      </c>
      <c r="M144" s="13" t="s">
        <v>250</v>
      </c>
      <c r="N144" s="14">
        <v>46300.882673611108</v>
      </c>
      <c r="O144" s="15">
        <v>340</v>
      </c>
      <c r="P144" s="13" t="s">
        <v>25</v>
      </c>
      <c r="Q144" s="15">
        <v>40</v>
      </c>
      <c r="R144" s="3" t="str">
        <f>IF(OR(G144="12R",G144="12L"),_xlfn.XLOOKUP(C144,Tabla42[ADEP],Tabla42[SID 12R],""),IF(OR(G144="30L",G144="30R"),_xlfn.XLOOKUP(C144,Tabla42[ADEP],Tabla42[SID 30L],""),""))</f>
        <v>ENEBA</v>
      </c>
      <c r="S144" s="3">
        <f t="shared" si="2"/>
        <v>20</v>
      </c>
      <c r="T144" s="3" t="str">
        <f>_xlfn.XLOOKUP(C144,Tabla42[ADEP],Tabla42[Sector],"")</f>
        <v>Sector 3</v>
      </c>
    </row>
    <row r="145" spans="1:20" x14ac:dyDescent="0.2">
      <c r="A145" s="13" t="s">
        <v>282</v>
      </c>
      <c r="B145" s="13" t="s">
        <v>18</v>
      </c>
      <c r="C145" s="13" t="s">
        <v>42</v>
      </c>
      <c r="D145" s="13" t="s">
        <v>20</v>
      </c>
      <c r="E145" s="13" t="s">
        <v>661</v>
      </c>
      <c r="F145" s="14">
        <v>46300.863206018519</v>
      </c>
      <c r="G145" s="13" t="s">
        <v>21</v>
      </c>
      <c r="H145" s="13" t="s">
        <v>2251</v>
      </c>
      <c r="I145" s="15">
        <v>340</v>
      </c>
      <c r="J145" s="13" t="s">
        <v>22</v>
      </c>
      <c r="K145" s="13" t="s">
        <v>23</v>
      </c>
      <c r="L145" s="15">
        <v>884</v>
      </c>
      <c r="M145" s="13" t="s">
        <v>45</v>
      </c>
      <c r="N145" s="14">
        <v>46300.910775462966</v>
      </c>
      <c r="O145" s="15">
        <v>340</v>
      </c>
      <c r="P145" s="13" t="s">
        <v>25</v>
      </c>
      <c r="Q145" s="15">
        <v>190</v>
      </c>
      <c r="R145" s="3" t="str">
        <f>IF(OR(G145="12R",G145="12L"),_xlfn.XLOOKUP(C145,Tabla42[ADEP],Tabla42[SID 12R],""),IF(OR(G145="30L",G145="30R"),_xlfn.XLOOKUP(C145,Tabla42[ADEP],Tabla42[SID 30L],""),""))</f>
        <v>UDGUV</v>
      </c>
      <c r="S145" s="3">
        <f t="shared" si="2"/>
        <v>20</v>
      </c>
      <c r="T145" s="3" t="str">
        <f>_xlfn.XLOOKUP(C145,Tabla42[ADEP],Tabla42[Sector],"")</f>
        <v>Sector 2</v>
      </c>
    </row>
    <row r="146" spans="1:20" x14ac:dyDescent="0.2">
      <c r="A146" s="13" t="s">
        <v>467</v>
      </c>
      <c r="B146" s="13" t="s">
        <v>18</v>
      </c>
      <c r="C146" s="13" t="s">
        <v>184</v>
      </c>
      <c r="D146" s="13" t="s">
        <v>20</v>
      </c>
      <c r="E146" s="13" t="s">
        <v>398</v>
      </c>
      <c r="F146" s="14">
        <v>46300.8669212963</v>
      </c>
      <c r="G146" s="13" t="s">
        <v>21</v>
      </c>
      <c r="H146" s="13" t="s">
        <v>2252</v>
      </c>
      <c r="I146" s="15">
        <v>350</v>
      </c>
      <c r="J146" s="13" t="s">
        <v>22</v>
      </c>
      <c r="K146" s="13" t="s">
        <v>23</v>
      </c>
      <c r="L146" s="15">
        <v>361</v>
      </c>
      <c r="M146" s="13" t="s">
        <v>30</v>
      </c>
      <c r="N146" s="14">
        <v>46300.887418981481</v>
      </c>
      <c r="O146" s="15">
        <v>330</v>
      </c>
      <c r="P146" s="13" t="s">
        <v>25</v>
      </c>
      <c r="Q146" s="15">
        <v>40</v>
      </c>
      <c r="R146" s="3" t="str">
        <f>IF(OR(G146="12R",G146="12L"),_xlfn.XLOOKUP(C146,Tabla42[ADEP],Tabla42[SID 12R],""),IF(OR(G146="30L",G146="30R"),_xlfn.XLOOKUP(C146,Tabla42[ADEP],Tabla42[SID 30L],""),""))</f>
        <v>OMSUK</v>
      </c>
      <c r="S146" s="3">
        <f t="shared" si="2"/>
        <v>20</v>
      </c>
      <c r="T146" s="3" t="str">
        <f>_xlfn.XLOOKUP(C146,Tabla42[ADEP],Tabla42[Sector],"")</f>
        <v>Sector 3</v>
      </c>
    </row>
    <row r="147" spans="1:20" x14ac:dyDescent="0.2">
      <c r="A147" s="13" t="s">
        <v>213</v>
      </c>
      <c r="B147" s="13" t="s">
        <v>18</v>
      </c>
      <c r="C147" s="13" t="s">
        <v>19</v>
      </c>
      <c r="D147" s="13" t="s">
        <v>60</v>
      </c>
      <c r="E147" s="13" t="s">
        <v>679</v>
      </c>
      <c r="F147" s="14">
        <v>46300.867696759262</v>
      </c>
      <c r="G147" s="13" t="s">
        <v>21</v>
      </c>
      <c r="H147" s="13" t="s">
        <v>2253</v>
      </c>
      <c r="I147" s="15">
        <v>300</v>
      </c>
      <c r="J147" s="13" t="s">
        <v>22</v>
      </c>
      <c r="K147" s="13" t="s">
        <v>23</v>
      </c>
      <c r="L147" s="15">
        <v>861</v>
      </c>
      <c r="M147" s="13" t="s">
        <v>24</v>
      </c>
      <c r="N147" s="14">
        <v>46300.913981481484</v>
      </c>
      <c r="O147" s="15">
        <v>300</v>
      </c>
      <c r="P147" s="13" t="s">
        <v>25</v>
      </c>
      <c r="Q147" s="15">
        <v>190</v>
      </c>
      <c r="R147" s="3" t="str">
        <f>IF(OR(G147="12R",G147="12L"),_xlfn.XLOOKUP(C147,Tabla42[ADEP],Tabla42[SID 12R],""),IF(OR(G147="30L",G147="30R"),_xlfn.XLOOKUP(C147,Tabla42[ADEP],Tabla42[SID 30L],""),""))</f>
        <v>UDGUV</v>
      </c>
      <c r="S147" s="3">
        <f t="shared" si="2"/>
        <v>20</v>
      </c>
      <c r="T147" s="3" t="str">
        <f>_xlfn.XLOOKUP(C147,Tabla42[ADEP],Tabla42[Sector],"")</f>
        <v>Sector 2</v>
      </c>
    </row>
    <row r="148" spans="1:20" x14ac:dyDescent="0.2">
      <c r="A148" s="13" t="s">
        <v>665</v>
      </c>
      <c r="B148" s="13" t="s">
        <v>18</v>
      </c>
      <c r="C148" s="13" t="s">
        <v>206</v>
      </c>
      <c r="D148" s="13" t="s">
        <v>53</v>
      </c>
      <c r="E148" s="13" t="s">
        <v>401</v>
      </c>
      <c r="F148" s="14">
        <v>46300.869305555556</v>
      </c>
      <c r="G148" s="13" t="s">
        <v>21</v>
      </c>
      <c r="H148" s="13" t="s">
        <v>2254</v>
      </c>
      <c r="I148" s="15">
        <v>380</v>
      </c>
      <c r="J148" s="13" t="s">
        <v>22</v>
      </c>
      <c r="K148" s="13" t="s">
        <v>23</v>
      </c>
      <c r="L148" s="15">
        <v>892</v>
      </c>
      <c r="M148" s="13" t="s">
        <v>668</v>
      </c>
      <c r="N148" s="14">
        <v>46300.915138888886</v>
      </c>
      <c r="O148" s="15">
        <v>380</v>
      </c>
      <c r="P148" s="13" t="s">
        <v>25</v>
      </c>
      <c r="Q148" s="15">
        <v>190</v>
      </c>
      <c r="R148" s="3" t="str">
        <f>IF(OR(G148="12R",G148="12L"),_xlfn.XLOOKUP(C148,Tabla42[ADEP],Tabla42[SID 12R],""),IF(OR(G148="30L",G148="30R"),_xlfn.XLOOKUP(C148,Tabla42[ADEP],Tabla42[SID 30L],""),""))</f>
        <v>UDGUV</v>
      </c>
      <c r="S148" s="3">
        <f t="shared" si="2"/>
        <v>20</v>
      </c>
      <c r="T148" s="3" t="str">
        <f>_xlfn.XLOOKUP(C148,Tabla42[ADEP],Tabla42[Sector],"")</f>
        <v>Sector 2</v>
      </c>
    </row>
    <row r="149" spans="1:20" x14ac:dyDescent="0.2">
      <c r="A149" s="13" t="s">
        <v>469</v>
      </c>
      <c r="B149" s="13" t="s">
        <v>18</v>
      </c>
      <c r="C149" s="13" t="s">
        <v>42</v>
      </c>
      <c r="D149" s="13" t="s">
        <v>43</v>
      </c>
      <c r="E149" s="13" t="s">
        <v>2255</v>
      </c>
      <c r="F149" s="14">
        <v>46300.870879629627</v>
      </c>
      <c r="G149" s="13" t="s">
        <v>21</v>
      </c>
      <c r="H149" s="13" t="s">
        <v>2256</v>
      </c>
      <c r="I149" s="15">
        <v>360</v>
      </c>
      <c r="J149" s="13" t="s">
        <v>22</v>
      </c>
      <c r="K149" s="13" t="s">
        <v>23</v>
      </c>
      <c r="L149" s="15">
        <v>990</v>
      </c>
      <c r="M149" s="13" t="s">
        <v>2058</v>
      </c>
      <c r="N149" s="14">
        <v>46300.921643518515</v>
      </c>
      <c r="O149" s="15">
        <v>360</v>
      </c>
      <c r="P149" s="13" t="s">
        <v>25</v>
      </c>
      <c r="Q149" s="15">
        <v>190</v>
      </c>
      <c r="R149" s="3" t="str">
        <f>IF(OR(G149="12R",G149="12L"),_xlfn.XLOOKUP(C149,Tabla42[ADEP],Tabla42[SID 12R],""),IF(OR(G149="30L",G149="30R"),_xlfn.XLOOKUP(C149,Tabla42[ADEP],Tabla42[SID 30L],""),""))</f>
        <v>UDGUV</v>
      </c>
      <c r="S149" s="3">
        <f t="shared" si="2"/>
        <v>20</v>
      </c>
      <c r="T149" s="3" t="str">
        <f>_xlfn.XLOOKUP(C149,Tabla42[ADEP],Tabla42[Sector],"")</f>
        <v>Sector 2</v>
      </c>
    </row>
    <row r="150" spans="1:20" x14ac:dyDescent="0.2">
      <c r="A150" s="13" t="s">
        <v>2257</v>
      </c>
      <c r="B150" s="13" t="s">
        <v>18</v>
      </c>
      <c r="C150" s="13" t="s">
        <v>800</v>
      </c>
      <c r="D150" s="13" t="s">
        <v>2050</v>
      </c>
      <c r="E150" s="13"/>
      <c r="F150" s="14">
        <v>46300.875405092593</v>
      </c>
      <c r="G150" s="13" t="s">
        <v>21</v>
      </c>
      <c r="H150" s="13" t="s">
        <v>2258</v>
      </c>
      <c r="I150" s="15">
        <v>410</v>
      </c>
      <c r="J150" s="13" t="s">
        <v>22</v>
      </c>
      <c r="K150" s="13" t="s">
        <v>50</v>
      </c>
      <c r="L150" s="15">
        <v>191</v>
      </c>
      <c r="M150" s="13" t="s">
        <v>2259</v>
      </c>
      <c r="N150" s="14">
        <v>46300.887557870374</v>
      </c>
      <c r="O150" s="15">
        <v>350</v>
      </c>
      <c r="P150" s="13" t="s">
        <v>25</v>
      </c>
      <c r="Q150" s="15">
        <v>40</v>
      </c>
      <c r="R150" s="3" t="str">
        <f>IF(OR(G150="12R",G150="12L"),_xlfn.XLOOKUP(C150,Tabla42[ADEP],Tabla42[SID 12R],""),IF(OR(G150="30L",G150="30R"),_xlfn.XLOOKUP(C150,Tabla42[ADEP],Tabla42[SID 30L],""),""))</f>
        <v>NUDAL</v>
      </c>
      <c r="S150" s="3">
        <f t="shared" si="2"/>
        <v>21</v>
      </c>
      <c r="T150" s="3" t="str">
        <f>_xlfn.XLOOKUP(C150,Tabla42[ADEP],Tabla42[Sector],"")</f>
        <v>Sector 3</v>
      </c>
    </row>
    <row r="151" spans="1:20" x14ac:dyDescent="0.2">
      <c r="A151" s="13" t="s">
        <v>292</v>
      </c>
      <c r="B151" s="13" t="s">
        <v>18</v>
      </c>
      <c r="C151" s="13" t="s">
        <v>293</v>
      </c>
      <c r="D151" s="13" t="s">
        <v>43</v>
      </c>
      <c r="E151" s="13" t="s">
        <v>2260</v>
      </c>
      <c r="F151" s="14">
        <v>46300.877210648148</v>
      </c>
      <c r="G151" s="13" t="s">
        <v>21</v>
      </c>
      <c r="H151" s="13" t="s">
        <v>2261</v>
      </c>
      <c r="I151" s="15">
        <v>340</v>
      </c>
      <c r="J151" s="13" t="s">
        <v>22</v>
      </c>
      <c r="K151" s="13" t="s">
        <v>23</v>
      </c>
      <c r="L151" s="15">
        <v>529</v>
      </c>
      <c r="M151" s="13" t="s">
        <v>2262</v>
      </c>
      <c r="N151" s="14">
        <v>46300.905532407407</v>
      </c>
      <c r="O151" s="15">
        <v>300</v>
      </c>
      <c r="P151" s="13" t="s">
        <v>25</v>
      </c>
      <c r="Q151" s="15">
        <v>40</v>
      </c>
      <c r="R151" s="3" t="str">
        <f>IF(OR(G151="12R",G151="12L"),_xlfn.XLOOKUP(C151,Tabla42[ADEP],Tabla42[SID 12R],""),IF(OR(G151="30L",G151="30R"),_xlfn.XLOOKUP(C151,Tabla42[ADEP],Tabla42[SID 30L],""),""))</f>
        <v>UDGUV</v>
      </c>
      <c r="S151" s="3">
        <f t="shared" si="2"/>
        <v>21</v>
      </c>
      <c r="T151" s="3" t="str">
        <f>_xlfn.XLOOKUP(C151,Tabla42[ADEP],Tabla42[Sector],"")</f>
        <v>Sector 2</v>
      </c>
    </row>
    <row r="152" spans="1:20" x14ac:dyDescent="0.2">
      <c r="A152" s="13" t="s">
        <v>294</v>
      </c>
      <c r="B152" s="13" t="s">
        <v>18</v>
      </c>
      <c r="C152" s="13" t="s">
        <v>128</v>
      </c>
      <c r="D152" s="13" t="s">
        <v>43</v>
      </c>
      <c r="E152" s="13" t="s">
        <v>2263</v>
      </c>
      <c r="F152" s="14">
        <v>46300.878541666665</v>
      </c>
      <c r="G152" s="13" t="s">
        <v>21</v>
      </c>
      <c r="H152" s="13" t="s">
        <v>2264</v>
      </c>
      <c r="I152" s="15">
        <v>330</v>
      </c>
      <c r="J152" s="13" t="s">
        <v>22</v>
      </c>
      <c r="K152" s="13" t="s">
        <v>23</v>
      </c>
      <c r="L152" s="15">
        <v>359</v>
      </c>
      <c r="M152" s="13" t="s">
        <v>30</v>
      </c>
      <c r="N152" s="14">
        <v>46300.898761574077</v>
      </c>
      <c r="O152" s="15">
        <v>330</v>
      </c>
      <c r="P152" s="13" t="s">
        <v>25</v>
      </c>
      <c r="Q152" s="15">
        <v>40</v>
      </c>
      <c r="R152" s="3" t="str">
        <f>IF(OR(G152="12R",G152="12L"),_xlfn.XLOOKUP(C152,Tabla42[ADEP],Tabla42[SID 12R],""),IF(OR(G152="30L",G152="30R"),_xlfn.XLOOKUP(C152,Tabla42[ADEP],Tabla42[SID 30L],""),""))</f>
        <v>OMSUK</v>
      </c>
      <c r="S152" s="3">
        <f t="shared" si="2"/>
        <v>21</v>
      </c>
      <c r="T152" s="3" t="str">
        <f>_xlfn.XLOOKUP(C152,Tabla42[ADEP],Tabla42[Sector],"")</f>
        <v>Sector 3</v>
      </c>
    </row>
    <row r="153" spans="1:20" x14ac:dyDescent="0.2">
      <c r="A153" s="13" t="s">
        <v>2265</v>
      </c>
      <c r="B153" s="13" t="s">
        <v>18</v>
      </c>
      <c r="C153" s="13" t="s">
        <v>32</v>
      </c>
      <c r="D153" s="13" t="s">
        <v>20</v>
      </c>
      <c r="E153" s="13" t="s">
        <v>316</v>
      </c>
      <c r="F153" s="14">
        <v>46300.879930555559</v>
      </c>
      <c r="G153" s="13" t="s">
        <v>21</v>
      </c>
      <c r="H153" s="13" t="s">
        <v>2266</v>
      </c>
      <c r="I153" s="15">
        <v>340</v>
      </c>
      <c r="J153" s="13" t="s">
        <v>22</v>
      </c>
      <c r="K153" s="13" t="s">
        <v>23</v>
      </c>
      <c r="L153" s="15">
        <v>922</v>
      </c>
      <c r="M153" s="13" t="s">
        <v>2267</v>
      </c>
      <c r="N153" s="14">
        <v>46300.927476851852</v>
      </c>
      <c r="O153" s="15">
        <v>340</v>
      </c>
      <c r="P153" s="13" t="s">
        <v>25</v>
      </c>
      <c r="Q153" s="15">
        <v>190</v>
      </c>
      <c r="R153" s="3" t="str">
        <f>IF(OR(G153="12R",G153="12L"),_xlfn.XLOOKUP(C153,Tabla42[ADEP],Tabla42[SID 12R],""),IF(OR(G153="30L",G153="30R"),_xlfn.XLOOKUP(C153,Tabla42[ADEP],Tabla42[SID 30L],""),""))</f>
        <v>UDGUV</v>
      </c>
      <c r="S153" s="3">
        <f t="shared" si="2"/>
        <v>21</v>
      </c>
      <c r="T153" s="3" t="str">
        <f>_xlfn.XLOOKUP(C153,Tabla42[ADEP],Tabla42[Sector],"")</f>
        <v>Sector 2</v>
      </c>
    </row>
    <row r="154" spans="1:20" x14ac:dyDescent="0.2">
      <c r="A154" s="13" t="s">
        <v>302</v>
      </c>
      <c r="B154" s="13" t="s">
        <v>18</v>
      </c>
      <c r="C154" s="13" t="s">
        <v>303</v>
      </c>
      <c r="D154" s="13" t="s">
        <v>28</v>
      </c>
      <c r="E154" s="13" t="s">
        <v>2268</v>
      </c>
      <c r="F154" s="14">
        <v>46300.881851851853</v>
      </c>
      <c r="G154" s="13" t="s">
        <v>21</v>
      </c>
      <c r="H154" s="13" t="s">
        <v>2269</v>
      </c>
      <c r="I154" s="15">
        <v>340</v>
      </c>
      <c r="J154" s="13" t="s">
        <v>22</v>
      </c>
      <c r="K154" s="13" t="s">
        <v>23</v>
      </c>
      <c r="L154" s="15">
        <v>432</v>
      </c>
      <c r="M154" s="13" t="s">
        <v>189</v>
      </c>
      <c r="N154" s="14">
        <v>46300.906377314815</v>
      </c>
      <c r="O154" s="15">
        <v>360</v>
      </c>
      <c r="P154" s="13" t="s">
        <v>25</v>
      </c>
      <c r="Q154" s="15">
        <v>40</v>
      </c>
      <c r="R154" s="3" t="str">
        <f>IF(OR(G154="12R",G154="12L"),_xlfn.XLOOKUP(C154,Tabla42[ADEP],Tabla42[SID 12R],""),IF(OR(G154="30L",G154="30R"),_xlfn.XLOOKUP(C154,Tabla42[ADEP],Tabla42[SID 30L],""),""))</f>
        <v>OMSUK</v>
      </c>
      <c r="S154" s="3">
        <f t="shared" si="2"/>
        <v>21</v>
      </c>
      <c r="T154" s="3" t="str">
        <f>_xlfn.XLOOKUP(C154,Tabla42[ADEP],Tabla42[Sector],"")</f>
        <v>Sector 3</v>
      </c>
    </row>
    <row r="155" spans="1:20" x14ac:dyDescent="0.2">
      <c r="A155" s="13" t="s">
        <v>475</v>
      </c>
      <c r="B155" s="13" t="s">
        <v>18</v>
      </c>
      <c r="C155" s="13" t="s">
        <v>293</v>
      </c>
      <c r="D155" s="13" t="s">
        <v>28</v>
      </c>
      <c r="E155" s="13" t="s">
        <v>2270</v>
      </c>
      <c r="F155" s="14">
        <v>46300.885509259257</v>
      </c>
      <c r="G155" s="13" t="s">
        <v>21</v>
      </c>
      <c r="H155" s="13" t="s">
        <v>2271</v>
      </c>
      <c r="I155" s="15">
        <v>340</v>
      </c>
      <c r="J155" s="13" t="s">
        <v>22</v>
      </c>
      <c r="K155" s="13" t="s">
        <v>23</v>
      </c>
      <c r="L155" s="15">
        <v>534</v>
      </c>
      <c r="M155" s="13" t="s">
        <v>123</v>
      </c>
      <c r="N155" s="14">
        <v>46300.913287037038</v>
      </c>
      <c r="O155" s="15">
        <v>320</v>
      </c>
      <c r="P155" s="13" t="s">
        <v>25</v>
      </c>
      <c r="Q155" s="15">
        <v>40</v>
      </c>
      <c r="R155" s="3" t="str">
        <f>IF(OR(G155="12R",G155="12L"),_xlfn.XLOOKUP(C155,Tabla42[ADEP],Tabla42[SID 12R],""),IF(OR(G155="30L",G155="30R"),_xlfn.XLOOKUP(C155,Tabla42[ADEP],Tabla42[SID 30L],""),""))</f>
        <v>UDGUV</v>
      </c>
      <c r="S155" s="3">
        <f t="shared" si="2"/>
        <v>21</v>
      </c>
      <c r="T155" s="3" t="str">
        <f>_xlfn.XLOOKUP(C155,Tabla42[ADEP],Tabla42[Sector],"")</f>
        <v>Sector 2</v>
      </c>
    </row>
    <row r="156" spans="1:20" x14ac:dyDescent="0.2">
      <c r="A156" t="s">
        <v>262</v>
      </c>
      <c r="B156" t="s">
        <v>18</v>
      </c>
      <c r="C156" t="s">
        <v>263</v>
      </c>
      <c r="D156" t="s">
        <v>33</v>
      </c>
      <c r="E156" t="s">
        <v>2272</v>
      </c>
      <c r="F156" s="2">
        <v>46300.887048611112</v>
      </c>
      <c r="G156" t="s">
        <v>21</v>
      </c>
      <c r="H156" t="s">
        <v>2273</v>
      </c>
      <c r="I156" s="3">
        <v>350</v>
      </c>
      <c r="J156" t="s">
        <v>22</v>
      </c>
      <c r="K156" t="s">
        <v>23</v>
      </c>
      <c r="L156" s="3">
        <v>355</v>
      </c>
      <c r="M156" t="s">
        <v>30</v>
      </c>
      <c r="N156" s="2">
        <v>46300.907361111109</v>
      </c>
      <c r="O156" s="3">
        <v>350</v>
      </c>
      <c r="P156" t="s">
        <v>25</v>
      </c>
      <c r="Q156" s="3">
        <v>40</v>
      </c>
      <c r="R156" s="3" t="str">
        <f>IF(OR(G156="12R",G156="12L"),_xlfn.XLOOKUP(C156,Tabla42[ADEP],Tabla42[SID 12R],""),IF(OR(G156="30L",G156="30R"),_xlfn.XLOOKUP(C156,Tabla42[ADEP],Tabla42[SID 30L],""),""))</f>
        <v>OMSUK</v>
      </c>
      <c r="S156" s="3">
        <f t="shared" si="2"/>
        <v>21</v>
      </c>
      <c r="T156" s="3" t="str">
        <f>_xlfn.XLOOKUP(C156,Tabla42[ADEP],Tabla42[Sector],"")</f>
        <v>Sector 3</v>
      </c>
    </row>
    <row r="157" spans="1:20" x14ac:dyDescent="0.2">
      <c r="A157" t="s">
        <v>471</v>
      </c>
      <c r="B157" t="s">
        <v>18</v>
      </c>
      <c r="C157" t="s">
        <v>19</v>
      </c>
      <c r="D157" t="s">
        <v>33</v>
      </c>
      <c r="E157" t="s">
        <v>360</v>
      </c>
      <c r="F157" s="2">
        <v>46300.888252314813</v>
      </c>
      <c r="G157" t="s">
        <v>21</v>
      </c>
      <c r="H157" t="s">
        <v>2274</v>
      </c>
      <c r="I157" s="3">
        <v>360</v>
      </c>
      <c r="J157" t="s">
        <v>22</v>
      </c>
      <c r="K157" t="s">
        <v>23</v>
      </c>
      <c r="L157" s="3">
        <v>868</v>
      </c>
      <c r="M157" t="s">
        <v>2275</v>
      </c>
      <c r="N157" s="2">
        <v>46300.934120370373</v>
      </c>
      <c r="O157" s="3">
        <v>360</v>
      </c>
      <c r="P157" t="s">
        <v>25</v>
      </c>
      <c r="Q157" s="3">
        <v>190</v>
      </c>
      <c r="R157" s="3" t="str">
        <f>IF(OR(G157="12R",G157="12L"),_xlfn.XLOOKUP(C157,Tabla42[ADEP],Tabla42[SID 12R],""),IF(OR(G157="30L",G157="30R"),_xlfn.XLOOKUP(C157,Tabla42[ADEP],Tabla42[SID 30L],""),""))</f>
        <v>UDGUV</v>
      </c>
      <c r="S157" s="3">
        <f t="shared" si="2"/>
        <v>21</v>
      </c>
      <c r="T157" s="3" t="str">
        <f>_xlfn.XLOOKUP(C157,Tabla42[ADEP],Tabla42[Sector],"")</f>
        <v>Sector 2</v>
      </c>
    </row>
    <row r="158" spans="1:20" x14ac:dyDescent="0.2">
      <c r="A158" t="s">
        <v>477</v>
      </c>
      <c r="B158" t="s">
        <v>18</v>
      </c>
      <c r="C158" t="s">
        <v>478</v>
      </c>
      <c r="D158" t="s">
        <v>20</v>
      </c>
      <c r="E158" t="s">
        <v>2276</v>
      </c>
      <c r="F158" s="2">
        <v>46300.889502314814</v>
      </c>
      <c r="G158" t="s">
        <v>21</v>
      </c>
      <c r="H158" t="s">
        <v>2277</v>
      </c>
      <c r="I158" s="3">
        <v>340</v>
      </c>
      <c r="J158" t="s">
        <v>22</v>
      </c>
      <c r="K158" t="s">
        <v>23</v>
      </c>
      <c r="L158" s="3">
        <v>535</v>
      </c>
      <c r="M158" t="s">
        <v>123</v>
      </c>
      <c r="N158" s="2">
        <v>46300.916319444441</v>
      </c>
      <c r="O158" s="3">
        <v>300</v>
      </c>
      <c r="P158" t="s">
        <v>25</v>
      </c>
      <c r="Q158" s="3">
        <v>40</v>
      </c>
      <c r="R158" s="3" t="str">
        <f>IF(OR(G158="12R",G158="12L"),_xlfn.XLOOKUP(C158,Tabla42[ADEP],Tabla42[SID 12R],""),IF(OR(G158="30L",G158="30R"),_xlfn.XLOOKUP(C158,Tabla42[ADEP],Tabla42[SID 30L],""),""))</f>
        <v>ENEBA</v>
      </c>
      <c r="S158" s="3">
        <f t="shared" si="2"/>
        <v>21</v>
      </c>
      <c r="T158" s="3" t="str">
        <f>_xlfn.XLOOKUP(C158,Tabla42[ADEP],Tabla42[Sector],"")</f>
        <v>Sector 3</v>
      </c>
    </row>
    <row r="159" spans="1:20" x14ac:dyDescent="0.2">
      <c r="A159" t="s">
        <v>289</v>
      </c>
      <c r="B159" t="s">
        <v>18</v>
      </c>
      <c r="C159" t="s">
        <v>290</v>
      </c>
      <c r="D159" t="s">
        <v>53</v>
      </c>
      <c r="E159" t="s">
        <v>2278</v>
      </c>
      <c r="F159" s="2">
        <v>46300.891296296293</v>
      </c>
      <c r="G159" t="s">
        <v>21</v>
      </c>
      <c r="H159" t="s">
        <v>2279</v>
      </c>
      <c r="I159" s="3">
        <v>350</v>
      </c>
      <c r="J159" t="s">
        <v>22</v>
      </c>
      <c r="K159" t="s">
        <v>23</v>
      </c>
      <c r="L159" s="3">
        <v>219</v>
      </c>
      <c r="M159" t="s">
        <v>55</v>
      </c>
      <c r="N159" s="2">
        <v>46300.904999999999</v>
      </c>
      <c r="O159" s="3">
        <v>308</v>
      </c>
      <c r="P159" t="s">
        <v>25</v>
      </c>
      <c r="Q159" s="3">
        <v>190</v>
      </c>
      <c r="R159" s="3" t="str">
        <f>IF(OR(G159="12R",G159="12L"),_xlfn.XLOOKUP(C159,Tabla42[ADEP],Tabla42[SID 12R],""),IF(OR(G159="30L",G159="30R"),_xlfn.XLOOKUP(C159,Tabla42[ADEP],Tabla42[SID 30L],""),""))</f>
        <v>CZM</v>
      </c>
      <c r="S159" s="3">
        <f t="shared" si="2"/>
        <v>21</v>
      </c>
      <c r="T159" s="3" t="str">
        <f>_xlfn.XLOOKUP(C159,Tabla42[ADEP],Tabla42[Sector],"")</f>
        <v>Sector 7</v>
      </c>
    </row>
    <row r="160" spans="1:20" x14ac:dyDescent="0.2">
      <c r="A160" t="s">
        <v>495</v>
      </c>
      <c r="B160" t="s">
        <v>18</v>
      </c>
      <c r="C160" t="s">
        <v>2280</v>
      </c>
      <c r="D160" t="s">
        <v>458</v>
      </c>
      <c r="F160" s="2">
        <v>46300.893553240741</v>
      </c>
      <c r="G160" t="s">
        <v>21</v>
      </c>
      <c r="H160" t="s">
        <v>155</v>
      </c>
      <c r="I160" s="3">
        <v>15</v>
      </c>
      <c r="J160" t="s">
        <v>130</v>
      </c>
      <c r="K160" t="s">
        <v>50</v>
      </c>
      <c r="L160" s="3">
        <v>51</v>
      </c>
      <c r="M160" t="s">
        <v>2280</v>
      </c>
      <c r="N160" s="2">
        <v>46300.902499999997</v>
      </c>
      <c r="O160" s="3">
        <v>0</v>
      </c>
      <c r="P160" t="s">
        <v>129</v>
      </c>
      <c r="Q160" s="3">
        <v>15</v>
      </c>
      <c r="R160" s="3" t="str">
        <f>IF(OR(G160="12R",G160="12L"),_xlfn.XLOOKUP(C160,Tabla42[ADEP],Tabla42[SID 12R],""),IF(OR(G160="30L",G160="30R"),_xlfn.XLOOKUP(C160,Tabla42[ADEP],Tabla42[SID 30L],""),""))</f>
        <v/>
      </c>
      <c r="S160" s="3">
        <f t="shared" si="2"/>
        <v>21</v>
      </c>
      <c r="T160" s="3" t="str">
        <f>_xlfn.XLOOKUP(C160,Tabla42[ADEP],Tabla42[Sector],"")</f>
        <v/>
      </c>
    </row>
    <row r="161" spans="1:20" x14ac:dyDescent="0.2">
      <c r="A161" t="s">
        <v>299</v>
      </c>
      <c r="B161" t="s">
        <v>18</v>
      </c>
      <c r="C161" t="s">
        <v>300</v>
      </c>
      <c r="D161" t="s">
        <v>117</v>
      </c>
      <c r="E161" t="s">
        <v>2281</v>
      </c>
      <c r="F161" s="2">
        <v>46300.895138888889</v>
      </c>
      <c r="G161" t="s">
        <v>21</v>
      </c>
      <c r="H161" t="s">
        <v>2282</v>
      </c>
      <c r="I161" s="3">
        <v>320</v>
      </c>
      <c r="J161" t="s">
        <v>22</v>
      </c>
      <c r="K161" t="s">
        <v>23</v>
      </c>
      <c r="L161" s="3">
        <v>489</v>
      </c>
      <c r="M161" t="s">
        <v>2283</v>
      </c>
      <c r="N161" s="2">
        <v>46300.920474537037</v>
      </c>
      <c r="O161" s="3">
        <v>320</v>
      </c>
      <c r="P161" t="s">
        <v>25</v>
      </c>
      <c r="Q161" s="3">
        <v>40</v>
      </c>
      <c r="R161" s="3" t="str">
        <f>IF(OR(G161="12R",G161="12L"),_xlfn.XLOOKUP(C161,Tabla42[ADEP],Tabla42[SID 12R],""),IF(OR(G161="30L",G161="30R"),_xlfn.XLOOKUP(C161,Tabla42[ADEP],Tabla42[SID 30L],""),""))</f>
        <v>OMSUK</v>
      </c>
      <c r="S161" s="3">
        <f t="shared" si="2"/>
        <v>21</v>
      </c>
      <c r="T161" s="3" t="str">
        <f>_xlfn.XLOOKUP(C161,Tabla42[ADEP],Tabla42[Sector],"")</f>
        <v>Sector 3</v>
      </c>
    </row>
    <row r="162" spans="1:20" x14ac:dyDescent="0.2">
      <c r="A162" t="s">
        <v>315</v>
      </c>
      <c r="B162" t="s">
        <v>18</v>
      </c>
      <c r="C162" t="s">
        <v>96</v>
      </c>
      <c r="D162" t="s">
        <v>60</v>
      </c>
      <c r="E162" t="s">
        <v>641</v>
      </c>
      <c r="F162" s="2">
        <v>46300.896770833337</v>
      </c>
      <c r="G162" t="s">
        <v>21</v>
      </c>
      <c r="H162" t="s">
        <v>2284</v>
      </c>
      <c r="I162" s="3">
        <v>340</v>
      </c>
      <c r="J162" t="s">
        <v>22</v>
      </c>
      <c r="K162" t="s">
        <v>141</v>
      </c>
      <c r="L162" s="3">
        <v>861</v>
      </c>
      <c r="M162" t="s">
        <v>45</v>
      </c>
      <c r="N162" s="2">
        <v>46300.941562499997</v>
      </c>
      <c r="O162" s="3">
        <v>340</v>
      </c>
      <c r="P162" t="s">
        <v>25</v>
      </c>
      <c r="Q162" s="3">
        <v>190</v>
      </c>
      <c r="R162" s="3" t="str">
        <f>IF(OR(G162="12R",G162="12L"),_xlfn.XLOOKUP(C162,Tabla42[ADEP],Tabla42[SID 12R],""),IF(OR(G162="30L",G162="30R"),_xlfn.XLOOKUP(C162,Tabla42[ADEP],Tabla42[SID 30L],""),""))</f>
        <v>UDGUV</v>
      </c>
      <c r="S162" s="3">
        <f t="shared" si="2"/>
        <v>21</v>
      </c>
      <c r="T162" s="3" t="str">
        <f>_xlfn.XLOOKUP(C162,Tabla42[ADEP],Tabla42[Sector],"")</f>
        <v>Sector 2</v>
      </c>
    </row>
    <row r="163" spans="1:20" x14ac:dyDescent="0.2">
      <c r="A163" t="s">
        <v>2076</v>
      </c>
      <c r="B163" t="s">
        <v>18</v>
      </c>
      <c r="C163" t="s">
        <v>18</v>
      </c>
      <c r="D163" t="s">
        <v>2077</v>
      </c>
      <c r="F163" s="2">
        <v>46300.898645833331</v>
      </c>
      <c r="G163" t="s">
        <v>21</v>
      </c>
      <c r="H163" t="s">
        <v>2285</v>
      </c>
      <c r="I163" s="3">
        <v>15</v>
      </c>
      <c r="J163" t="s">
        <v>130</v>
      </c>
      <c r="K163" t="s">
        <v>50</v>
      </c>
      <c r="L163" s="3">
        <v>44</v>
      </c>
      <c r="M163" t="s">
        <v>18</v>
      </c>
      <c r="N163" s="2">
        <v>46300.925000000003</v>
      </c>
      <c r="O163" s="3">
        <v>0</v>
      </c>
      <c r="P163" t="s">
        <v>129</v>
      </c>
      <c r="Q163" s="3">
        <v>15</v>
      </c>
      <c r="R163" s="3" t="str">
        <f>IF(OR(G163="12R",G163="12L"),_xlfn.XLOOKUP(C163,Tabla42[ADEP],Tabla42[SID 12R],""),IF(OR(G163="30L",G163="30R"),_xlfn.XLOOKUP(C163,Tabla42[ADEP],Tabla42[SID 30L],""),""))</f>
        <v/>
      </c>
      <c r="S163" s="3">
        <f t="shared" si="2"/>
        <v>21</v>
      </c>
      <c r="T163" s="3" t="str">
        <f>_xlfn.XLOOKUP(C163,Tabla42[ADEP],Tabla42[Sector],"")</f>
        <v/>
      </c>
    </row>
    <row r="164" spans="1:20" x14ac:dyDescent="0.2">
      <c r="A164" t="s">
        <v>480</v>
      </c>
      <c r="B164" t="s">
        <v>18</v>
      </c>
      <c r="C164" t="s">
        <v>164</v>
      </c>
      <c r="D164" t="s">
        <v>43</v>
      </c>
      <c r="E164" t="s">
        <v>2286</v>
      </c>
      <c r="F164" s="2">
        <v>46300.90042824074</v>
      </c>
      <c r="G164" t="s">
        <v>21</v>
      </c>
      <c r="H164" t="s">
        <v>2287</v>
      </c>
      <c r="I164" s="3">
        <v>330</v>
      </c>
      <c r="J164" t="s">
        <v>22</v>
      </c>
      <c r="K164" t="s">
        <v>23</v>
      </c>
      <c r="L164" s="3">
        <v>362</v>
      </c>
      <c r="M164" t="s">
        <v>30</v>
      </c>
      <c r="N164" s="2">
        <v>46300.921770833331</v>
      </c>
      <c r="O164" s="3">
        <v>330</v>
      </c>
      <c r="P164" t="s">
        <v>25</v>
      </c>
      <c r="Q164" s="3">
        <v>40</v>
      </c>
      <c r="R164" s="3" t="str">
        <f>IF(OR(G164="12R",G164="12L"),_xlfn.XLOOKUP(C164,Tabla42[ADEP],Tabla42[SID 12R],""),IF(OR(G164="30L",G164="30R"),_xlfn.XLOOKUP(C164,Tabla42[ADEP],Tabla42[SID 30L],""),""))</f>
        <v>OMSUK</v>
      </c>
      <c r="S164" s="3">
        <f t="shared" si="2"/>
        <v>21</v>
      </c>
      <c r="T164" s="3" t="str">
        <f>_xlfn.XLOOKUP(C164,Tabla42[ADEP],Tabla42[Sector],"")</f>
        <v>Sector 3</v>
      </c>
    </row>
    <row r="165" spans="1:20" x14ac:dyDescent="0.2">
      <c r="A165" t="s">
        <v>301</v>
      </c>
      <c r="B165" t="s">
        <v>18</v>
      </c>
      <c r="C165" t="s">
        <v>32</v>
      </c>
      <c r="D165" t="s">
        <v>53</v>
      </c>
      <c r="E165" t="s">
        <v>277</v>
      </c>
      <c r="F165" s="2">
        <v>46300.901655092595</v>
      </c>
      <c r="G165" t="s">
        <v>21</v>
      </c>
      <c r="H165" t="s">
        <v>2288</v>
      </c>
      <c r="I165" s="3">
        <v>360</v>
      </c>
      <c r="J165" t="s">
        <v>22</v>
      </c>
      <c r="K165" t="s">
        <v>23</v>
      </c>
      <c r="L165" s="3">
        <v>912</v>
      </c>
      <c r="M165" t="s">
        <v>2289</v>
      </c>
      <c r="N165" s="2">
        <v>46300.947962962964</v>
      </c>
      <c r="O165" s="3">
        <v>360</v>
      </c>
      <c r="P165" t="s">
        <v>25</v>
      </c>
      <c r="Q165" s="3">
        <v>190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t="s">
        <v>296</v>
      </c>
      <c r="B166" t="s">
        <v>18</v>
      </c>
      <c r="C166" t="s">
        <v>121</v>
      </c>
      <c r="D166" t="s">
        <v>122</v>
      </c>
      <c r="E166" t="s">
        <v>2290</v>
      </c>
      <c r="F166" s="2">
        <v>46300.902604166666</v>
      </c>
      <c r="G166" t="s">
        <v>21</v>
      </c>
      <c r="H166" t="s">
        <v>2291</v>
      </c>
      <c r="I166" s="3">
        <v>360</v>
      </c>
      <c r="J166" t="s">
        <v>22</v>
      </c>
      <c r="K166" t="s">
        <v>23</v>
      </c>
      <c r="L166" s="3">
        <v>538</v>
      </c>
      <c r="M166" t="s">
        <v>123</v>
      </c>
      <c r="N166" s="2">
        <v>46300.931539351855</v>
      </c>
      <c r="O166" s="3">
        <v>380</v>
      </c>
      <c r="P166" t="s">
        <v>25</v>
      </c>
      <c r="Q166" s="3">
        <v>40</v>
      </c>
      <c r="R166" s="3" t="str">
        <f>IF(OR(G166="12R",G166="12L"),_xlfn.XLOOKUP(C166,Tabla42[ADEP],Tabla42[SID 12R],""),IF(OR(G166="30L",G166="30R"),_xlfn.XLOOKUP(C166,Tabla42[ADEP],Tabla42[SID 30L],""),""))</f>
        <v>ENEBA</v>
      </c>
      <c r="S166" s="3">
        <f t="shared" si="2"/>
        <v>21</v>
      </c>
      <c r="T166" s="3" t="str">
        <f>_xlfn.XLOOKUP(C166,Tabla42[ADEP],Tabla42[Sector],"")</f>
        <v>Sector 3</v>
      </c>
    </row>
    <row r="167" spans="1:20" x14ac:dyDescent="0.2">
      <c r="A167" t="s">
        <v>1280</v>
      </c>
      <c r="B167" t="s">
        <v>18</v>
      </c>
      <c r="C167" t="s">
        <v>742</v>
      </c>
      <c r="D167" t="s">
        <v>28</v>
      </c>
      <c r="E167" t="s">
        <v>2292</v>
      </c>
      <c r="F167" s="2">
        <v>46300.903981481482</v>
      </c>
      <c r="G167" t="s">
        <v>21</v>
      </c>
      <c r="H167" t="s">
        <v>2293</v>
      </c>
      <c r="I167" s="3">
        <v>340</v>
      </c>
      <c r="J167" t="s">
        <v>22</v>
      </c>
      <c r="K167" t="s">
        <v>23</v>
      </c>
      <c r="L167" s="3">
        <v>547</v>
      </c>
      <c r="M167" t="s">
        <v>123</v>
      </c>
      <c r="N167" s="2">
        <v>46300.93346064815</v>
      </c>
      <c r="O167" s="3">
        <v>340</v>
      </c>
      <c r="P167" t="s">
        <v>25</v>
      </c>
      <c r="Q167" s="3">
        <v>40</v>
      </c>
      <c r="R167" s="3" t="str">
        <f>IF(OR(G167="12R",G167="12L"),_xlfn.XLOOKUP(C167,Tabla42[ADEP],Tabla42[SID 12R],""),IF(OR(G167="30L",G167="30R"),_xlfn.XLOOKUP(C167,Tabla42[ADEP],Tabla42[SID 30L],""),""))</f>
        <v>UDGUV</v>
      </c>
      <c r="S167" s="3">
        <f t="shared" si="2"/>
        <v>21</v>
      </c>
      <c r="T167" s="3" t="str">
        <f>_xlfn.XLOOKUP(C167,Tabla42[ADEP],Tabla42[Sector],"")</f>
        <v>Sector 2</v>
      </c>
    </row>
    <row r="168" spans="1:20" x14ac:dyDescent="0.2">
      <c r="A168" t="s">
        <v>2294</v>
      </c>
      <c r="B168" t="s">
        <v>18</v>
      </c>
      <c r="C168" t="s">
        <v>297</v>
      </c>
      <c r="D168" t="s">
        <v>340</v>
      </c>
      <c r="E168" t="s">
        <v>404</v>
      </c>
      <c r="F168" s="2">
        <v>46300.905416666668</v>
      </c>
      <c r="G168" t="s">
        <v>21</v>
      </c>
      <c r="H168" t="s">
        <v>2295</v>
      </c>
      <c r="I168" s="3">
        <v>390</v>
      </c>
      <c r="J168" t="s">
        <v>22</v>
      </c>
      <c r="K168" t="s">
        <v>23</v>
      </c>
      <c r="L168" s="3">
        <v>136</v>
      </c>
      <c r="M168" t="s">
        <v>39</v>
      </c>
      <c r="N168" s="2">
        <v>46300.915000000001</v>
      </c>
      <c r="O168" s="3">
        <v>246</v>
      </c>
      <c r="P168" t="s">
        <v>40</v>
      </c>
      <c r="Q168" s="3">
        <v>190</v>
      </c>
      <c r="R168" s="3" t="str">
        <f>IF(OR(G168="12R",G168="12L"),_xlfn.XLOOKUP(C168,Tabla42[ADEP],Tabla42[SID 12R],""),IF(OR(G168="30L",G168="30R"),_xlfn.XLOOKUP(C168,Tabla42[ADEP],Tabla42[SID 30L],""),""))</f>
        <v>NUDAL</v>
      </c>
      <c r="S168" s="3">
        <f t="shared" si="2"/>
        <v>21</v>
      </c>
      <c r="T168" s="3" t="str">
        <f>_xlfn.XLOOKUP(C168,Tabla42[ADEP],Tabla42[Sector],"")</f>
        <v>Sector 3</v>
      </c>
    </row>
    <row r="169" spans="1:20" x14ac:dyDescent="0.2">
      <c r="A169" t="s">
        <v>311</v>
      </c>
      <c r="B169" t="s">
        <v>18</v>
      </c>
      <c r="C169" t="s">
        <v>109</v>
      </c>
      <c r="D169" t="s">
        <v>28</v>
      </c>
      <c r="E169" t="s">
        <v>2296</v>
      </c>
      <c r="F169" s="2">
        <v>46300.91101851852</v>
      </c>
      <c r="G169" t="s">
        <v>21</v>
      </c>
      <c r="H169" t="s">
        <v>2297</v>
      </c>
      <c r="I169" s="3">
        <v>370</v>
      </c>
      <c r="J169" t="s">
        <v>22</v>
      </c>
      <c r="K169" t="s">
        <v>23</v>
      </c>
      <c r="L169" s="3">
        <v>153</v>
      </c>
      <c r="M169" t="s">
        <v>111</v>
      </c>
      <c r="N169" s="2">
        <v>46300.921782407408</v>
      </c>
      <c r="O169" s="3">
        <v>261</v>
      </c>
      <c r="P169" t="s">
        <v>25</v>
      </c>
      <c r="Q169" s="3">
        <v>190</v>
      </c>
      <c r="R169" s="3" t="str">
        <f>IF(OR(G169="12R",G169="12L"),_xlfn.XLOOKUP(C169,Tabla42[ADEP],Tabla42[SID 12R],""),IF(OR(G169="30L",G169="30R"),_xlfn.XLOOKUP(C169,Tabla42[ADEP],Tabla42[SID 30L],""),""))</f>
        <v>TAKUX</v>
      </c>
      <c r="S169" s="3">
        <f t="shared" si="2"/>
        <v>21</v>
      </c>
      <c r="T169" s="3" t="str">
        <f>_xlfn.XLOOKUP(C169,Tabla42[ADEP],Tabla42[Sector],"")</f>
        <v>Sector 7</v>
      </c>
    </row>
    <row r="170" spans="1:20" x14ac:dyDescent="0.2">
      <c r="A170" t="s">
        <v>312</v>
      </c>
      <c r="B170" t="s">
        <v>18</v>
      </c>
      <c r="C170" t="s">
        <v>204</v>
      </c>
      <c r="D170" t="s">
        <v>53</v>
      </c>
      <c r="E170" t="s">
        <v>1643</v>
      </c>
      <c r="F170" s="2">
        <v>46300.917199074072</v>
      </c>
      <c r="G170" t="s">
        <v>21</v>
      </c>
      <c r="H170" t="s">
        <v>2298</v>
      </c>
      <c r="I170" s="3">
        <v>350</v>
      </c>
      <c r="J170" t="s">
        <v>22</v>
      </c>
      <c r="K170" t="s">
        <v>23</v>
      </c>
      <c r="L170" s="3">
        <v>150</v>
      </c>
      <c r="M170" t="s">
        <v>111</v>
      </c>
      <c r="N170" s="2">
        <v>46300.927083333336</v>
      </c>
      <c r="O170" s="3">
        <v>268</v>
      </c>
      <c r="P170" t="s">
        <v>25</v>
      </c>
      <c r="Q170" s="3">
        <v>190</v>
      </c>
      <c r="R170" s="3" t="str">
        <f>IF(OR(G170="12R",G170="12L"),_xlfn.XLOOKUP(C170,Tabla42[ADEP],Tabla42[SID 12R],""),IF(OR(G170="30L",G170="30R"),_xlfn.XLOOKUP(C170,Tabla42[ADEP],Tabla42[SID 30L],""),""))</f>
        <v>TAKUX</v>
      </c>
      <c r="S170" s="3">
        <f t="shared" si="2"/>
        <v>22</v>
      </c>
      <c r="T170" s="3" t="str">
        <f>_xlfn.XLOOKUP(C170,Tabla42[ADEP],Tabla42[Sector],"")</f>
        <v>Sector 7</v>
      </c>
    </row>
    <row r="171" spans="1:20" x14ac:dyDescent="0.2">
      <c r="A171" t="s">
        <v>313</v>
      </c>
      <c r="B171" t="s">
        <v>18</v>
      </c>
      <c r="C171" t="s">
        <v>73</v>
      </c>
      <c r="D171" t="s">
        <v>53</v>
      </c>
      <c r="E171" t="s">
        <v>393</v>
      </c>
      <c r="F171" s="2">
        <v>46300.9219212963</v>
      </c>
      <c r="G171" t="s">
        <v>21</v>
      </c>
      <c r="H171" t="s">
        <v>2299</v>
      </c>
      <c r="I171" s="3">
        <v>360</v>
      </c>
      <c r="J171" t="s">
        <v>22</v>
      </c>
      <c r="K171" t="s">
        <v>23</v>
      </c>
      <c r="L171" s="3">
        <v>721</v>
      </c>
      <c r="M171" t="s">
        <v>73</v>
      </c>
      <c r="N171" s="2">
        <v>46300.967858796299</v>
      </c>
      <c r="O171" s="3">
        <v>0</v>
      </c>
      <c r="P171" t="s">
        <v>25</v>
      </c>
      <c r="Q171" s="3">
        <v>190</v>
      </c>
      <c r="R171" s="3" t="str">
        <f>IF(OR(G171="12R",G171="12L"),_xlfn.XLOOKUP(C171,Tabla42[ADEP],Tabla42[SID 12R],""),IF(OR(G171="30L",G171="30R"),_xlfn.XLOOKUP(C171,Tabla42[ADEP],Tabla42[SID 30L],""),""))</f>
        <v>UDGUV</v>
      </c>
      <c r="S171" s="3">
        <f t="shared" si="2"/>
        <v>22</v>
      </c>
      <c r="T171" s="3" t="str">
        <f>_xlfn.XLOOKUP(C171,Tabla42[ADEP],Tabla42[Sector],"")</f>
        <v>Sector 2</v>
      </c>
    </row>
    <row r="172" spans="1:20" x14ac:dyDescent="0.2">
      <c r="A172" t="s">
        <v>291</v>
      </c>
      <c r="B172" t="s">
        <v>18</v>
      </c>
      <c r="C172" t="s">
        <v>209</v>
      </c>
      <c r="D172" t="s">
        <v>110</v>
      </c>
      <c r="E172" t="s">
        <v>381</v>
      </c>
      <c r="F172" s="2">
        <v>46300.92291666667</v>
      </c>
      <c r="G172" t="s">
        <v>21</v>
      </c>
      <c r="H172" t="s">
        <v>2300</v>
      </c>
      <c r="I172" s="3">
        <v>380</v>
      </c>
      <c r="J172" t="s">
        <v>22</v>
      </c>
      <c r="K172" t="s">
        <v>23</v>
      </c>
      <c r="L172" s="3">
        <v>528</v>
      </c>
      <c r="M172" t="s">
        <v>2301</v>
      </c>
      <c r="N172" s="2">
        <v>46300.950914351852</v>
      </c>
      <c r="O172" s="3">
        <v>385</v>
      </c>
      <c r="P172" t="s">
        <v>25</v>
      </c>
      <c r="Q172" s="3">
        <v>40</v>
      </c>
      <c r="R172" s="3" t="str">
        <f>IF(OR(G172="12R",G172="12L"),_xlfn.XLOOKUP(C172,Tabla42[ADEP],Tabla42[SID 12R],""),IF(OR(G172="30L",G172="30R"),_xlfn.XLOOKUP(C172,Tabla42[ADEP],Tabla42[SID 30L],""),""))</f>
        <v>ENEBA</v>
      </c>
      <c r="S172" s="3">
        <f t="shared" si="2"/>
        <v>22</v>
      </c>
      <c r="T172" s="3" t="str">
        <f>_xlfn.XLOOKUP(C172,Tabla42[ADEP],Tabla42[Sector],"")</f>
        <v>Sector 3</v>
      </c>
    </row>
    <row r="173" spans="1:20" x14ac:dyDescent="0.2">
      <c r="A173" t="s">
        <v>308</v>
      </c>
      <c r="B173" t="s">
        <v>18</v>
      </c>
      <c r="C173" t="s">
        <v>137</v>
      </c>
      <c r="D173" t="s">
        <v>28</v>
      </c>
      <c r="E173" t="s">
        <v>2302</v>
      </c>
      <c r="F173" s="2">
        <v>46300.937430555554</v>
      </c>
      <c r="G173" t="s">
        <v>21</v>
      </c>
      <c r="H173" t="s">
        <v>386</v>
      </c>
      <c r="I173" s="3">
        <v>370</v>
      </c>
      <c r="J173" t="s">
        <v>22</v>
      </c>
      <c r="K173" t="s">
        <v>23</v>
      </c>
      <c r="L173" s="3">
        <v>136</v>
      </c>
      <c r="M173" t="s">
        <v>39</v>
      </c>
      <c r="N173" s="2">
        <v>46300.946435185186</v>
      </c>
      <c r="O173" s="3">
        <v>225</v>
      </c>
      <c r="P173" t="s">
        <v>25</v>
      </c>
      <c r="Q173" s="3">
        <v>190</v>
      </c>
      <c r="R173" s="3" t="str">
        <f>IF(OR(G173="12R",G173="12L"),_xlfn.XLOOKUP(C173,Tabla42[ADEP],Tabla42[SID 12R],""),IF(OR(G173="30L",G173="30R"),_xlfn.XLOOKUP(C173,Tabla42[ADEP],Tabla42[SID 30L],""),""))</f>
        <v>NUDAL</v>
      </c>
      <c r="S173" s="3">
        <f t="shared" si="2"/>
        <v>22</v>
      </c>
      <c r="T173" s="3" t="str">
        <f>_xlfn.XLOOKUP(C173,Tabla42[ADEP],Tabla42[Sector],"")</f>
        <v>Sector 3</v>
      </c>
    </row>
    <row r="174" spans="1:20" x14ac:dyDescent="0.2">
      <c r="A174" t="s">
        <v>314</v>
      </c>
      <c r="B174" t="s">
        <v>18</v>
      </c>
      <c r="C174" t="s">
        <v>179</v>
      </c>
      <c r="D174" t="s">
        <v>53</v>
      </c>
      <c r="E174" t="s">
        <v>675</v>
      </c>
      <c r="F174" s="2">
        <v>46300.940937500003</v>
      </c>
      <c r="G174" t="s">
        <v>21</v>
      </c>
      <c r="H174" t="s">
        <v>2303</v>
      </c>
      <c r="I174" s="3">
        <v>380</v>
      </c>
      <c r="J174" t="s">
        <v>22</v>
      </c>
      <c r="K174" t="s">
        <v>23</v>
      </c>
      <c r="L174" s="3">
        <v>851</v>
      </c>
      <c r="M174" t="s">
        <v>179</v>
      </c>
      <c r="N174" s="2">
        <v>46300.995416666665</v>
      </c>
      <c r="O174" s="3">
        <v>15</v>
      </c>
      <c r="P174" t="s">
        <v>25</v>
      </c>
      <c r="Q174" s="3">
        <v>190</v>
      </c>
      <c r="R174" s="3" t="str">
        <f>IF(OR(G174="12R",G174="12L"),_xlfn.XLOOKUP(C174,Tabla42[ADEP],Tabla42[SID 12R],""),IF(OR(G174="30L",G174="30R"),_xlfn.XLOOKUP(C174,Tabla42[ADEP],Tabla42[SID 30L],""),""))</f>
        <v>UDGUV</v>
      </c>
      <c r="S174" s="3">
        <f t="shared" si="2"/>
        <v>22</v>
      </c>
      <c r="T174" s="3" t="str">
        <f>_xlfn.XLOOKUP(C174,Tabla42[ADEP],Tabla42[Sector],"")</f>
        <v>Sector 2</v>
      </c>
    </row>
    <row r="175" spans="1:20" x14ac:dyDescent="0.2">
      <c r="A175" t="s">
        <v>409</v>
      </c>
      <c r="B175" t="s">
        <v>18</v>
      </c>
      <c r="C175" t="s">
        <v>254</v>
      </c>
      <c r="D175" t="s">
        <v>53</v>
      </c>
      <c r="E175" t="s">
        <v>610</v>
      </c>
      <c r="F175" s="2">
        <v>46300.942916666667</v>
      </c>
      <c r="G175" t="s">
        <v>21</v>
      </c>
      <c r="H175" t="s">
        <v>2304</v>
      </c>
      <c r="I175" s="3">
        <v>380</v>
      </c>
      <c r="J175" t="s">
        <v>22</v>
      </c>
      <c r="K175" t="s">
        <v>23</v>
      </c>
      <c r="L175" s="3">
        <v>867</v>
      </c>
      <c r="M175" t="s">
        <v>2305</v>
      </c>
      <c r="N175" s="2">
        <v>46300.988518518519</v>
      </c>
      <c r="O175" s="3">
        <v>380</v>
      </c>
      <c r="P175" t="s">
        <v>25</v>
      </c>
      <c r="Q175" s="3">
        <v>190</v>
      </c>
      <c r="R175" s="3" t="str">
        <f>IF(OR(G175="12R",G175="12L"),_xlfn.XLOOKUP(C175,Tabla42[ADEP],Tabla42[SID 12R],""),IF(OR(G175="30L",G175="30R"),_xlfn.XLOOKUP(C175,Tabla42[ADEP],Tabla42[SID 30L],""),""))</f>
        <v>UDGUV</v>
      </c>
      <c r="S175" s="3">
        <f t="shared" si="2"/>
        <v>22</v>
      </c>
      <c r="T175" s="3" t="str">
        <f>_xlfn.XLOOKUP(C175,Tabla42[ADEP],Tabla42[Sector],"")</f>
        <v>Sector 2</v>
      </c>
    </row>
    <row r="176" spans="1:20" x14ac:dyDescent="0.2">
      <c r="A176" t="s">
        <v>319</v>
      </c>
      <c r="B176" t="s">
        <v>18</v>
      </c>
      <c r="C176" t="s">
        <v>320</v>
      </c>
      <c r="D176" t="s">
        <v>53</v>
      </c>
      <c r="E176" t="s">
        <v>516</v>
      </c>
      <c r="F176" s="2">
        <v>46300.94871527778</v>
      </c>
      <c r="G176" t="s">
        <v>21</v>
      </c>
      <c r="H176" t="s">
        <v>2306</v>
      </c>
      <c r="I176" s="3">
        <v>380</v>
      </c>
      <c r="J176" t="s">
        <v>22</v>
      </c>
      <c r="K176" t="s">
        <v>23</v>
      </c>
      <c r="L176" s="3">
        <v>865</v>
      </c>
      <c r="M176" t="s">
        <v>167</v>
      </c>
      <c r="N176" s="2">
        <v>46300.994502314818</v>
      </c>
      <c r="O176" s="3">
        <v>380</v>
      </c>
      <c r="P176" t="s">
        <v>25</v>
      </c>
      <c r="Q176" s="3">
        <v>190</v>
      </c>
      <c r="R176" s="3" t="str">
        <f>IF(OR(G176="12R",G176="12L"),_xlfn.XLOOKUP(C176,Tabla42[ADEP],Tabla42[SID 12R],""),IF(OR(G176="30L",G176="30R"),_xlfn.XLOOKUP(C176,Tabla42[ADEP],Tabla42[SID 30L],""),""))</f>
        <v>UDGUV</v>
      </c>
      <c r="S176" s="3">
        <f t="shared" si="2"/>
        <v>22</v>
      </c>
      <c r="T176" s="3" t="str">
        <f>_xlfn.XLOOKUP(C176,Tabla42[ADEP],Tabla42[Sector],"")</f>
        <v>Sector 2</v>
      </c>
    </row>
    <row r="177" spans="1:20" x14ac:dyDescent="0.2">
      <c r="A177" t="s">
        <v>318</v>
      </c>
      <c r="B177" t="s">
        <v>18</v>
      </c>
      <c r="C177" t="s">
        <v>116</v>
      </c>
      <c r="D177" t="s">
        <v>43</v>
      </c>
      <c r="E177" t="s">
        <v>2307</v>
      </c>
      <c r="F177" s="2">
        <v>46300.949502314812</v>
      </c>
      <c r="G177" t="s">
        <v>21</v>
      </c>
      <c r="H177" t="s">
        <v>2308</v>
      </c>
      <c r="I177" s="3">
        <v>340</v>
      </c>
      <c r="J177" t="s">
        <v>22</v>
      </c>
      <c r="K177" t="s">
        <v>23</v>
      </c>
      <c r="L177" s="3">
        <v>535</v>
      </c>
      <c r="M177" t="s">
        <v>123</v>
      </c>
      <c r="N177" s="2">
        <v>46300.978726851848</v>
      </c>
      <c r="O177" s="3">
        <v>360</v>
      </c>
      <c r="P177" t="s">
        <v>25</v>
      </c>
      <c r="Q177" s="3">
        <v>40</v>
      </c>
      <c r="R177" s="3" t="str">
        <f>IF(OR(G177="12R",G177="12L"),_xlfn.XLOOKUP(C177,Tabla42[ADEP],Tabla42[SID 12R],""),IF(OR(G177="30L",G177="30R"),_xlfn.XLOOKUP(C177,Tabla42[ADEP],Tabla42[SID 30L],""),""))</f>
        <v>ENEBA</v>
      </c>
      <c r="S177" s="3">
        <f t="shared" si="2"/>
        <v>22</v>
      </c>
      <c r="T177" s="3" t="str">
        <f>_xlfn.XLOOKUP(C177,Tabla42[ADEP],Tabla42[Sector],"")</f>
        <v>Sector 3</v>
      </c>
    </row>
    <row r="178" spans="1:20" x14ac:dyDescent="0.2">
      <c r="A178" t="s">
        <v>2309</v>
      </c>
      <c r="B178" t="s">
        <v>18</v>
      </c>
      <c r="C178" t="s">
        <v>47</v>
      </c>
      <c r="D178" t="s">
        <v>340</v>
      </c>
      <c r="E178" t="s">
        <v>2310</v>
      </c>
      <c r="F178" s="2">
        <v>46300.950983796298</v>
      </c>
      <c r="G178" t="s">
        <v>21</v>
      </c>
      <c r="H178" t="s">
        <v>2311</v>
      </c>
      <c r="I178" s="3">
        <v>390</v>
      </c>
      <c r="J178" t="s">
        <v>22</v>
      </c>
      <c r="K178" t="s">
        <v>23</v>
      </c>
      <c r="L178" s="3">
        <v>360</v>
      </c>
      <c r="M178" t="s">
        <v>30</v>
      </c>
      <c r="N178" s="2">
        <v>46300.970659722225</v>
      </c>
      <c r="O178" s="3">
        <v>390</v>
      </c>
      <c r="P178" t="s">
        <v>40</v>
      </c>
      <c r="Q178" s="3">
        <v>40</v>
      </c>
      <c r="R178" s="3" t="str">
        <f>IF(OR(G178="12R",G178="12L"),_xlfn.XLOOKUP(C178,Tabla42[ADEP],Tabla42[SID 12R],""),IF(OR(G178="30L",G178="30R"),_xlfn.XLOOKUP(C178,Tabla42[ADEP],Tabla42[SID 30L],""),""))</f>
        <v>NUDAL</v>
      </c>
      <c r="S178" s="3">
        <f t="shared" si="2"/>
        <v>22</v>
      </c>
      <c r="T178" s="3" t="str">
        <f>_xlfn.XLOOKUP(C178,Tabla42[ADEP],Tabla42[Sector],"")</f>
        <v>Sector 3</v>
      </c>
    </row>
    <row r="179" spans="1:20" x14ac:dyDescent="0.2">
      <c r="A179" t="s">
        <v>2312</v>
      </c>
      <c r="B179" t="s">
        <v>18</v>
      </c>
      <c r="C179" t="s">
        <v>396</v>
      </c>
      <c r="D179" t="s">
        <v>397</v>
      </c>
      <c r="E179" t="s">
        <v>2313</v>
      </c>
      <c r="F179" s="2">
        <v>46300.955370370371</v>
      </c>
      <c r="G179" t="s">
        <v>21</v>
      </c>
      <c r="H179" t="s">
        <v>2314</v>
      </c>
      <c r="I179" s="3">
        <v>390</v>
      </c>
      <c r="J179" t="s">
        <v>22</v>
      </c>
      <c r="K179" t="s">
        <v>23</v>
      </c>
      <c r="L179" s="3">
        <v>151</v>
      </c>
      <c r="M179" t="s">
        <v>111</v>
      </c>
      <c r="N179" s="2">
        <v>46300.965289351851</v>
      </c>
      <c r="O179" s="3">
        <v>255</v>
      </c>
      <c r="P179" t="s">
        <v>40</v>
      </c>
      <c r="Q179" s="3">
        <v>190</v>
      </c>
      <c r="R179" s="3" t="str">
        <f>IF(OR(G179="12R",G179="12L"),_xlfn.XLOOKUP(C179,Tabla42[ADEP],Tabla42[SID 12R],""),IF(OR(G179="30L",G179="30R"),_xlfn.XLOOKUP(C179,Tabla42[ADEP],Tabla42[SID 30L],""),""))</f>
        <v>CZM</v>
      </c>
      <c r="S179" s="3">
        <f t="shared" si="2"/>
        <v>22</v>
      </c>
      <c r="T179" s="3" t="str">
        <f>_xlfn.XLOOKUP(C179,Tabla42[ADEP],Tabla42[Sector],"")</f>
        <v>Sector 7</v>
      </c>
    </row>
    <row r="180" spans="1:20" x14ac:dyDescent="0.2">
      <c r="A180" t="s">
        <v>405</v>
      </c>
      <c r="B180" t="s">
        <v>18</v>
      </c>
      <c r="C180" t="s">
        <v>195</v>
      </c>
      <c r="D180" t="s">
        <v>28</v>
      </c>
      <c r="E180" t="s">
        <v>2315</v>
      </c>
      <c r="F180" s="2">
        <v>46300.95722222222</v>
      </c>
      <c r="G180" t="s">
        <v>21</v>
      </c>
      <c r="H180" t="s">
        <v>2316</v>
      </c>
      <c r="I180" s="3">
        <v>390</v>
      </c>
      <c r="J180" t="s">
        <v>22</v>
      </c>
      <c r="K180" t="s">
        <v>23</v>
      </c>
      <c r="L180" s="3">
        <v>130</v>
      </c>
      <c r="M180" t="s">
        <v>2317</v>
      </c>
      <c r="N180" s="2">
        <v>46300.969189814816</v>
      </c>
      <c r="O180" s="3">
        <v>290</v>
      </c>
      <c r="P180" t="s">
        <v>25</v>
      </c>
      <c r="Q180" s="3">
        <v>190</v>
      </c>
      <c r="R180" s="3" t="str">
        <f>IF(OR(G180="12R",G180="12L"),_xlfn.XLOOKUP(C180,Tabla42[ADEP],Tabla42[SID 12R],""),IF(OR(G180="30L",G180="30R"),_xlfn.XLOOKUP(C180,Tabla42[ADEP],Tabla42[SID 30L],""),""))</f>
        <v>HECAT</v>
      </c>
      <c r="S180" s="3">
        <f t="shared" si="2"/>
        <v>22</v>
      </c>
      <c r="T180" s="3" t="str">
        <f>_xlfn.XLOOKUP(C180,Tabla42[ADEP],Tabla42[Sector],"")</f>
        <v>Sector 7</v>
      </c>
    </row>
    <row r="181" spans="1:20" x14ac:dyDescent="0.2">
      <c r="A181" t="s">
        <v>328</v>
      </c>
      <c r="B181" t="s">
        <v>18</v>
      </c>
      <c r="C181" t="s">
        <v>42</v>
      </c>
      <c r="D181" t="s">
        <v>43</v>
      </c>
      <c r="E181" t="s">
        <v>44</v>
      </c>
      <c r="F181" s="2">
        <v>46300.969942129632</v>
      </c>
      <c r="G181" t="s">
        <v>21</v>
      </c>
      <c r="H181" t="s">
        <v>2318</v>
      </c>
      <c r="I181" s="3">
        <v>360</v>
      </c>
      <c r="J181" t="s">
        <v>22</v>
      </c>
      <c r="K181" t="s">
        <v>23</v>
      </c>
      <c r="L181" s="3">
        <v>1028</v>
      </c>
      <c r="M181" t="s">
        <v>2319</v>
      </c>
      <c r="N181" s="2">
        <v>46301.021909722222</v>
      </c>
      <c r="O181" s="3">
        <v>360</v>
      </c>
      <c r="P181" t="s">
        <v>25</v>
      </c>
      <c r="Q181" s="3">
        <v>190</v>
      </c>
      <c r="R181" s="3" t="str">
        <f>IF(OR(G181="12R",G181="12L"),_xlfn.XLOOKUP(C181,Tabla42[ADEP],Tabla42[SID 12R],""),IF(OR(G181="30L",G181="30R"),_xlfn.XLOOKUP(C181,Tabla42[ADEP],Tabla42[SID 30L],""),""))</f>
        <v>UDGUV</v>
      </c>
      <c r="S181" s="3">
        <f t="shared" si="2"/>
        <v>23</v>
      </c>
      <c r="T181" s="3" t="str">
        <f>_xlfn.XLOOKUP(C181,Tabla42[ADEP],Tabla42[Sector],"")</f>
        <v>Sector 2</v>
      </c>
    </row>
    <row r="182" spans="1:20" x14ac:dyDescent="0.2">
      <c r="A182" t="s">
        <v>333</v>
      </c>
      <c r="B182" t="s">
        <v>18</v>
      </c>
      <c r="C182" t="s">
        <v>204</v>
      </c>
      <c r="D182" t="s">
        <v>53</v>
      </c>
      <c r="E182" t="s">
        <v>2320</v>
      </c>
      <c r="F182" s="2">
        <v>46300.976550925923</v>
      </c>
      <c r="G182" t="s">
        <v>21</v>
      </c>
      <c r="H182" t="s">
        <v>2321</v>
      </c>
      <c r="I182" s="3">
        <v>390</v>
      </c>
      <c r="J182" t="s">
        <v>22</v>
      </c>
      <c r="K182" t="s">
        <v>23</v>
      </c>
      <c r="L182" s="3">
        <v>156</v>
      </c>
      <c r="M182" t="s">
        <v>2322</v>
      </c>
      <c r="N182" s="2">
        <v>46300.986712962964</v>
      </c>
      <c r="O182" s="3">
        <v>290</v>
      </c>
      <c r="P182" t="s">
        <v>25</v>
      </c>
      <c r="Q182" s="3">
        <v>190</v>
      </c>
      <c r="R182" s="3" t="str">
        <f>IF(OR(G182="12R",G182="12L"),_xlfn.XLOOKUP(C182,Tabla42[ADEP],Tabla42[SID 12R],""),IF(OR(G182="30L",G182="30R"),_xlfn.XLOOKUP(C182,Tabla42[ADEP],Tabla42[SID 30L],""),""))</f>
        <v>TAKUX</v>
      </c>
      <c r="S182" s="3">
        <f t="shared" si="2"/>
        <v>23</v>
      </c>
      <c r="T182" s="3" t="str">
        <f>_xlfn.XLOOKUP(C182,Tabla42[ADEP],Tabla42[Sector],"")</f>
        <v>Sector 7</v>
      </c>
    </row>
    <row r="183" spans="1:20" x14ac:dyDescent="0.2">
      <c r="A183" t="s">
        <v>334</v>
      </c>
      <c r="B183" t="s">
        <v>18</v>
      </c>
      <c r="C183" t="s">
        <v>42</v>
      </c>
      <c r="D183" t="s">
        <v>122</v>
      </c>
      <c r="E183" t="s">
        <v>2323</v>
      </c>
      <c r="F183" s="2">
        <v>46300.986724537041</v>
      </c>
      <c r="G183" t="s">
        <v>21</v>
      </c>
      <c r="H183" t="s">
        <v>2324</v>
      </c>
      <c r="I183" s="3">
        <v>380</v>
      </c>
      <c r="J183" t="s">
        <v>22</v>
      </c>
      <c r="K183" t="s">
        <v>23</v>
      </c>
      <c r="L183" s="3">
        <v>911</v>
      </c>
      <c r="M183" t="s">
        <v>2325</v>
      </c>
      <c r="N183" s="2">
        <v>46301.032858796294</v>
      </c>
      <c r="O183" s="3">
        <v>380</v>
      </c>
      <c r="P183" t="s">
        <v>25</v>
      </c>
      <c r="Q183" s="3">
        <v>190</v>
      </c>
      <c r="R183" s="3" t="str">
        <f>IF(OR(G183="12R",G183="12L"),_xlfn.XLOOKUP(C183,Tabla42[ADEP],Tabla42[SID 12R],""),IF(OR(G183="30L",G183="30R"),_xlfn.XLOOKUP(C183,Tabla42[ADEP],Tabla42[SID 30L],""),""))</f>
        <v>UDGUV</v>
      </c>
      <c r="S183" s="3">
        <f t="shared" si="2"/>
        <v>23</v>
      </c>
      <c r="T183" s="3" t="str">
        <f>_xlfn.XLOOKUP(C183,Tabla42[ADEP],Tabla42[Sector],"")</f>
        <v>Sector 2</v>
      </c>
    </row>
    <row r="184" spans="1:20" x14ac:dyDescent="0.2">
      <c r="A184" t="s">
        <v>336</v>
      </c>
      <c r="B184" t="s">
        <v>18</v>
      </c>
      <c r="C184" t="s">
        <v>290</v>
      </c>
      <c r="D184" t="s">
        <v>33</v>
      </c>
      <c r="E184" t="s">
        <v>2326</v>
      </c>
      <c r="F184" s="2">
        <v>46300.992280092592</v>
      </c>
      <c r="G184" t="s">
        <v>21</v>
      </c>
      <c r="H184" t="s">
        <v>2327</v>
      </c>
      <c r="I184" s="3">
        <v>330</v>
      </c>
      <c r="J184" t="s">
        <v>22</v>
      </c>
      <c r="K184" t="s">
        <v>23</v>
      </c>
      <c r="L184" s="3">
        <v>147</v>
      </c>
      <c r="M184" t="s">
        <v>2328</v>
      </c>
      <c r="N184" s="2">
        <v>46301.002199074072</v>
      </c>
      <c r="O184" s="3">
        <v>233</v>
      </c>
      <c r="P184" t="s">
        <v>25</v>
      </c>
      <c r="Q184" s="3">
        <v>190</v>
      </c>
      <c r="R184" s="3" t="str">
        <f>IF(OR(G184="12R",G184="12L"),_xlfn.XLOOKUP(C184,Tabla42[ADEP],Tabla42[SID 12R],""),IF(OR(G184="30L",G184="30R"),_xlfn.XLOOKUP(C184,Tabla42[ADEP],Tabla42[SID 30L],""),""))</f>
        <v>CZM</v>
      </c>
      <c r="S184" s="3">
        <f t="shared" si="2"/>
        <v>23</v>
      </c>
      <c r="T184" s="3" t="str">
        <f>_xlfn.XLOOKUP(C184,Tabla42[ADEP],Tabla42[Sector],"")</f>
        <v>Sector 7</v>
      </c>
    </row>
    <row r="185" spans="1:20" x14ac:dyDescent="0.2">
      <c r="A185" t="s">
        <v>324</v>
      </c>
      <c r="B185" t="s">
        <v>18</v>
      </c>
      <c r="C185" t="s">
        <v>206</v>
      </c>
      <c r="D185" t="s">
        <v>33</v>
      </c>
      <c r="E185" t="s">
        <v>754</v>
      </c>
      <c r="F185" s="2">
        <v>46300.993923611109</v>
      </c>
      <c r="G185" t="s">
        <v>21</v>
      </c>
      <c r="H185" t="s">
        <v>2329</v>
      </c>
      <c r="I185" s="3">
        <v>360</v>
      </c>
      <c r="J185" t="s">
        <v>22</v>
      </c>
      <c r="K185" t="s">
        <v>23</v>
      </c>
      <c r="L185" s="3">
        <v>881</v>
      </c>
      <c r="M185" t="s">
        <v>2330</v>
      </c>
      <c r="N185" s="2">
        <v>46301.040138888886</v>
      </c>
      <c r="O185" s="3">
        <v>360</v>
      </c>
      <c r="P185" t="s">
        <v>25</v>
      </c>
      <c r="Q185" s="3">
        <v>190</v>
      </c>
      <c r="R185" s="3" t="str">
        <f>IF(OR(G185="12R",G185="12L"),_xlfn.XLOOKUP(C185,Tabla42[ADEP],Tabla42[SID 12R],""),IF(OR(G185="30L",G185="30R"),_xlfn.XLOOKUP(C185,Tabla42[ADEP],Tabla42[SID 30L],""),""))</f>
        <v>UDGUV</v>
      </c>
      <c r="S185" s="3">
        <f t="shared" si="2"/>
        <v>23</v>
      </c>
      <c r="T185" s="3" t="str">
        <f>_xlfn.XLOOKUP(C185,Tabla42[ADEP],Tabla42[Sector],"")</f>
        <v>Sector 2</v>
      </c>
    </row>
    <row r="186" spans="1:20" x14ac:dyDescent="0.2">
      <c r="F186" s="2"/>
      <c r="I186" s="3"/>
      <c r="L186" s="3"/>
      <c r="N186" s="2"/>
      <c r="O186" s="3"/>
      <c r="Q186" s="3"/>
      <c r="R186" s="3" t="str">
        <f>IF(OR(G186="12R",G186="12L"),_xlfn.XLOOKUP(C186,Tabla42[ADEP],Tabla42[SID 12R],""),IF(OR(G186="30L",G186="30R"),_xlfn.XLOOKUP(C186,Tabla42[ADEP],Tabla42[SID 30L],""),""))</f>
        <v/>
      </c>
      <c r="S186" s="3">
        <f t="shared" si="2"/>
        <v>0</v>
      </c>
      <c r="T186" s="3" t="str">
        <f>_xlfn.XLOOKUP(C186,Tabla42[ADEP],Tabla42[Sector],"")</f>
        <v/>
      </c>
    </row>
    <row r="187" spans="1:20" x14ac:dyDescent="0.2">
      <c r="F187" s="2"/>
      <c r="I187" s="3"/>
      <c r="L187" s="3"/>
      <c r="N187" s="2"/>
      <c r="O187" s="3"/>
      <c r="Q187" s="3"/>
      <c r="R187" s="3" t="str">
        <f>IF(OR(G187="12R",G187="12L"),_xlfn.XLOOKUP(C187,Tabla42[ADEP],Tabla42[SID 12R],""),IF(OR(G187="30L",G187="30R"),_xlfn.XLOOKUP(C187,Tabla42[ADEP],Tabla42[SID 30L],""),""))</f>
        <v/>
      </c>
      <c r="S187" s="3">
        <f t="shared" si="2"/>
        <v>0</v>
      </c>
      <c r="T187" s="3" t="str">
        <f>_xlfn.XLOOKUP(C187,Tabla42[ADEP],Tabla42[Sector],"")</f>
        <v/>
      </c>
    </row>
    <row r="188" spans="1:20" x14ac:dyDescent="0.2">
      <c r="F188" s="2"/>
      <c r="I188" s="3"/>
      <c r="L188" s="3"/>
      <c r="N188" s="2"/>
      <c r="O188" s="3"/>
      <c r="Q188" s="3"/>
      <c r="R188" s="3" t="str">
        <f>IF(OR(G188="12R",G188="12L"),_xlfn.XLOOKUP(C188,Tabla42[ADEP],Tabla42[SID 12R],""),IF(OR(G188="30L",G188="30R"),_xlfn.XLOOKUP(C188,Tabla42[ADEP],Tabla42[SID 30L],""),""))</f>
        <v/>
      </c>
      <c r="S188" s="3">
        <f t="shared" si="2"/>
        <v>0</v>
      </c>
      <c r="T188" s="3" t="str">
        <f>_xlfn.XLOOKUP(C188,Tabla42[ADEP],Tabla42[Sector],"")</f>
        <v/>
      </c>
    </row>
    <row r="189" spans="1:20" x14ac:dyDescent="0.2">
      <c r="F189" s="2"/>
      <c r="I189" s="3"/>
      <c r="L189" s="3"/>
      <c r="N189" s="2"/>
      <c r="O189" s="3"/>
      <c r="Q189" s="3"/>
      <c r="R189" s="3" t="str">
        <f>IF(OR(G189="12R",G189="12L"),_xlfn.XLOOKUP(C189,Tabla42[ADEP],Tabla42[SID 12R],""),IF(OR(G189="30L",G189="30R"),_xlfn.XLOOKUP(C189,Tabla42[ADEP],Tabla42[SID 30L],""),""))</f>
        <v/>
      </c>
      <c r="S189" s="3">
        <f t="shared" si="2"/>
        <v>0</v>
      </c>
      <c r="T189" s="3" t="str">
        <f>_xlfn.XLOOKUP(C189,Tabla42[ADEP],Tabla42[Sector],"")</f>
        <v/>
      </c>
    </row>
    <row r="190" spans="1: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1: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1: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1</v>
      </c>
      <c r="C227" s="8">
        <f t="shared" si="4"/>
        <v>0</v>
      </c>
      <c r="D227" s="8">
        <f t="shared" si="4"/>
        <v>0</v>
      </c>
      <c r="E227" s="8">
        <f t="shared" si="4"/>
        <v>0</v>
      </c>
      <c r="F227" s="8">
        <f t="shared" si="4"/>
        <v>1</v>
      </c>
      <c r="G227" s="8">
        <f t="shared" si="4"/>
        <v>0</v>
      </c>
      <c r="H227" s="8">
        <f t="shared" si="4"/>
        <v>2</v>
      </c>
      <c r="I227" s="9">
        <f t="shared" ref="I227:I235" si="5">SUM(B227:H227)</f>
        <v>4</v>
      </c>
    </row>
    <row r="228" spans="1:9" x14ac:dyDescent="0.2">
      <c r="A228" s="7">
        <v>15</v>
      </c>
      <c r="B228" s="8">
        <f t="shared" si="4"/>
        <v>0</v>
      </c>
      <c r="C228" s="8">
        <f t="shared" si="4"/>
        <v>0</v>
      </c>
      <c r="D228" s="8">
        <f t="shared" si="4"/>
        <v>0</v>
      </c>
      <c r="E228" s="8">
        <f t="shared" si="4"/>
        <v>0</v>
      </c>
      <c r="F228" s="8">
        <f t="shared" si="4"/>
        <v>1</v>
      </c>
      <c r="G228" s="8">
        <f t="shared" si="4"/>
        <v>0</v>
      </c>
      <c r="H228" s="8">
        <f t="shared" si="4"/>
        <v>8</v>
      </c>
      <c r="I228" s="9">
        <f t="shared" si="5"/>
        <v>9</v>
      </c>
    </row>
    <row r="229" spans="1:9" x14ac:dyDescent="0.2">
      <c r="A229" s="7">
        <v>16</v>
      </c>
      <c r="B229" s="8">
        <f t="shared" si="4"/>
        <v>1</v>
      </c>
      <c r="C229" s="8">
        <f t="shared" si="4"/>
        <v>3</v>
      </c>
      <c r="D229" s="8">
        <f t="shared" si="4"/>
        <v>0</v>
      </c>
      <c r="E229" s="8">
        <f t="shared" si="4"/>
        <v>0</v>
      </c>
      <c r="F229" s="8">
        <f t="shared" si="4"/>
        <v>2</v>
      </c>
      <c r="G229" s="8">
        <f t="shared" si="4"/>
        <v>2</v>
      </c>
      <c r="H229" s="8">
        <f t="shared" si="4"/>
        <v>9</v>
      </c>
      <c r="I229" s="9">
        <f t="shared" si="5"/>
        <v>17</v>
      </c>
    </row>
    <row r="230" spans="1:9" x14ac:dyDescent="0.2">
      <c r="A230" s="7">
        <v>17</v>
      </c>
      <c r="B230" s="8">
        <f t="shared" si="4"/>
        <v>0</v>
      </c>
      <c r="C230" s="8">
        <f t="shared" si="4"/>
        <v>3</v>
      </c>
      <c r="D230" s="8">
        <f t="shared" si="4"/>
        <v>0</v>
      </c>
      <c r="E230" s="8">
        <f t="shared" si="4"/>
        <v>0</v>
      </c>
      <c r="F230" s="8">
        <f t="shared" si="4"/>
        <v>3</v>
      </c>
      <c r="G230" s="8">
        <f t="shared" si="4"/>
        <v>1</v>
      </c>
      <c r="H230" s="8">
        <f t="shared" si="4"/>
        <v>4</v>
      </c>
      <c r="I230" s="9">
        <f t="shared" si="5"/>
        <v>11</v>
      </c>
    </row>
    <row r="231" spans="1:9" x14ac:dyDescent="0.2">
      <c r="A231" s="7">
        <v>18</v>
      </c>
      <c r="B231" s="8">
        <f t="shared" si="4"/>
        <v>1</v>
      </c>
      <c r="C231" s="8">
        <f t="shared" si="4"/>
        <v>3</v>
      </c>
      <c r="D231" s="8">
        <f t="shared" si="4"/>
        <v>0</v>
      </c>
      <c r="E231" s="8">
        <f t="shared" si="4"/>
        <v>0</v>
      </c>
      <c r="F231" s="8">
        <f t="shared" si="4"/>
        <v>10</v>
      </c>
      <c r="G231" s="8">
        <f t="shared" si="4"/>
        <v>1</v>
      </c>
      <c r="H231" s="8">
        <f t="shared" si="4"/>
        <v>8</v>
      </c>
      <c r="I231" s="9">
        <f t="shared" si="5"/>
        <v>23</v>
      </c>
    </row>
    <row r="232" spans="1:9" x14ac:dyDescent="0.2">
      <c r="A232" s="7">
        <v>19</v>
      </c>
      <c r="B232" s="8">
        <f t="shared" si="4"/>
        <v>1</v>
      </c>
      <c r="C232" s="8">
        <f t="shared" si="4"/>
        <v>10</v>
      </c>
      <c r="D232" s="8">
        <f t="shared" si="4"/>
        <v>0</v>
      </c>
      <c r="E232" s="8">
        <f t="shared" si="4"/>
        <v>3</v>
      </c>
      <c r="F232" s="8">
        <f t="shared" si="4"/>
        <v>4</v>
      </c>
      <c r="G232" s="8">
        <f t="shared" si="4"/>
        <v>1</v>
      </c>
      <c r="H232" s="8">
        <f t="shared" si="4"/>
        <v>7</v>
      </c>
      <c r="I232" s="9">
        <f t="shared" si="5"/>
        <v>26</v>
      </c>
    </row>
    <row r="233" spans="1:9" x14ac:dyDescent="0.2">
      <c r="A233" s="7">
        <v>20</v>
      </c>
      <c r="B233" s="8">
        <f t="shared" si="4"/>
        <v>0</v>
      </c>
      <c r="C233" s="8">
        <f t="shared" si="4"/>
        <v>3</v>
      </c>
      <c r="D233" s="8">
        <f t="shared" si="4"/>
        <v>0</v>
      </c>
      <c r="E233" s="8">
        <f t="shared" si="4"/>
        <v>2</v>
      </c>
      <c r="F233" s="8">
        <f t="shared" si="4"/>
        <v>3</v>
      </c>
      <c r="G233" s="8">
        <f t="shared" si="4"/>
        <v>0</v>
      </c>
      <c r="H233" s="8">
        <f t="shared" si="4"/>
        <v>9</v>
      </c>
      <c r="I233" s="9">
        <f t="shared" si="5"/>
        <v>17</v>
      </c>
    </row>
    <row r="234" spans="1:9" x14ac:dyDescent="0.2">
      <c r="A234" s="7">
        <v>21</v>
      </c>
      <c r="B234" s="8">
        <f t="shared" si="4"/>
        <v>1</v>
      </c>
      <c r="C234" s="8">
        <f t="shared" si="4"/>
        <v>2</v>
      </c>
      <c r="D234" s="8">
        <f t="shared" si="4"/>
        <v>0</v>
      </c>
      <c r="E234" s="8">
        <f t="shared" si="4"/>
        <v>2</v>
      </c>
      <c r="F234" s="8">
        <f t="shared" si="4"/>
        <v>5</v>
      </c>
      <c r="G234" s="8">
        <f t="shared" si="4"/>
        <v>1</v>
      </c>
      <c r="H234" s="8">
        <f t="shared" si="4"/>
        <v>7</v>
      </c>
      <c r="I234" s="9">
        <f t="shared" si="5"/>
        <v>18</v>
      </c>
    </row>
    <row r="235" spans="1:9" x14ac:dyDescent="0.2">
      <c r="A235" s="10">
        <v>22</v>
      </c>
      <c r="B235" s="11">
        <f t="shared" si="4"/>
        <v>1</v>
      </c>
      <c r="C235" s="11">
        <f t="shared" si="4"/>
        <v>2</v>
      </c>
      <c r="D235" s="11">
        <f t="shared" si="4"/>
        <v>1</v>
      </c>
      <c r="E235" s="11">
        <f t="shared" si="4"/>
        <v>2</v>
      </c>
      <c r="F235" s="11">
        <f t="shared" si="4"/>
        <v>0</v>
      </c>
      <c r="G235" s="11">
        <f t="shared" si="4"/>
        <v>1</v>
      </c>
      <c r="H235" s="11">
        <f t="shared" si="4"/>
        <v>4</v>
      </c>
      <c r="I235" s="12">
        <f t="shared" si="5"/>
        <v>11</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2</v>
      </c>
      <c r="C263" s="8">
        <f t="shared" si="6"/>
        <v>1</v>
      </c>
      <c r="D263" s="8">
        <f t="shared" si="6"/>
        <v>1</v>
      </c>
      <c r="E263" s="9">
        <f t="shared" ref="E263:E272" si="7">SUM(B263:D263)</f>
        <v>4</v>
      </c>
    </row>
    <row r="264" spans="1:9" x14ac:dyDescent="0.2">
      <c r="A264" s="7">
        <v>15</v>
      </c>
      <c r="B264" s="8">
        <f t="shared" si="6"/>
        <v>8</v>
      </c>
      <c r="C264" s="8">
        <f t="shared" si="6"/>
        <v>1</v>
      </c>
      <c r="D264" s="8">
        <f t="shared" si="6"/>
        <v>0</v>
      </c>
      <c r="E264" s="9">
        <f t="shared" si="7"/>
        <v>9</v>
      </c>
    </row>
    <row r="265" spans="1:9" x14ac:dyDescent="0.2">
      <c r="A265" s="7">
        <v>16</v>
      </c>
      <c r="B265" s="8">
        <f t="shared" si="6"/>
        <v>9</v>
      </c>
      <c r="C265" s="8">
        <f t="shared" si="6"/>
        <v>5</v>
      </c>
      <c r="D265" s="8">
        <f t="shared" si="6"/>
        <v>3</v>
      </c>
      <c r="E265" s="9">
        <f t="shared" si="7"/>
        <v>17</v>
      </c>
    </row>
    <row r="266" spans="1:9" x14ac:dyDescent="0.2">
      <c r="A266" s="7">
        <v>17</v>
      </c>
      <c r="B266" s="8">
        <f t="shared" si="6"/>
        <v>4</v>
      </c>
      <c r="C266" s="8">
        <f t="shared" si="6"/>
        <v>6</v>
      </c>
      <c r="D266" s="8">
        <f t="shared" si="6"/>
        <v>1</v>
      </c>
      <c r="E266" s="9">
        <f t="shared" si="7"/>
        <v>11</v>
      </c>
    </row>
    <row r="267" spans="1:9" x14ac:dyDescent="0.2">
      <c r="A267" s="7">
        <v>18</v>
      </c>
      <c r="B267" s="8">
        <f t="shared" si="6"/>
        <v>8</v>
      </c>
      <c r="C267" s="8">
        <f t="shared" si="6"/>
        <v>13</v>
      </c>
      <c r="D267" s="8">
        <f t="shared" si="6"/>
        <v>2</v>
      </c>
      <c r="E267" s="9">
        <f t="shared" si="7"/>
        <v>23</v>
      </c>
    </row>
    <row r="268" spans="1:9" x14ac:dyDescent="0.2">
      <c r="A268" s="7">
        <v>19</v>
      </c>
      <c r="B268" s="8">
        <f t="shared" si="6"/>
        <v>7</v>
      </c>
      <c r="C268" s="8">
        <f t="shared" si="6"/>
        <v>17</v>
      </c>
      <c r="D268" s="8">
        <f t="shared" si="6"/>
        <v>2</v>
      </c>
      <c r="E268" s="9">
        <f t="shared" si="7"/>
        <v>26</v>
      </c>
    </row>
    <row r="269" spans="1:9" x14ac:dyDescent="0.2">
      <c r="A269" s="7">
        <v>20</v>
      </c>
      <c r="B269" s="8">
        <f t="shared" si="6"/>
        <v>9</v>
      </c>
      <c r="C269" s="8">
        <f t="shared" si="6"/>
        <v>8</v>
      </c>
      <c r="D269" s="8">
        <f t="shared" si="6"/>
        <v>0</v>
      </c>
      <c r="E269" s="9">
        <f t="shared" si="7"/>
        <v>17</v>
      </c>
    </row>
    <row r="270" spans="1:9" x14ac:dyDescent="0.2">
      <c r="A270" s="7">
        <v>21</v>
      </c>
      <c r="B270" s="8">
        <f t="shared" si="6"/>
        <v>7</v>
      </c>
      <c r="C270" s="8">
        <f t="shared" si="6"/>
        <v>9</v>
      </c>
      <c r="D270" s="8">
        <f t="shared" si="6"/>
        <v>2</v>
      </c>
      <c r="E270" s="9">
        <f t="shared" si="7"/>
        <v>18</v>
      </c>
    </row>
    <row r="271" spans="1:9" x14ac:dyDescent="0.2">
      <c r="A271" s="7">
        <v>22</v>
      </c>
      <c r="B271" s="8">
        <f t="shared" si="6"/>
        <v>4</v>
      </c>
      <c r="C271" s="8">
        <f t="shared" si="6"/>
        <v>4</v>
      </c>
      <c r="D271" s="8">
        <f t="shared" si="6"/>
        <v>3</v>
      </c>
      <c r="E271" s="9">
        <f t="shared" si="7"/>
        <v>11</v>
      </c>
    </row>
    <row r="272" spans="1:9" x14ac:dyDescent="0.2">
      <c r="A272" s="10">
        <v>23</v>
      </c>
      <c r="B272" s="11">
        <f t="shared" si="6"/>
        <v>3</v>
      </c>
      <c r="C272" s="11">
        <f t="shared" si="6"/>
        <v>0</v>
      </c>
      <c r="D272" s="11">
        <f t="shared" si="6"/>
        <v>2</v>
      </c>
      <c r="E272" s="12">
        <f t="shared" si="7"/>
        <v>5</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6A96-EE9F-8141-8326-72893CDDC492}">
  <dimension ref="A1:T272"/>
  <sheetViews>
    <sheetView showGridLines="0" topLeftCell="D1" zoomScale="110" zoomScaleNormal="110" workbookViewId="0">
      <selection activeCell="R43" sqref="R43"/>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330</v>
      </c>
      <c r="B2" s="13" t="s">
        <v>18</v>
      </c>
      <c r="C2" s="13" t="s">
        <v>62</v>
      </c>
      <c r="D2" s="13" t="s">
        <v>53</v>
      </c>
      <c r="E2" s="13" t="s">
        <v>2331</v>
      </c>
      <c r="F2" s="14">
        <v>46301.003981481481</v>
      </c>
      <c r="G2" s="13" t="s">
        <v>21</v>
      </c>
      <c r="H2" s="13" t="s">
        <v>2332</v>
      </c>
      <c r="I2" s="15">
        <v>380</v>
      </c>
      <c r="J2" s="13" t="s">
        <v>22</v>
      </c>
      <c r="K2" s="13" t="s">
        <v>23</v>
      </c>
      <c r="L2" s="15">
        <v>878</v>
      </c>
      <c r="M2" s="13" t="s">
        <v>167</v>
      </c>
      <c r="N2" s="14">
        <v>46301.049826388888</v>
      </c>
      <c r="O2" s="15">
        <v>380</v>
      </c>
      <c r="P2" s="13" t="s">
        <v>25</v>
      </c>
      <c r="Q2" s="15">
        <v>190</v>
      </c>
      <c r="R2" s="3" t="str">
        <f>IF(OR(G2="12R",G2="12L"),_xlfn.XLOOKUP(C2,Tabla42[ADEP],Tabla42[SID 12R],""),IF(OR(G2="30L",G2="30R"),_xlfn.XLOOKUP(C2,Tabla42[ADEP],Tabla42[SID 30L],""),""))</f>
        <v>UDGUV</v>
      </c>
      <c r="S2" s="3">
        <f>HOUR(F2)</f>
        <v>0</v>
      </c>
      <c r="T2" s="3" t="str">
        <f>_xlfn.XLOOKUP(C2,Tabla42[ADEP],Tabla42[Sector],"")</f>
        <v>Sector 2</v>
      </c>
    </row>
    <row r="3" spans="1:20" x14ac:dyDescent="0.2">
      <c r="A3" s="13" t="s">
        <v>278</v>
      </c>
      <c r="B3" s="13" t="s">
        <v>18</v>
      </c>
      <c r="C3" s="13" t="s">
        <v>265</v>
      </c>
      <c r="D3" s="13" t="s">
        <v>53</v>
      </c>
      <c r="E3" s="13" t="s">
        <v>812</v>
      </c>
      <c r="F3" s="14">
        <v>46301.009525462963</v>
      </c>
      <c r="G3" s="13" t="s">
        <v>21</v>
      </c>
      <c r="H3" s="13" t="s">
        <v>2333</v>
      </c>
      <c r="I3" s="15">
        <v>380</v>
      </c>
      <c r="J3" s="13" t="s">
        <v>22</v>
      </c>
      <c r="K3" s="13" t="s">
        <v>23</v>
      </c>
      <c r="L3" s="15">
        <v>870</v>
      </c>
      <c r="M3" s="13" t="s">
        <v>167</v>
      </c>
      <c r="N3" s="14">
        <v>46301.055532407408</v>
      </c>
      <c r="O3" s="15">
        <v>380</v>
      </c>
      <c r="P3" s="13" t="s">
        <v>25</v>
      </c>
      <c r="Q3" s="15">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3" t="s">
        <v>2334</v>
      </c>
      <c r="B4" s="13" t="s">
        <v>18</v>
      </c>
      <c r="C4" s="13" t="s">
        <v>84</v>
      </c>
      <c r="D4" s="13" t="s">
        <v>85</v>
      </c>
      <c r="E4" s="13" t="s">
        <v>2335</v>
      </c>
      <c r="F4" s="14">
        <v>46301.018483796295</v>
      </c>
      <c r="G4" s="13" t="s">
        <v>21</v>
      </c>
      <c r="H4" s="13" t="s">
        <v>2336</v>
      </c>
      <c r="I4" s="15">
        <v>370</v>
      </c>
      <c r="J4" s="13" t="s">
        <v>22</v>
      </c>
      <c r="K4" s="13" t="s">
        <v>23</v>
      </c>
      <c r="L4" s="15">
        <v>366</v>
      </c>
      <c r="M4" s="13" t="s">
        <v>30</v>
      </c>
      <c r="N4" s="14">
        <v>46301.039953703701</v>
      </c>
      <c r="O4" s="15">
        <v>321</v>
      </c>
      <c r="P4" s="13" t="s">
        <v>40</v>
      </c>
      <c r="Q4" s="15">
        <v>40</v>
      </c>
      <c r="R4" s="3" t="str">
        <f>IF(OR(G4="12R",G4="12L"),_xlfn.XLOOKUP(C4,Tabla42[ADEP],Tabla42[SID 12R],""),IF(OR(G4="30L",G4="30R"),_xlfn.XLOOKUP(C4,Tabla42[ADEP],Tabla42[SID 30L],""),""))</f>
        <v>NUDAL</v>
      </c>
      <c r="S4" s="3">
        <f t="shared" si="0"/>
        <v>0</v>
      </c>
      <c r="T4" s="3" t="str">
        <f>_xlfn.XLOOKUP(C4,Tabla42[ADEP],Tabla42[Sector],"")</f>
        <v>Sector 3</v>
      </c>
    </row>
    <row r="5" spans="1:20" x14ac:dyDescent="0.2">
      <c r="A5" s="13" t="s">
        <v>26</v>
      </c>
      <c r="B5" s="13" t="s">
        <v>18</v>
      </c>
      <c r="C5" s="13" t="s">
        <v>27</v>
      </c>
      <c r="D5" s="13" t="s">
        <v>122</v>
      </c>
      <c r="E5" s="13" t="s">
        <v>2337</v>
      </c>
      <c r="F5" s="14">
        <v>46301.02171296296</v>
      </c>
      <c r="G5" s="13" t="s">
        <v>21</v>
      </c>
      <c r="H5" s="13" t="s">
        <v>2338</v>
      </c>
      <c r="I5" s="15">
        <v>350</v>
      </c>
      <c r="J5" s="13" t="s">
        <v>22</v>
      </c>
      <c r="K5" s="13" t="s">
        <v>23</v>
      </c>
      <c r="L5" s="15">
        <v>360</v>
      </c>
      <c r="M5" s="13" t="s">
        <v>30</v>
      </c>
      <c r="N5" s="14">
        <v>46301.042361111111</v>
      </c>
      <c r="O5" s="15">
        <v>350</v>
      </c>
      <c r="P5" s="13" t="s">
        <v>25</v>
      </c>
      <c r="Q5" s="15">
        <v>40</v>
      </c>
      <c r="R5" s="3" t="str">
        <f>IF(OR(G5="12R",G5="12L"),_xlfn.XLOOKUP(C5,Tabla42[ADEP],Tabla42[SID 12R],""),IF(OR(G5="30L",G5="30R"),_xlfn.XLOOKUP(C5,Tabla42[ADEP],Tabla42[SID 30L],""),""))</f>
        <v>OMSUK</v>
      </c>
      <c r="S5" s="3">
        <f t="shared" si="0"/>
        <v>0</v>
      </c>
      <c r="T5" s="3" t="str">
        <f>_xlfn.XLOOKUP(C5,Tabla42[ADEP],Tabla42[Sector],"")</f>
        <v>Sector 3</v>
      </c>
    </row>
    <row r="6" spans="1:20" x14ac:dyDescent="0.2">
      <c r="A6" s="13" t="s">
        <v>17</v>
      </c>
      <c r="B6" s="13" t="s">
        <v>18</v>
      </c>
      <c r="C6" s="13" t="s">
        <v>19</v>
      </c>
      <c r="D6" s="13" t="s">
        <v>20</v>
      </c>
      <c r="E6" s="13" t="s">
        <v>2339</v>
      </c>
      <c r="F6" s="14">
        <v>46301.022719907407</v>
      </c>
      <c r="G6" s="13" t="s">
        <v>21</v>
      </c>
      <c r="H6" s="13" t="s">
        <v>2340</v>
      </c>
      <c r="I6" s="15">
        <v>340</v>
      </c>
      <c r="J6" s="13" t="s">
        <v>22</v>
      </c>
      <c r="K6" s="13" t="s">
        <v>23</v>
      </c>
      <c r="L6" s="15">
        <v>860</v>
      </c>
      <c r="M6" s="13" t="s">
        <v>24</v>
      </c>
      <c r="N6" s="14">
        <v>46301.067650462966</v>
      </c>
      <c r="O6" s="15">
        <v>340</v>
      </c>
      <c r="P6" s="13" t="s">
        <v>25</v>
      </c>
      <c r="Q6" s="15">
        <v>190</v>
      </c>
      <c r="R6" s="3" t="str">
        <f>IF(OR(G6="12R",G6="12L"),_xlfn.XLOOKUP(C6,Tabla42[ADEP],Tabla42[SID 12R],""),IF(OR(G6="30L",G6="30R"),_xlfn.XLOOKUP(C6,Tabla42[ADEP],Tabla42[SID 30L],""),""))</f>
        <v>UDGUV</v>
      </c>
      <c r="S6" s="3">
        <f t="shared" si="0"/>
        <v>0</v>
      </c>
      <c r="T6" s="3" t="str">
        <f>_xlfn.XLOOKUP(C6,Tabla42[ADEP],Tabla42[Sector],"")</f>
        <v>Sector 2</v>
      </c>
    </row>
    <row r="7" spans="1:20" x14ac:dyDescent="0.2">
      <c r="A7" s="13" t="s">
        <v>309</v>
      </c>
      <c r="B7" s="13" t="s">
        <v>18</v>
      </c>
      <c r="C7" s="13" t="s">
        <v>19</v>
      </c>
      <c r="D7" s="13" t="s">
        <v>33</v>
      </c>
      <c r="E7" s="13" t="s">
        <v>539</v>
      </c>
      <c r="F7" s="14">
        <v>46301.027986111112</v>
      </c>
      <c r="G7" s="13" t="s">
        <v>21</v>
      </c>
      <c r="H7" s="13" t="s">
        <v>2341</v>
      </c>
      <c r="I7" s="15">
        <v>380</v>
      </c>
      <c r="J7" s="13" t="s">
        <v>22</v>
      </c>
      <c r="K7" s="13" t="s">
        <v>23</v>
      </c>
      <c r="L7" s="15">
        <v>860</v>
      </c>
      <c r="M7" s="13" t="s">
        <v>24</v>
      </c>
      <c r="N7" s="14">
        <v>46301.072650462964</v>
      </c>
      <c r="O7" s="15">
        <v>380</v>
      </c>
      <c r="P7" s="13" t="s">
        <v>25</v>
      </c>
      <c r="Q7" s="15">
        <v>190</v>
      </c>
      <c r="R7" s="3" t="str">
        <f>IF(OR(G7="12R",G7="12L"),_xlfn.XLOOKUP(C7,Tabla42[ADEP],Tabla42[SID 12R],""),IF(OR(G7="30L",G7="30R"),_xlfn.XLOOKUP(C7,Tabla42[ADEP],Tabla42[SID 30L],""),""))</f>
        <v>UDGUV</v>
      </c>
      <c r="S7" s="3">
        <f t="shared" si="0"/>
        <v>0</v>
      </c>
      <c r="T7" s="3" t="str">
        <f>_xlfn.XLOOKUP(C7,Tabla42[ADEP],Tabla42[Sector],"")</f>
        <v>Sector 2</v>
      </c>
    </row>
    <row r="8" spans="1:20" x14ac:dyDescent="0.2">
      <c r="A8" s="13" t="s">
        <v>41</v>
      </c>
      <c r="B8" s="13" t="s">
        <v>18</v>
      </c>
      <c r="C8" s="13" t="s">
        <v>42</v>
      </c>
      <c r="D8" s="13" t="s">
        <v>43</v>
      </c>
      <c r="E8" s="13" t="s">
        <v>120</v>
      </c>
      <c r="F8" s="14">
        <v>46301.038703703707</v>
      </c>
      <c r="G8" s="13" t="s">
        <v>21</v>
      </c>
      <c r="H8" s="13" t="s">
        <v>2342</v>
      </c>
      <c r="I8" s="15">
        <v>360</v>
      </c>
      <c r="J8" s="13" t="s">
        <v>22</v>
      </c>
      <c r="K8" s="13" t="s">
        <v>23</v>
      </c>
      <c r="L8" s="15">
        <v>884</v>
      </c>
      <c r="M8" s="13" t="s">
        <v>2330</v>
      </c>
      <c r="N8" s="14">
        <v>46301.083391203705</v>
      </c>
      <c r="O8" s="15">
        <v>360</v>
      </c>
      <c r="P8" s="13" t="s">
        <v>25</v>
      </c>
      <c r="Q8" s="15">
        <v>190</v>
      </c>
      <c r="R8" s="3" t="str">
        <f>IF(OR(G8="12R",G8="12L"),_xlfn.XLOOKUP(C8,Tabla42[ADEP],Tabla42[SID 12R],""),IF(OR(G8="30L",G8="30R"),_xlfn.XLOOKUP(C8,Tabla42[ADEP],Tabla42[SID 30L],""),""))</f>
        <v>UDGUV</v>
      </c>
      <c r="S8" s="3">
        <f t="shared" si="0"/>
        <v>0</v>
      </c>
      <c r="T8" s="3" t="str">
        <f>_xlfn.XLOOKUP(C8,Tabla42[ADEP],Tabla42[Sector],"")</f>
        <v>Sector 2</v>
      </c>
    </row>
    <row r="9" spans="1:20" x14ac:dyDescent="0.2">
      <c r="A9" s="13" t="s">
        <v>36</v>
      </c>
      <c r="B9" s="13" t="s">
        <v>18</v>
      </c>
      <c r="C9" s="13" t="s">
        <v>37</v>
      </c>
      <c r="D9" s="13" t="s">
        <v>38</v>
      </c>
      <c r="E9" s="13" t="s">
        <v>1048</v>
      </c>
      <c r="F9" s="14">
        <v>46301.040185185186</v>
      </c>
      <c r="G9" s="13" t="s">
        <v>21</v>
      </c>
      <c r="H9" s="13" t="s">
        <v>2343</v>
      </c>
      <c r="I9" s="15">
        <v>350</v>
      </c>
      <c r="J9" s="13" t="s">
        <v>22</v>
      </c>
      <c r="K9" s="13" t="s">
        <v>23</v>
      </c>
      <c r="L9" s="15">
        <v>136</v>
      </c>
      <c r="M9" s="13" t="s">
        <v>612</v>
      </c>
      <c r="N9" s="14">
        <v>46301.049629629626</v>
      </c>
      <c r="O9" s="15">
        <v>199</v>
      </c>
      <c r="P9" s="13" t="s">
        <v>40</v>
      </c>
      <c r="Q9" s="15">
        <v>190</v>
      </c>
      <c r="R9" s="3" t="str">
        <f>IF(OR(G9="12R",G9="12L"),_xlfn.XLOOKUP(C9,Tabla42[ADEP],Tabla42[SID 12R],""),IF(OR(G9="30L",G9="30R"),_xlfn.XLOOKUP(C9,Tabla42[ADEP],Tabla42[SID 30L],""),""))</f>
        <v>NUDAL</v>
      </c>
      <c r="S9" s="3">
        <f t="shared" si="0"/>
        <v>0</v>
      </c>
      <c r="T9" s="3" t="str">
        <f>_xlfn.XLOOKUP(C9,Tabla42[ADEP],Tabla42[Sector],"")</f>
        <v>Sector 3</v>
      </c>
    </row>
    <row r="10" spans="1:20" x14ac:dyDescent="0.2">
      <c r="A10" s="13" t="s">
        <v>56</v>
      </c>
      <c r="B10" s="13" t="s">
        <v>18</v>
      </c>
      <c r="C10" s="13" t="s">
        <v>42</v>
      </c>
      <c r="D10" s="13" t="s">
        <v>20</v>
      </c>
      <c r="E10" s="13" t="s">
        <v>484</v>
      </c>
      <c r="F10" s="14">
        <v>46301.050243055557</v>
      </c>
      <c r="G10" s="13" t="s">
        <v>21</v>
      </c>
      <c r="H10" s="13" t="s">
        <v>71</v>
      </c>
      <c r="I10" s="15">
        <v>360</v>
      </c>
      <c r="J10" s="13" t="s">
        <v>22</v>
      </c>
      <c r="K10" s="13" t="s">
        <v>23</v>
      </c>
      <c r="L10" s="15">
        <v>859</v>
      </c>
      <c r="M10" s="13" t="s">
        <v>45</v>
      </c>
      <c r="N10" s="14">
        <v>46301.095266203702</v>
      </c>
      <c r="O10" s="15">
        <v>360</v>
      </c>
      <c r="P10" s="13" t="s">
        <v>25</v>
      </c>
      <c r="Q10" s="15">
        <v>190</v>
      </c>
      <c r="R10" s="3" t="str">
        <f>IF(OR(G10="12R",G10="12L"),_xlfn.XLOOKUP(C10,Tabla42[ADEP],Tabla42[SID 12R],""),IF(OR(G10="30L",G10="30R"),_xlfn.XLOOKUP(C10,Tabla42[ADEP],Tabla42[SID 30L],""),""))</f>
        <v>UDGUV</v>
      </c>
      <c r="S10" s="3">
        <f t="shared" si="0"/>
        <v>1</v>
      </c>
      <c r="T10" s="3" t="str">
        <f>_xlfn.XLOOKUP(C10,Tabla42[ADEP],Tabla42[Sector],"")</f>
        <v>Sector 2</v>
      </c>
    </row>
    <row r="11" spans="1:20" x14ac:dyDescent="0.2">
      <c r="A11" s="13" t="s">
        <v>31</v>
      </c>
      <c r="B11" s="13" t="s">
        <v>18</v>
      </c>
      <c r="C11" s="13" t="s">
        <v>32</v>
      </c>
      <c r="D11" s="13" t="s">
        <v>53</v>
      </c>
      <c r="E11" s="13" t="s">
        <v>674</v>
      </c>
      <c r="F11" s="14">
        <v>46301.053796296299</v>
      </c>
      <c r="G11" s="13" t="s">
        <v>21</v>
      </c>
      <c r="H11" s="13" t="s">
        <v>2344</v>
      </c>
      <c r="I11" s="15">
        <v>360</v>
      </c>
      <c r="J11" s="13" t="s">
        <v>22</v>
      </c>
      <c r="K11" s="13" t="s">
        <v>23</v>
      </c>
      <c r="L11" s="15">
        <v>892</v>
      </c>
      <c r="M11" s="13" t="s">
        <v>2345</v>
      </c>
      <c r="N11" s="14">
        <v>46301.100775462961</v>
      </c>
      <c r="O11" s="15">
        <v>360</v>
      </c>
      <c r="P11" s="13" t="s">
        <v>25</v>
      </c>
      <c r="Q11" s="15">
        <v>190</v>
      </c>
      <c r="R11" s="3" t="str">
        <f>IF(OR(G11="12R",G11="12L"),_xlfn.XLOOKUP(C11,Tabla42[ADEP],Tabla42[SID 12R],""),IF(OR(G11="30L",G11="30R"),_xlfn.XLOOKUP(C11,Tabla42[ADEP],Tabla42[SID 30L],""),""))</f>
        <v>UDGUV</v>
      </c>
      <c r="S11" s="3">
        <f t="shared" si="0"/>
        <v>1</v>
      </c>
      <c r="T11" s="3" t="str">
        <f>_xlfn.XLOOKUP(C11,Tabla42[ADEP],Tabla42[Sector],"")</f>
        <v>Sector 2</v>
      </c>
    </row>
    <row r="12" spans="1:20" x14ac:dyDescent="0.2">
      <c r="A12" s="13" t="s">
        <v>51</v>
      </c>
      <c r="B12" s="13" t="s">
        <v>18</v>
      </c>
      <c r="C12" s="13" t="s">
        <v>52</v>
      </c>
      <c r="D12" s="13" t="s">
        <v>53</v>
      </c>
      <c r="E12" s="13" t="s">
        <v>54</v>
      </c>
      <c r="F12" s="14">
        <v>46301.065659722219</v>
      </c>
      <c r="G12" s="13" t="s">
        <v>21</v>
      </c>
      <c r="H12" s="13" t="s">
        <v>2346</v>
      </c>
      <c r="I12" s="15">
        <v>310</v>
      </c>
      <c r="J12" s="13" t="s">
        <v>22</v>
      </c>
      <c r="K12" s="13" t="s">
        <v>23</v>
      </c>
      <c r="L12" s="15">
        <v>219</v>
      </c>
      <c r="M12" s="13" t="s">
        <v>55</v>
      </c>
      <c r="N12" s="14">
        <v>46301.079618055555</v>
      </c>
      <c r="O12" s="15">
        <v>310</v>
      </c>
      <c r="P12" s="13" t="s">
        <v>25</v>
      </c>
      <c r="Q12" s="15">
        <v>190</v>
      </c>
      <c r="R12" s="3" t="str">
        <f>IF(OR(G12="12R",G12="12L"),_xlfn.XLOOKUP(C12,Tabla42[ADEP],Tabla42[SID 12R],""),IF(OR(G12="30L",G12="30R"),_xlfn.XLOOKUP(C12,Tabla42[ADEP],Tabla42[SID 30L],""),""))</f>
        <v>CZM</v>
      </c>
      <c r="S12" s="3">
        <f t="shared" si="0"/>
        <v>1</v>
      </c>
      <c r="T12" s="3" t="str">
        <f>_xlfn.XLOOKUP(C12,Tabla42[ADEP],Tabla42[Sector],"")</f>
        <v>Sector 7</v>
      </c>
    </row>
    <row r="13" spans="1:20" x14ac:dyDescent="0.2">
      <c r="A13" s="13" t="s">
        <v>64</v>
      </c>
      <c r="B13" s="13" t="s">
        <v>18</v>
      </c>
      <c r="C13" s="13" t="s">
        <v>65</v>
      </c>
      <c r="D13" s="13" t="s">
        <v>63</v>
      </c>
      <c r="E13" s="13" t="s">
        <v>774</v>
      </c>
      <c r="F13" s="14">
        <v>46301.094930555555</v>
      </c>
      <c r="G13" s="13" t="s">
        <v>21</v>
      </c>
      <c r="H13" s="13" t="s">
        <v>2347</v>
      </c>
      <c r="I13" s="15">
        <v>220</v>
      </c>
      <c r="J13" s="13" t="s">
        <v>22</v>
      </c>
      <c r="K13" s="13" t="s">
        <v>23</v>
      </c>
      <c r="L13" s="15">
        <v>355</v>
      </c>
      <c r="M13" s="13" t="s">
        <v>65</v>
      </c>
      <c r="N13" s="14">
        <v>46301.119189814817</v>
      </c>
      <c r="O13" s="15">
        <v>0</v>
      </c>
      <c r="P13" s="13" t="s">
        <v>25</v>
      </c>
      <c r="Q13" s="15">
        <v>190</v>
      </c>
      <c r="R13" s="3" t="str">
        <f>IF(OR(G13="12R",G13="12L"),_xlfn.XLOOKUP(C13,Tabla42[ADEP],Tabla42[SID 12R],""),IF(OR(G13="30L",G13="30R"),_xlfn.XLOOKUP(C13,Tabla42[ADEP],Tabla42[SID 30L],""),""))</f>
        <v>UDGUV</v>
      </c>
      <c r="S13" s="3">
        <f t="shared" si="0"/>
        <v>2</v>
      </c>
      <c r="T13" s="3" t="str">
        <f>_xlfn.XLOOKUP(C13,Tabla42[ADEP],Tabla42[Sector],"")</f>
        <v>Sector 2</v>
      </c>
    </row>
    <row r="14" spans="1:20" x14ac:dyDescent="0.2">
      <c r="A14" s="13" t="s">
        <v>61</v>
      </c>
      <c r="B14" s="13" t="s">
        <v>18</v>
      </c>
      <c r="C14" s="13" t="s">
        <v>62</v>
      </c>
      <c r="D14" s="13" t="s">
        <v>63</v>
      </c>
      <c r="E14" s="13" t="s">
        <v>1079</v>
      </c>
      <c r="F14" s="14">
        <v>46301.096979166665</v>
      </c>
      <c r="G14" s="13" t="s">
        <v>21</v>
      </c>
      <c r="H14" s="13" t="s">
        <v>2348</v>
      </c>
      <c r="I14" s="15">
        <v>320</v>
      </c>
      <c r="J14" s="13" t="s">
        <v>22</v>
      </c>
      <c r="K14" s="13" t="s">
        <v>23</v>
      </c>
      <c r="L14" s="15">
        <v>864</v>
      </c>
      <c r="M14" s="13" t="s">
        <v>730</v>
      </c>
      <c r="N14" s="14">
        <v>46301.142418981479</v>
      </c>
      <c r="O14" s="15">
        <v>320</v>
      </c>
      <c r="P14" s="13" t="s">
        <v>25</v>
      </c>
      <c r="Q14" s="15">
        <v>190</v>
      </c>
      <c r="R14" s="3" t="str">
        <f>IF(OR(G14="12R",G14="12L"),_xlfn.XLOOKUP(C14,Tabla42[ADEP],Tabla42[SID 12R],""),IF(OR(G14="30L",G14="30R"),_xlfn.XLOOKUP(C14,Tabla42[ADEP],Tabla42[SID 30L],""),""))</f>
        <v>UDGUV</v>
      </c>
      <c r="S14" s="3">
        <f t="shared" si="0"/>
        <v>2</v>
      </c>
      <c r="T14" s="3" t="str">
        <f>_xlfn.XLOOKUP(C14,Tabla42[ADEP],Tabla42[Sector],"")</f>
        <v>Sector 2</v>
      </c>
    </row>
    <row r="15" spans="1:20" x14ac:dyDescent="0.2">
      <c r="A15" s="13" t="s">
        <v>59</v>
      </c>
      <c r="B15" s="13" t="s">
        <v>18</v>
      </c>
      <c r="C15" s="13" t="s">
        <v>27</v>
      </c>
      <c r="D15" s="13" t="s">
        <v>60</v>
      </c>
      <c r="E15" s="13" t="s">
        <v>634</v>
      </c>
      <c r="F15" s="14">
        <v>46301.100219907406</v>
      </c>
      <c r="G15" s="13" t="s">
        <v>21</v>
      </c>
      <c r="H15" s="13" t="s">
        <v>2349</v>
      </c>
      <c r="I15" s="15">
        <v>310</v>
      </c>
      <c r="J15" s="13" t="s">
        <v>22</v>
      </c>
      <c r="K15" s="13" t="s">
        <v>23</v>
      </c>
      <c r="L15" s="15">
        <v>251</v>
      </c>
      <c r="M15" s="13" t="s">
        <v>2350</v>
      </c>
      <c r="N15" s="14">
        <v>46301.115416666667</v>
      </c>
      <c r="O15" s="15">
        <v>263</v>
      </c>
      <c r="P15" s="13" t="s">
        <v>25</v>
      </c>
      <c r="Q15" s="15">
        <v>40</v>
      </c>
      <c r="R15" s="3" t="str">
        <f>IF(OR(G15="12R",G15="12L"),_xlfn.XLOOKUP(C15,Tabla42[ADEP],Tabla42[SID 12R],""),IF(OR(G15="30L",G15="30R"),_xlfn.XLOOKUP(C15,Tabla42[ADEP],Tabla42[SID 30L],""),""))</f>
        <v>OMSUK</v>
      </c>
      <c r="S15" s="3">
        <f t="shared" si="0"/>
        <v>2</v>
      </c>
      <c r="T15" s="3" t="str">
        <f>_xlfn.XLOOKUP(C15,Tabla42[ADEP],Tabla42[Sector],"")</f>
        <v>Sector 3</v>
      </c>
    </row>
    <row r="16" spans="1:20" x14ac:dyDescent="0.2">
      <c r="A16" s="13" t="s">
        <v>67</v>
      </c>
      <c r="B16" s="13" t="s">
        <v>18</v>
      </c>
      <c r="C16" s="13" t="s">
        <v>37</v>
      </c>
      <c r="D16" s="13" t="s">
        <v>38</v>
      </c>
      <c r="E16" s="13" t="s">
        <v>2351</v>
      </c>
      <c r="F16" s="14">
        <v>46301.103703703702</v>
      </c>
      <c r="G16" s="13" t="s">
        <v>21</v>
      </c>
      <c r="H16" s="13" t="s">
        <v>2352</v>
      </c>
      <c r="I16" s="15">
        <v>370</v>
      </c>
      <c r="J16" s="13" t="s">
        <v>22</v>
      </c>
      <c r="K16" s="13" t="s">
        <v>23</v>
      </c>
      <c r="L16" s="15">
        <v>136</v>
      </c>
      <c r="M16" s="13" t="s">
        <v>39</v>
      </c>
      <c r="N16" s="14">
        <v>46301.113217592596</v>
      </c>
      <c r="O16" s="15">
        <v>219</v>
      </c>
      <c r="P16" s="13" t="s">
        <v>40</v>
      </c>
      <c r="Q16" s="15">
        <v>190</v>
      </c>
      <c r="R16" s="3" t="str">
        <f>IF(OR(G16="12R",G16="12L"),_xlfn.XLOOKUP(C16,Tabla42[ADEP],Tabla42[SID 12R],""),IF(OR(G16="30L",G16="30R"),_xlfn.XLOOKUP(C16,Tabla42[ADEP],Tabla42[SID 30L],""),""))</f>
        <v>NUDAL</v>
      </c>
      <c r="S16" s="3">
        <f t="shared" si="0"/>
        <v>2</v>
      </c>
      <c r="T16" s="3" t="str">
        <f>_xlfn.XLOOKUP(C16,Tabla42[ADEP],Tabla42[Sector],"")</f>
        <v>Sector 3</v>
      </c>
    </row>
    <row r="17" spans="1:20" x14ac:dyDescent="0.2">
      <c r="A17" s="13" t="s">
        <v>46</v>
      </c>
      <c r="B17" s="13" t="s">
        <v>18</v>
      </c>
      <c r="C17" s="13" t="s">
        <v>47</v>
      </c>
      <c r="D17" s="13" t="s">
        <v>48</v>
      </c>
      <c r="E17" s="13" t="s">
        <v>619</v>
      </c>
      <c r="F17" s="14">
        <v>46301.11445601852</v>
      </c>
      <c r="G17" s="13" t="s">
        <v>21</v>
      </c>
      <c r="H17" s="13" t="s">
        <v>2353</v>
      </c>
      <c r="I17" s="15">
        <v>350</v>
      </c>
      <c r="J17" s="13" t="s">
        <v>22</v>
      </c>
      <c r="K17" s="13" t="s">
        <v>23</v>
      </c>
      <c r="L17" s="15">
        <v>359</v>
      </c>
      <c r="M17" s="13" t="s">
        <v>30</v>
      </c>
      <c r="N17" s="14">
        <v>46301.134398148148</v>
      </c>
      <c r="O17" s="15">
        <v>350</v>
      </c>
      <c r="P17" s="13" t="s">
        <v>40</v>
      </c>
      <c r="Q17" s="15">
        <v>40</v>
      </c>
      <c r="R17" s="3" t="str">
        <f>IF(OR(G17="12R",G17="12L"),_xlfn.XLOOKUP(C17,Tabla42[ADEP],Tabla42[SID 12R],""),IF(OR(G17="30L",G17="30R"),_xlfn.XLOOKUP(C17,Tabla42[ADEP],Tabla42[SID 30L],""),""))</f>
        <v>NUDAL</v>
      </c>
      <c r="S17" s="3">
        <f t="shared" si="0"/>
        <v>2</v>
      </c>
      <c r="T17" s="3" t="str">
        <f>_xlfn.XLOOKUP(C17,Tabla42[ADEP],Tabla42[Sector],"")</f>
        <v>Sector 3</v>
      </c>
    </row>
    <row r="18" spans="1:20" x14ac:dyDescent="0.2">
      <c r="A18" s="13" t="s">
        <v>69</v>
      </c>
      <c r="B18" s="13" t="s">
        <v>18</v>
      </c>
      <c r="C18" s="13" t="s">
        <v>42</v>
      </c>
      <c r="D18" s="13" t="s">
        <v>53</v>
      </c>
      <c r="E18" s="13" t="s">
        <v>787</v>
      </c>
      <c r="F18" s="14">
        <v>46301.116516203707</v>
      </c>
      <c r="G18" s="13" t="s">
        <v>21</v>
      </c>
      <c r="H18" s="13" t="s">
        <v>2354</v>
      </c>
      <c r="I18" s="15">
        <v>360</v>
      </c>
      <c r="J18" s="13" t="s">
        <v>22</v>
      </c>
      <c r="K18" s="13" t="s">
        <v>23</v>
      </c>
      <c r="L18" s="15">
        <v>859</v>
      </c>
      <c r="M18" s="13" t="s">
        <v>45</v>
      </c>
      <c r="N18" s="14">
        <v>46301.161458333336</v>
      </c>
      <c r="O18" s="15">
        <v>360</v>
      </c>
      <c r="P18" s="13" t="s">
        <v>25</v>
      </c>
      <c r="Q18" s="15">
        <v>190</v>
      </c>
      <c r="R18" s="3" t="str">
        <f>IF(OR(G18="12R",G18="12L"),_xlfn.XLOOKUP(C18,Tabla42[ADEP],Tabla42[SID 12R],""),IF(OR(G18="30L",G18="30R"),_xlfn.XLOOKUP(C18,Tabla42[ADEP],Tabla42[SID 30L],""),""))</f>
        <v>UDGUV</v>
      </c>
      <c r="S18" s="3">
        <f t="shared" si="0"/>
        <v>2</v>
      </c>
      <c r="T18" s="3" t="str">
        <f>_xlfn.XLOOKUP(C18,Tabla42[ADEP],Tabla42[Sector],"")</f>
        <v>Sector 2</v>
      </c>
    </row>
    <row r="19" spans="1:20" x14ac:dyDescent="0.2">
      <c r="A19" s="13" t="s">
        <v>765</v>
      </c>
      <c r="B19" s="13" t="s">
        <v>18</v>
      </c>
      <c r="C19" s="13" t="s">
        <v>158</v>
      </c>
      <c r="D19" s="13" t="s">
        <v>60</v>
      </c>
      <c r="E19" s="13" t="s">
        <v>2355</v>
      </c>
      <c r="F19" s="14">
        <v>46301.118969907409</v>
      </c>
      <c r="G19" s="13" t="s">
        <v>21</v>
      </c>
      <c r="H19" s="13" t="s">
        <v>2356</v>
      </c>
      <c r="I19" s="15">
        <v>370</v>
      </c>
      <c r="J19" s="13" t="s">
        <v>22</v>
      </c>
      <c r="K19" s="13" t="s">
        <v>23</v>
      </c>
      <c r="L19" s="15">
        <v>136</v>
      </c>
      <c r="M19" s="13" t="s">
        <v>39</v>
      </c>
      <c r="N19" s="14">
        <v>46301.128784722219</v>
      </c>
      <c r="O19" s="15">
        <v>240</v>
      </c>
      <c r="P19" s="13" t="s">
        <v>25</v>
      </c>
      <c r="Q19" s="15">
        <v>190</v>
      </c>
      <c r="R19" s="3" t="str">
        <f>IF(OR(G19="12R",G19="12L"),_xlfn.XLOOKUP(C19,Tabla42[ADEP],Tabla42[SID 12R],""),IF(OR(G19="30L",G19="30R"),_xlfn.XLOOKUP(C19,Tabla42[ADEP],Tabla42[SID 30L],""),""))</f>
        <v>OMSUK</v>
      </c>
      <c r="S19" s="3">
        <f t="shared" si="0"/>
        <v>2</v>
      </c>
      <c r="T19" s="3" t="str">
        <f>_xlfn.XLOOKUP(C19,Tabla42[ADEP],Tabla42[Sector],"")</f>
        <v>Sector 3</v>
      </c>
    </row>
    <row r="20" spans="1:20" x14ac:dyDescent="0.2">
      <c r="A20" s="13" t="s">
        <v>348</v>
      </c>
      <c r="B20" s="13" t="s">
        <v>18</v>
      </c>
      <c r="C20" s="13" t="s">
        <v>204</v>
      </c>
      <c r="D20" s="13" t="s">
        <v>53</v>
      </c>
      <c r="E20" s="13" t="s">
        <v>393</v>
      </c>
      <c r="F20" s="14">
        <v>46301.120243055557</v>
      </c>
      <c r="G20" s="13" t="s">
        <v>21</v>
      </c>
      <c r="H20" s="13" t="s">
        <v>2357</v>
      </c>
      <c r="I20" s="15">
        <v>370</v>
      </c>
      <c r="J20" s="13" t="s">
        <v>22</v>
      </c>
      <c r="K20" s="13" t="s">
        <v>23</v>
      </c>
      <c r="L20" s="15">
        <v>156</v>
      </c>
      <c r="M20" s="13" t="s">
        <v>2322</v>
      </c>
      <c r="N20" s="14">
        <v>46301.130949074075</v>
      </c>
      <c r="O20" s="15">
        <v>290</v>
      </c>
      <c r="P20" s="13" t="s">
        <v>25</v>
      </c>
      <c r="Q20" s="15">
        <v>190</v>
      </c>
      <c r="R20" s="3" t="str">
        <f>IF(OR(G20="12R",G20="12L"),_xlfn.XLOOKUP(C20,Tabla42[ADEP],Tabla42[SID 12R],""),IF(OR(G20="30L",G20="30R"),_xlfn.XLOOKUP(C20,Tabla42[ADEP],Tabla42[SID 30L],""),""))</f>
        <v>TAKUX</v>
      </c>
      <c r="S20" s="3">
        <f t="shared" si="0"/>
        <v>2</v>
      </c>
      <c r="T20" s="3" t="str">
        <f>_xlfn.XLOOKUP(C20,Tabla42[ADEP],Tabla42[Sector],"")</f>
        <v>Sector 7</v>
      </c>
    </row>
    <row r="21" spans="1:20" x14ac:dyDescent="0.2">
      <c r="A21" s="13" t="s">
        <v>78</v>
      </c>
      <c r="B21" s="13" t="s">
        <v>18</v>
      </c>
      <c r="C21" s="13" t="s">
        <v>42</v>
      </c>
      <c r="D21" s="13" t="s">
        <v>20</v>
      </c>
      <c r="E21" s="13" t="s">
        <v>667</v>
      </c>
      <c r="F21" s="14">
        <v>46301.121921296297</v>
      </c>
      <c r="G21" s="13" t="s">
        <v>21</v>
      </c>
      <c r="H21" s="13" t="s">
        <v>2358</v>
      </c>
      <c r="I21" s="15">
        <v>360</v>
      </c>
      <c r="J21" s="13" t="s">
        <v>22</v>
      </c>
      <c r="K21" s="13" t="s">
        <v>23</v>
      </c>
      <c r="L21" s="15">
        <v>859</v>
      </c>
      <c r="M21" s="13" t="s">
        <v>45</v>
      </c>
      <c r="N21" s="14">
        <v>46301.166886574072</v>
      </c>
      <c r="O21" s="15">
        <v>360</v>
      </c>
      <c r="P21" s="13" t="s">
        <v>25</v>
      </c>
      <c r="Q21" s="15">
        <v>190</v>
      </c>
      <c r="R21" s="3" t="str">
        <f>IF(OR(G21="12R",G21="12L"),_xlfn.XLOOKUP(C21,Tabla42[ADEP],Tabla42[SID 12R],""),IF(OR(G21="30L",G21="30R"),_xlfn.XLOOKUP(C21,Tabla42[ADEP],Tabla42[SID 30L],""),""))</f>
        <v>UDGUV</v>
      </c>
      <c r="S21" s="3">
        <f t="shared" si="0"/>
        <v>2</v>
      </c>
      <c r="T21" s="3" t="str">
        <f>_xlfn.XLOOKUP(C21,Tabla42[ADEP],Tabla42[Sector],"")</f>
        <v>Sector 2</v>
      </c>
    </row>
    <row r="22" spans="1:20" x14ac:dyDescent="0.2">
      <c r="A22" s="13" t="s">
        <v>72</v>
      </c>
      <c r="B22" s="13" t="s">
        <v>18</v>
      </c>
      <c r="C22" s="13" t="s">
        <v>73</v>
      </c>
      <c r="D22" s="13" t="s">
        <v>63</v>
      </c>
      <c r="E22" s="13" t="s">
        <v>2359</v>
      </c>
      <c r="F22" s="14">
        <v>46301.125902777778</v>
      </c>
      <c r="G22" s="13" t="s">
        <v>21</v>
      </c>
      <c r="H22" s="13" t="s">
        <v>2360</v>
      </c>
      <c r="I22" s="15">
        <v>320</v>
      </c>
      <c r="J22" s="13" t="s">
        <v>22</v>
      </c>
      <c r="K22" s="13" t="s">
        <v>23</v>
      </c>
      <c r="L22" s="15">
        <v>722</v>
      </c>
      <c r="M22" s="13" t="s">
        <v>73</v>
      </c>
      <c r="N22" s="14">
        <v>46301.17019675926</v>
      </c>
      <c r="O22" s="15">
        <v>0</v>
      </c>
      <c r="P22" s="13" t="s">
        <v>25</v>
      </c>
      <c r="Q22" s="15">
        <v>190</v>
      </c>
      <c r="R22" s="3" t="str">
        <f>IF(OR(G22="12R",G22="12L"),_xlfn.XLOOKUP(C22,Tabla42[ADEP],Tabla42[SID 12R],""),IF(OR(G22="30L",G22="30R"),_xlfn.XLOOKUP(C22,Tabla42[ADEP],Tabla42[SID 30L],""),""))</f>
        <v>UDGUV</v>
      </c>
      <c r="S22" s="3">
        <f t="shared" si="0"/>
        <v>3</v>
      </c>
      <c r="T22" s="3" t="str">
        <f>_xlfn.XLOOKUP(C22,Tabla42[ADEP],Tabla42[Sector],"")</f>
        <v>Sector 2</v>
      </c>
    </row>
    <row r="23" spans="1:20" x14ac:dyDescent="0.2">
      <c r="A23" s="13" t="s">
        <v>81</v>
      </c>
      <c r="B23" s="13" t="s">
        <v>18</v>
      </c>
      <c r="C23" s="13" t="s">
        <v>49</v>
      </c>
      <c r="D23" s="13" t="s">
        <v>33</v>
      </c>
      <c r="E23" s="13" t="s">
        <v>532</v>
      </c>
      <c r="F23" s="14">
        <v>46301.127314814818</v>
      </c>
      <c r="G23" s="13" t="s">
        <v>21</v>
      </c>
      <c r="H23" s="13" t="s">
        <v>2361</v>
      </c>
      <c r="I23" s="15">
        <v>360</v>
      </c>
      <c r="J23" s="13" t="s">
        <v>22</v>
      </c>
      <c r="K23" s="13" t="s">
        <v>23</v>
      </c>
      <c r="L23" s="15">
        <v>859</v>
      </c>
      <c r="M23" s="13" t="s">
        <v>45</v>
      </c>
      <c r="N23" s="14">
        <v>46301.172465277778</v>
      </c>
      <c r="O23" s="15">
        <v>360</v>
      </c>
      <c r="P23" s="13" t="s">
        <v>25</v>
      </c>
      <c r="Q23" s="15">
        <v>190</v>
      </c>
      <c r="R23" s="3" t="str">
        <f>IF(OR(G23="12R",G23="12L"),_xlfn.XLOOKUP(C23,Tabla42[ADEP],Tabla42[SID 12R],""),IF(OR(G23="30L",G23="30R"),_xlfn.XLOOKUP(C23,Tabla42[ADEP],Tabla42[SID 30L],""),""))</f>
        <v>UDGUV</v>
      </c>
      <c r="S23" s="3">
        <f t="shared" si="0"/>
        <v>3</v>
      </c>
      <c r="T23" s="3" t="str">
        <f>_xlfn.XLOOKUP(C23,Tabla42[ADEP],Tabla42[Sector],"")</f>
        <v>Sector 2</v>
      </c>
    </row>
    <row r="24" spans="1:20" x14ac:dyDescent="0.2">
      <c r="A24" s="13" t="s">
        <v>75</v>
      </c>
      <c r="B24" s="13" t="s">
        <v>18</v>
      </c>
      <c r="C24" s="13" t="s">
        <v>19</v>
      </c>
      <c r="D24" s="13" t="s">
        <v>20</v>
      </c>
      <c r="E24" s="13" t="s">
        <v>76</v>
      </c>
      <c r="F24" s="14">
        <v>46301.144537037035</v>
      </c>
      <c r="G24" s="13" t="s">
        <v>21</v>
      </c>
      <c r="H24" s="13" t="s">
        <v>2362</v>
      </c>
      <c r="I24" s="15">
        <v>360</v>
      </c>
      <c r="J24" s="13" t="s">
        <v>22</v>
      </c>
      <c r="K24" s="13" t="s">
        <v>23</v>
      </c>
      <c r="L24" s="15">
        <v>862</v>
      </c>
      <c r="M24" s="13" t="s">
        <v>414</v>
      </c>
      <c r="N24" s="14">
        <v>46301.189143518517</v>
      </c>
      <c r="O24" s="15">
        <v>360</v>
      </c>
      <c r="P24" s="13" t="s">
        <v>25</v>
      </c>
      <c r="Q24" s="15">
        <v>190</v>
      </c>
      <c r="R24" s="3" t="str">
        <f>IF(OR(G24="12R",G24="12L"),_xlfn.XLOOKUP(C24,Tabla42[ADEP],Tabla42[SID 12R],""),IF(OR(G24="30L",G24="30R"),_xlfn.XLOOKUP(C24,Tabla42[ADEP],Tabla42[SID 30L],""),""))</f>
        <v>UDGUV</v>
      </c>
      <c r="S24" s="3">
        <f t="shared" si="0"/>
        <v>3</v>
      </c>
      <c r="T24" s="3" t="str">
        <f>_xlfn.XLOOKUP(C24,Tabla42[ADEP],Tabla42[Sector],"")</f>
        <v>Sector 2</v>
      </c>
    </row>
    <row r="25" spans="1:20" x14ac:dyDescent="0.2">
      <c r="A25" s="13" t="s">
        <v>88</v>
      </c>
      <c r="B25" s="13" t="s">
        <v>18</v>
      </c>
      <c r="C25" s="13" t="s">
        <v>32</v>
      </c>
      <c r="D25" s="13" t="s">
        <v>20</v>
      </c>
      <c r="E25" s="13" t="s">
        <v>316</v>
      </c>
      <c r="F25" s="14">
        <v>46301.154780092591</v>
      </c>
      <c r="G25" s="13" t="s">
        <v>21</v>
      </c>
      <c r="H25" s="13" t="s">
        <v>2363</v>
      </c>
      <c r="I25" s="15">
        <v>360</v>
      </c>
      <c r="J25" s="13" t="s">
        <v>22</v>
      </c>
      <c r="K25" s="13" t="s">
        <v>23</v>
      </c>
      <c r="L25" s="15">
        <v>865</v>
      </c>
      <c r="M25" s="13" t="s">
        <v>35</v>
      </c>
      <c r="N25" s="14">
        <v>46301.199502314812</v>
      </c>
      <c r="O25" s="15">
        <v>360</v>
      </c>
      <c r="P25" s="13" t="s">
        <v>25</v>
      </c>
      <c r="Q25" s="15">
        <v>190</v>
      </c>
      <c r="R25" s="3" t="str">
        <f>IF(OR(G25="12R",G25="12L"),_xlfn.XLOOKUP(C25,Tabla42[ADEP],Tabla42[SID 12R],""),IF(OR(G25="30L",G25="30R"),_xlfn.XLOOKUP(C25,Tabla42[ADEP],Tabla42[SID 30L],""),""))</f>
        <v>UDGUV</v>
      </c>
      <c r="S25" s="3">
        <f t="shared" si="0"/>
        <v>3</v>
      </c>
      <c r="T25" s="3" t="str">
        <f>_xlfn.XLOOKUP(C25,Tabla42[ADEP],Tabla42[Sector],"")</f>
        <v>Sector 2</v>
      </c>
    </row>
    <row r="26" spans="1:20" x14ac:dyDescent="0.2">
      <c r="A26" s="13" t="s">
        <v>86</v>
      </c>
      <c r="B26" s="13" t="s">
        <v>18</v>
      </c>
      <c r="C26" s="13" t="s">
        <v>42</v>
      </c>
      <c r="D26" s="13" t="s">
        <v>20</v>
      </c>
      <c r="E26" s="13" t="s">
        <v>819</v>
      </c>
      <c r="F26" s="14">
        <v>46301.242939814816</v>
      </c>
      <c r="G26" s="13" t="s">
        <v>21</v>
      </c>
      <c r="H26" s="13" t="s">
        <v>1049</v>
      </c>
      <c r="I26" s="15">
        <v>360</v>
      </c>
      <c r="J26" s="13" t="s">
        <v>22</v>
      </c>
      <c r="K26" s="13" t="s">
        <v>23</v>
      </c>
      <c r="L26" s="15">
        <v>861</v>
      </c>
      <c r="M26" s="13" t="s">
        <v>984</v>
      </c>
      <c r="N26" s="14">
        <v>46301.285567129627</v>
      </c>
      <c r="O26" s="15">
        <v>360</v>
      </c>
      <c r="P26" s="13" t="s">
        <v>25</v>
      </c>
      <c r="Q26" s="15">
        <v>190</v>
      </c>
      <c r="R26" s="3" t="str">
        <f>IF(OR(G26="12R",G26="12L"),_xlfn.XLOOKUP(C26,Tabla42[ADEP],Tabla42[SID 12R],""),IF(OR(G26="30L",G26="30R"),_xlfn.XLOOKUP(C26,Tabla42[ADEP],Tabla42[SID 30L],""),""))</f>
        <v>UDGUV</v>
      </c>
      <c r="S26" s="3">
        <f t="shared" si="0"/>
        <v>5</v>
      </c>
      <c r="T26" s="3" t="str">
        <f>_xlfn.XLOOKUP(C26,Tabla42[ADEP],Tabla42[Sector],"")</f>
        <v>Sector 2</v>
      </c>
    </row>
    <row r="27" spans="1:20" x14ac:dyDescent="0.2">
      <c r="A27" s="13" t="s">
        <v>90</v>
      </c>
      <c r="B27" s="13" t="s">
        <v>18</v>
      </c>
      <c r="C27" s="13" t="s">
        <v>42</v>
      </c>
      <c r="D27" s="13" t="s">
        <v>53</v>
      </c>
      <c r="E27" s="13" t="s">
        <v>956</v>
      </c>
      <c r="F27" s="14">
        <v>46301.433796296296</v>
      </c>
      <c r="G27" s="13" t="s">
        <v>21</v>
      </c>
      <c r="H27" s="13" t="s">
        <v>2364</v>
      </c>
      <c r="I27" s="15">
        <v>380</v>
      </c>
      <c r="J27" s="13" t="s">
        <v>22</v>
      </c>
      <c r="K27" s="13" t="s">
        <v>23</v>
      </c>
      <c r="L27" s="15">
        <v>861</v>
      </c>
      <c r="M27" s="13" t="s">
        <v>540</v>
      </c>
      <c r="N27" s="14">
        <v>46301.479456018518</v>
      </c>
      <c r="O27" s="15">
        <v>380</v>
      </c>
      <c r="P27" s="13" t="s">
        <v>25</v>
      </c>
      <c r="Q27" s="15">
        <v>190</v>
      </c>
      <c r="R27" s="3" t="str">
        <f>IF(OR(G27="12R",G27="12L"),_xlfn.XLOOKUP(C27,Tabla42[ADEP],Tabla42[SID 12R],""),IF(OR(G27="30L",G27="30R"),_xlfn.XLOOKUP(C27,Tabla42[ADEP],Tabla42[SID 30L],""),""))</f>
        <v>UDGUV</v>
      </c>
      <c r="S27" s="3">
        <f t="shared" si="0"/>
        <v>10</v>
      </c>
      <c r="T27" s="3" t="str">
        <f>_xlfn.XLOOKUP(C27,Tabla42[ADEP],Tabla42[Sector],"")</f>
        <v>Sector 2</v>
      </c>
    </row>
    <row r="28" spans="1:20" x14ac:dyDescent="0.2">
      <c r="A28" s="13" t="s">
        <v>92</v>
      </c>
      <c r="B28" s="13" t="s">
        <v>18</v>
      </c>
      <c r="C28" s="13" t="s">
        <v>93</v>
      </c>
      <c r="D28" s="13" t="s">
        <v>20</v>
      </c>
      <c r="E28" s="13" t="s">
        <v>57</v>
      </c>
      <c r="F28" s="14">
        <v>46301.460868055554</v>
      </c>
      <c r="G28" s="13" t="s">
        <v>21</v>
      </c>
      <c r="H28" s="13" t="s">
        <v>2365</v>
      </c>
      <c r="I28" s="15">
        <v>380</v>
      </c>
      <c r="J28" s="13" t="s">
        <v>22</v>
      </c>
      <c r="K28" s="13" t="s">
        <v>23</v>
      </c>
      <c r="L28" s="15">
        <v>952</v>
      </c>
      <c r="M28" s="13" t="s">
        <v>2366</v>
      </c>
      <c r="N28" s="14">
        <v>46301.510810185187</v>
      </c>
      <c r="O28" s="15">
        <v>197</v>
      </c>
      <c r="P28" s="13" t="s">
        <v>25</v>
      </c>
      <c r="Q28" s="15">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3" t="s">
        <v>95</v>
      </c>
      <c r="B29" s="13" t="s">
        <v>18</v>
      </c>
      <c r="C29" s="13" t="s">
        <v>96</v>
      </c>
      <c r="D29" s="13" t="s">
        <v>53</v>
      </c>
      <c r="E29" s="13" t="s">
        <v>106</v>
      </c>
      <c r="F29" s="14">
        <v>46301.470081018517</v>
      </c>
      <c r="G29" s="13" t="s">
        <v>21</v>
      </c>
      <c r="H29" s="13" t="s">
        <v>2367</v>
      </c>
      <c r="I29" s="15">
        <v>380</v>
      </c>
      <c r="J29" s="13" t="s">
        <v>22</v>
      </c>
      <c r="K29" s="13" t="s">
        <v>23</v>
      </c>
      <c r="L29" s="15">
        <v>865</v>
      </c>
      <c r="M29" s="13" t="s">
        <v>2368</v>
      </c>
      <c r="N29" s="14">
        <v>46301.516053240739</v>
      </c>
      <c r="O29" s="15">
        <v>380</v>
      </c>
      <c r="P29" s="13" t="s">
        <v>25</v>
      </c>
      <c r="Q29" s="15">
        <v>190</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13" t="s">
        <v>98</v>
      </c>
      <c r="B30" s="13" t="s">
        <v>18</v>
      </c>
      <c r="C30" s="13" t="s">
        <v>42</v>
      </c>
      <c r="D30" s="13" t="s">
        <v>43</v>
      </c>
      <c r="E30" s="13" t="s">
        <v>2220</v>
      </c>
      <c r="F30" s="14">
        <v>46301.471909722219</v>
      </c>
      <c r="G30" s="13" t="s">
        <v>21</v>
      </c>
      <c r="H30" s="13" t="s">
        <v>2369</v>
      </c>
      <c r="I30" s="15">
        <v>360</v>
      </c>
      <c r="J30" s="13" t="s">
        <v>22</v>
      </c>
      <c r="K30" s="13" t="s">
        <v>23</v>
      </c>
      <c r="L30" s="15">
        <v>862</v>
      </c>
      <c r="M30" s="13" t="s">
        <v>2370</v>
      </c>
      <c r="N30" s="14">
        <v>46301.518136574072</v>
      </c>
      <c r="O30" s="15">
        <v>360</v>
      </c>
      <c r="P30" s="13" t="s">
        <v>25</v>
      </c>
      <c r="Q30" s="15">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3" t="s">
        <v>101</v>
      </c>
      <c r="B31" s="13" t="s">
        <v>18</v>
      </c>
      <c r="C31" s="13" t="s">
        <v>102</v>
      </c>
      <c r="D31" s="13" t="s">
        <v>33</v>
      </c>
      <c r="E31" s="13" t="s">
        <v>368</v>
      </c>
      <c r="F31" s="14">
        <v>46301.487534722219</v>
      </c>
      <c r="G31" s="13" t="s">
        <v>21</v>
      </c>
      <c r="H31" s="13" t="s">
        <v>2371</v>
      </c>
      <c r="I31" s="15">
        <v>290</v>
      </c>
      <c r="J31" s="13" t="s">
        <v>22</v>
      </c>
      <c r="K31" s="13" t="s">
        <v>23</v>
      </c>
      <c r="L31" s="15">
        <v>133</v>
      </c>
      <c r="M31" s="13" t="s">
        <v>39</v>
      </c>
      <c r="N31" s="14">
        <v>46301.49695601852</v>
      </c>
      <c r="O31" s="15">
        <v>267</v>
      </c>
      <c r="P31" s="13" t="s">
        <v>25</v>
      </c>
      <c r="Q31" s="15">
        <v>190</v>
      </c>
      <c r="R31" s="3" t="str">
        <f>IF(OR(G31="12R",G31="12L"),_xlfn.XLOOKUP(C31,Tabla42[ADEP],Tabla42[SID 12R],""),IF(OR(G31="30L",G31="30R"),_xlfn.XLOOKUP(C31,Tabla42[ADEP],Tabla42[SID 30L],""),""))</f>
        <v>NUDAL</v>
      </c>
      <c r="S31" s="3">
        <f t="shared" si="0"/>
        <v>11</v>
      </c>
      <c r="T31" s="3" t="str">
        <f>_xlfn.XLOOKUP(C31,Tabla42[ADEP],Tabla42[Sector],"")</f>
        <v>Sector 3</v>
      </c>
    </row>
    <row r="32" spans="1:20" x14ac:dyDescent="0.2">
      <c r="A32" s="13" t="s">
        <v>100</v>
      </c>
      <c r="B32" s="13" t="s">
        <v>18</v>
      </c>
      <c r="C32" s="13" t="s">
        <v>42</v>
      </c>
      <c r="D32" s="13" t="s">
        <v>20</v>
      </c>
      <c r="E32" s="13" t="s">
        <v>484</v>
      </c>
      <c r="F32" s="14">
        <v>46301.496608796297</v>
      </c>
      <c r="G32" s="13" t="s">
        <v>21</v>
      </c>
      <c r="H32" s="13" t="s">
        <v>2372</v>
      </c>
      <c r="I32" s="15">
        <v>360</v>
      </c>
      <c r="J32" s="13" t="s">
        <v>22</v>
      </c>
      <c r="K32" s="13" t="s">
        <v>23</v>
      </c>
      <c r="L32" s="15">
        <v>874</v>
      </c>
      <c r="M32" s="13" t="s">
        <v>2029</v>
      </c>
      <c r="N32" s="14">
        <v>46301.542453703703</v>
      </c>
      <c r="O32" s="15">
        <v>360</v>
      </c>
      <c r="P32" s="13" t="s">
        <v>25</v>
      </c>
      <c r="Q32" s="15">
        <v>190</v>
      </c>
      <c r="R32" s="3" t="str">
        <f>IF(OR(G32="12R",G32="12L"),_xlfn.XLOOKUP(C32,Tabla42[ADEP],Tabla42[SID 12R],""),IF(OR(G32="30L",G32="30R"),_xlfn.XLOOKUP(C32,Tabla42[ADEP],Tabla42[SID 30L],""),""))</f>
        <v>UDGUV</v>
      </c>
      <c r="S32" s="3">
        <f t="shared" si="0"/>
        <v>11</v>
      </c>
      <c r="T32" s="3" t="str">
        <f>_xlfn.XLOOKUP(C32,Tabla42[ADEP],Tabla42[Sector],"")</f>
        <v>Sector 2</v>
      </c>
    </row>
    <row r="33" spans="1:20" x14ac:dyDescent="0.2">
      <c r="A33" s="13" t="s">
        <v>108</v>
      </c>
      <c r="B33" s="13" t="s">
        <v>18</v>
      </c>
      <c r="C33" s="13" t="s">
        <v>109</v>
      </c>
      <c r="D33" s="13" t="s">
        <v>122</v>
      </c>
      <c r="E33" s="13" t="s">
        <v>2373</v>
      </c>
      <c r="F33" s="14">
        <v>46301.502638888887</v>
      </c>
      <c r="G33" s="13" t="s">
        <v>21</v>
      </c>
      <c r="H33" s="13" t="s">
        <v>2374</v>
      </c>
      <c r="I33" s="15">
        <v>330</v>
      </c>
      <c r="J33" s="13" t="s">
        <v>22</v>
      </c>
      <c r="K33" s="13" t="s">
        <v>23</v>
      </c>
      <c r="L33" s="15">
        <v>149</v>
      </c>
      <c r="M33" s="13" t="s">
        <v>111</v>
      </c>
      <c r="N33" s="14">
        <v>46301.512604166666</v>
      </c>
      <c r="O33" s="15">
        <v>299</v>
      </c>
      <c r="P33" s="13" t="s">
        <v>25</v>
      </c>
      <c r="Q33" s="15">
        <v>190</v>
      </c>
      <c r="R33" s="3" t="str">
        <f>IF(OR(G33="12R",G33="12L"),_xlfn.XLOOKUP(C33,Tabla42[ADEP],Tabla42[SID 12R],""),IF(OR(G33="30L",G33="30R"),_xlfn.XLOOKUP(C33,Tabla42[ADEP],Tabla42[SID 30L],""),""))</f>
        <v>TAKUX</v>
      </c>
      <c r="S33" s="3">
        <f t="shared" si="0"/>
        <v>12</v>
      </c>
      <c r="T33" s="3" t="str">
        <f>_xlfn.XLOOKUP(C33,Tabla42[ADEP],Tabla42[Sector],"")</f>
        <v>Sector 7</v>
      </c>
    </row>
    <row r="34" spans="1:20" x14ac:dyDescent="0.2">
      <c r="A34" s="13" t="s">
        <v>112</v>
      </c>
      <c r="B34" s="13" t="s">
        <v>18</v>
      </c>
      <c r="C34" s="13" t="s">
        <v>113</v>
      </c>
      <c r="D34" s="13" t="s">
        <v>20</v>
      </c>
      <c r="E34" s="13" t="s">
        <v>169</v>
      </c>
      <c r="F34" s="14">
        <v>46301.50440972222</v>
      </c>
      <c r="G34" s="13" t="s">
        <v>21</v>
      </c>
      <c r="H34" s="13" t="s">
        <v>2375</v>
      </c>
      <c r="I34" s="15">
        <v>380</v>
      </c>
      <c r="J34" s="13" t="s">
        <v>22</v>
      </c>
      <c r="K34" s="13" t="s">
        <v>23</v>
      </c>
      <c r="L34" s="15">
        <v>843</v>
      </c>
      <c r="M34" s="13" t="s">
        <v>2376</v>
      </c>
      <c r="N34" s="14">
        <v>46301.550023148149</v>
      </c>
      <c r="O34" s="15">
        <v>380</v>
      </c>
      <c r="P34" s="13" t="s">
        <v>25</v>
      </c>
      <c r="Q34" s="15">
        <v>190</v>
      </c>
      <c r="R34" s="3" t="str">
        <f>IF(OR(G34="12R",G34="12L"),_xlfn.XLOOKUP(C34,Tabla42[ADEP],Tabla42[SID 12R],""),IF(OR(G34="30L",G34="30R"),_xlfn.XLOOKUP(C34,Tabla42[ADEP],Tabla42[SID 30L],""),""))</f>
        <v>UDGUV</v>
      </c>
      <c r="S34" s="3">
        <f t="shared" si="0"/>
        <v>12</v>
      </c>
      <c r="T34" s="3" t="str">
        <f>_xlfn.XLOOKUP(C34,Tabla42[ADEP],Tabla42[Sector],"")</f>
        <v>Sector 2</v>
      </c>
    </row>
    <row r="35" spans="1:20" x14ac:dyDescent="0.2">
      <c r="A35" s="13" t="s">
        <v>107</v>
      </c>
      <c r="B35" s="13" t="s">
        <v>18</v>
      </c>
      <c r="C35" s="13" t="s">
        <v>42</v>
      </c>
      <c r="D35" s="13" t="s">
        <v>43</v>
      </c>
      <c r="E35" s="13" t="s">
        <v>2377</v>
      </c>
      <c r="F35" s="14">
        <v>46301.510509259257</v>
      </c>
      <c r="G35" s="13" t="s">
        <v>21</v>
      </c>
      <c r="H35" s="13" t="s">
        <v>2378</v>
      </c>
      <c r="I35" s="15">
        <v>360</v>
      </c>
      <c r="J35" s="13" t="s">
        <v>22</v>
      </c>
      <c r="K35" s="13" t="s">
        <v>23</v>
      </c>
      <c r="L35" s="15">
        <v>876</v>
      </c>
      <c r="M35" s="13" t="s">
        <v>2379</v>
      </c>
      <c r="N35" s="14">
        <v>46301.556863425925</v>
      </c>
      <c r="O35" s="15">
        <v>360</v>
      </c>
      <c r="P35" s="13" t="s">
        <v>25</v>
      </c>
      <c r="Q35" s="15">
        <v>190</v>
      </c>
      <c r="R35" s="3" t="str">
        <f>IF(OR(G35="12R",G35="12L"),_xlfn.XLOOKUP(C35,Tabla42[ADEP],Tabla42[SID 12R],""),IF(OR(G35="30L",G35="30R"),_xlfn.XLOOKUP(C35,Tabla42[ADEP],Tabla42[SID 30L],""),""))</f>
        <v>UDGUV</v>
      </c>
      <c r="S35" s="3">
        <f t="shared" si="0"/>
        <v>12</v>
      </c>
      <c r="T35" s="3" t="str">
        <f>_xlfn.XLOOKUP(C35,Tabla42[ADEP],Tabla42[Sector],"")</f>
        <v>Sector 2</v>
      </c>
    </row>
    <row r="36" spans="1:20" x14ac:dyDescent="0.2">
      <c r="A36" s="13" t="s">
        <v>105</v>
      </c>
      <c r="B36" s="13" t="s">
        <v>18</v>
      </c>
      <c r="C36" s="13" t="s">
        <v>32</v>
      </c>
      <c r="D36" s="13" t="s">
        <v>53</v>
      </c>
      <c r="E36" s="13" t="s">
        <v>393</v>
      </c>
      <c r="F36" s="14">
        <v>46301.512870370374</v>
      </c>
      <c r="G36" s="13" t="s">
        <v>21</v>
      </c>
      <c r="H36" s="13" t="s">
        <v>2380</v>
      </c>
      <c r="I36" s="15">
        <v>320</v>
      </c>
      <c r="J36" s="13" t="s">
        <v>22</v>
      </c>
      <c r="K36" s="13" t="s">
        <v>23</v>
      </c>
      <c r="L36" s="15">
        <v>837</v>
      </c>
      <c r="M36" s="13" t="s">
        <v>1210</v>
      </c>
      <c r="N36" s="14">
        <v>46301.557349537034</v>
      </c>
      <c r="O36" s="15">
        <v>320</v>
      </c>
      <c r="P36" s="13" t="s">
        <v>25</v>
      </c>
      <c r="Q36" s="15">
        <v>190</v>
      </c>
      <c r="R36" s="3" t="str">
        <f>IF(OR(G36="12R",G36="12L"),_xlfn.XLOOKUP(C36,Tabla42[ADEP],Tabla42[SID 12R],""),IF(OR(G36="30L",G36="30R"),_xlfn.XLOOKUP(C36,Tabla42[ADEP],Tabla42[SID 30L],""),""))</f>
        <v>UDGUV</v>
      </c>
      <c r="S36" s="3">
        <f t="shared" si="0"/>
        <v>12</v>
      </c>
      <c r="T36" s="3" t="str">
        <f>_xlfn.XLOOKUP(C36,Tabla42[ADEP],Tabla42[Sector],"")</f>
        <v>Sector 2</v>
      </c>
    </row>
    <row r="37" spans="1:20" x14ac:dyDescent="0.2">
      <c r="A37" s="13" t="s">
        <v>2381</v>
      </c>
      <c r="B37" s="13" t="s">
        <v>18</v>
      </c>
      <c r="C37" s="13" t="s">
        <v>121</v>
      </c>
      <c r="D37" s="13" t="s">
        <v>122</v>
      </c>
      <c r="E37" s="13" t="s">
        <v>2382</v>
      </c>
      <c r="F37" s="14">
        <v>46301.517523148148</v>
      </c>
      <c r="G37" s="13" t="s">
        <v>21</v>
      </c>
      <c r="H37" s="13" t="s">
        <v>2383</v>
      </c>
      <c r="I37" s="15">
        <v>380</v>
      </c>
      <c r="J37" s="13" t="s">
        <v>22</v>
      </c>
      <c r="K37" s="13" t="s">
        <v>23</v>
      </c>
      <c r="L37" s="15">
        <v>517</v>
      </c>
      <c r="M37" s="13" t="s">
        <v>123</v>
      </c>
      <c r="N37" s="14">
        <v>46301.546296296299</v>
      </c>
      <c r="O37" s="15">
        <v>380</v>
      </c>
      <c r="P37" s="13" t="s">
        <v>25</v>
      </c>
      <c r="Q37" s="15">
        <v>40</v>
      </c>
      <c r="R37" s="3" t="str">
        <f>IF(OR(G37="12R",G37="12L"),_xlfn.XLOOKUP(C37,Tabla42[ADEP],Tabla42[SID 12R],""),IF(OR(G37="30L",G37="30R"),_xlfn.XLOOKUP(C37,Tabla42[ADEP],Tabla42[SID 30L],""),""))</f>
        <v>ENEBA</v>
      </c>
      <c r="S37" s="3">
        <f t="shared" si="0"/>
        <v>12</v>
      </c>
      <c r="T37" s="3" t="str">
        <f>_xlfn.XLOOKUP(C37,Tabla42[ADEP],Tabla42[Sector],"")</f>
        <v>Sector 3</v>
      </c>
    </row>
    <row r="38" spans="1:20" x14ac:dyDescent="0.2">
      <c r="A38" s="13" t="s">
        <v>115</v>
      </c>
      <c r="B38" s="13" t="s">
        <v>18</v>
      </c>
      <c r="C38" s="13" t="s">
        <v>116</v>
      </c>
      <c r="D38" s="13" t="s">
        <v>117</v>
      </c>
      <c r="E38" s="13" t="s">
        <v>2384</v>
      </c>
      <c r="F38" s="14">
        <v>46301.532106481478</v>
      </c>
      <c r="G38" s="13" t="s">
        <v>21</v>
      </c>
      <c r="H38" s="13" t="s">
        <v>2385</v>
      </c>
      <c r="I38" s="15">
        <v>360</v>
      </c>
      <c r="J38" s="13" t="s">
        <v>22</v>
      </c>
      <c r="K38" s="13" t="s">
        <v>23</v>
      </c>
      <c r="L38" s="15">
        <v>520</v>
      </c>
      <c r="M38" s="13" t="s">
        <v>123</v>
      </c>
      <c r="N38" s="14">
        <v>46301.560370370367</v>
      </c>
      <c r="O38" s="15">
        <v>380</v>
      </c>
      <c r="P38" s="13" t="s">
        <v>25</v>
      </c>
      <c r="Q38" s="15">
        <v>40</v>
      </c>
      <c r="R38" s="3" t="str">
        <f>IF(OR(G38="12R",G38="12L"),_xlfn.XLOOKUP(C38,Tabla42[ADEP],Tabla42[SID 12R],""),IF(OR(G38="30L",G38="30R"),_xlfn.XLOOKUP(C38,Tabla42[ADEP],Tabla42[SID 30L],""),""))</f>
        <v>ENEBA</v>
      </c>
      <c r="S38" s="3">
        <f t="shared" si="0"/>
        <v>12</v>
      </c>
      <c r="T38" s="3" t="str">
        <f>_xlfn.XLOOKUP(C38,Tabla42[ADEP],Tabla42[Sector],"")</f>
        <v>Sector 3</v>
      </c>
    </row>
    <row r="39" spans="1:20" x14ac:dyDescent="0.2">
      <c r="A39" s="13" t="s">
        <v>119</v>
      </c>
      <c r="B39" s="13" t="s">
        <v>18</v>
      </c>
      <c r="C39" s="13" t="s">
        <v>42</v>
      </c>
      <c r="D39" s="13" t="s">
        <v>43</v>
      </c>
      <c r="E39" s="13" t="s">
        <v>2386</v>
      </c>
      <c r="F39" s="14">
        <v>46301.549837962964</v>
      </c>
      <c r="G39" s="13" t="s">
        <v>21</v>
      </c>
      <c r="H39" s="13" t="s">
        <v>2387</v>
      </c>
      <c r="I39" s="15">
        <v>360</v>
      </c>
      <c r="J39" s="13" t="s">
        <v>22</v>
      </c>
      <c r="K39" s="13" t="s">
        <v>23</v>
      </c>
      <c r="L39" s="15">
        <v>943</v>
      </c>
      <c r="M39" s="13" t="s">
        <v>2087</v>
      </c>
      <c r="N39" s="14">
        <v>46301.59952546296</v>
      </c>
      <c r="O39" s="15">
        <v>360</v>
      </c>
      <c r="P39" s="13" t="s">
        <v>25</v>
      </c>
      <c r="Q39" s="15">
        <v>190</v>
      </c>
      <c r="R39" s="3" t="str">
        <f>IF(OR(G39="12R",G39="12L"),_xlfn.XLOOKUP(C39,Tabla42[ADEP],Tabla42[SID 12R],""),IF(OR(G39="30L",G39="30R"),_xlfn.XLOOKUP(C39,Tabla42[ADEP],Tabla42[SID 30L],""),""))</f>
        <v>UDGUV</v>
      </c>
      <c r="S39" s="3">
        <f t="shared" si="0"/>
        <v>13</v>
      </c>
      <c r="T39" s="3" t="str">
        <f>_xlfn.XLOOKUP(C39,Tabla42[ADEP],Tabla42[Sector],"")</f>
        <v>Sector 2</v>
      </c>
    </row>
    <row r="40" spans="1:20" x14ac:dyDescent="0.2">
      <c r="A40" s="13" t="s">
        <v>125</v>
      </c>
      <c r="B40" s="13" t="s">
        <v>18</v>
      </c>
      <c r="C40" s="13" t="s">
        <v>126</v>
      </c>
      <c r="D40" s="13" t="s">
        <v>122</v>
      </c>
      <c r="E40" s="13" t="s">
        <v>2388</v>
      </c>
      <c r="F40" s="14">
        <v>46301.55097222222</v>
      </c>
      <c r="G40" s="13" t="s">
        <v>21</v>
      </c>
      <c r="H40" s="13" t="s">
        <v>2389</v>
      </c>
      <c r="I40" s="15">
        <v>340</v>
      </c>
      <c r="J40" s="13" t="s">
        <v>22</v>
      </c>
      <c r="K40" s="13" t="s">
        <v>23</v>
      </c>
      <c r="L40" s="15">
        <v>446</v>
      </c>
      <c r="M40" s="13" t="s">
        <v>189</v>
      </c>
      <c r="N40" s="14">
        <v>46301.574884259258</v>
      </c>
      <c r="O40" s="15">
        <v>340</v>
      </c>
      <c r="P40" s="13" t="s">
        <v>25</v>
      </c>
      <c r="Q40" s="15">
        <v>40</v>
      </c>
      <c r="R40" s="3" t="str">
        <f>IF(OR(G40="12R",G40="12L"),_xlfn.XLOOKUP(C40,Tabla42[ADEP],Tabla42[SID 12R],""),IF(OR(G40="30L",G40="30R"),_xlfn.XLOOKUP(C40,Tabla42[ADEP],Tabla42[SID 30L],""),""))</f>
        <v>ENEBA</v>
      </c>
      <c r="S40" s="3">
        <f t="shared" si="0"/>
        <v>13</v>
      </c>
      <c r="T40" s="3" t="str">
        <f>_xlfn.XLOOKUP(C40,Tabla42[ADEP],Tabla42[Sector],"")</f>
        <v>Sector 3</v>
      </c>
    </row>
    <row r="41" spans="1:20" x14ac:dyDescent="0.2">
      <c r="A41" s="13" t="s">
        <v>457</v>
      </c>
      <c r="B41" s="13" t="s">
        <v>18</v>
      </c>
      <c r="C41" s="13" t="s">
        <v>154</v>
      </c>
      <c r="D41" s="13" t="s">
        <v>458</v>
      </c>
      <c r="E41" s="13"/>
      <c r="F41" s="14">
        <v>46301.555844907409</v>
      </c>
      <c r="G41" s="13" t="s">
        <v>21</v>
      </c>
      <c r="H41" s="13" t="s">
        <v>2390</v>
      </c>
      <c r="I41" s="15">
        <v>15</v>
      </c>
      <c r="J41" s="13" t="s">
        <v>130</v>
      </c>
      <c r="K41" s="13" t="s">
        <v>50</v>
      </c>
      <c r="L41" s="15">
        <v>58</v>
      </c>
      <c r="M41" s="13" t="s">
        <v>154</v>
      </c>
      <c r="N41" s="14">
        <v>46301.567303240743</v>
      </c>
      <c r="O41" s="15">
        <v>0</v>
      </c>
      <c r="P41" s="13" t="s">
        <v>129</v>
      </c>
      <c r="Q41" s="15">
        <v>15</v>
      </c>
      <c r="R41" s="3" t="str">
        <f>IF(OR(G41="12R",G41="12L"),_xlfn.XLOOKUP(C41,Tabla42[ADEP],Tabla42[SID 12R],""),IF(OR(G41="30L",G41="30R"),_xlfn.XLOOKUP(C41,Tabla42[ADEP],Tabla42[SID 30L],""),""))</f>
        <v>CZM</v>
      </c>
      <c r="S41" s="3">
        <f t="shared" si="0"/>
        <v>13</v>
      </c>
      <c r="T41" s="3" t="str">
        <f>_xlfn.XLOOKUP(C41,Tabla42[ADEP],Tabla42[Sector],"")</f>
        <v>Sector 7</v>
      </c>
    </row>
    <row r="42" spans="1:20" x14ac:dyDescent="0.2">
      <c r="A42" s="13" t="s">
        <v>127</v>
      </c>
      <c r="B42" s="13" t="s">
        <v>18</v>
      </c>
      <c r="C42" s="13" t="s">
        <v>128</v>
      </c>
      <c r="D42" s="13" t="s">
        <v>43</v>
      </c>
      <c r="E42" s="13" t="s">
        <v>2391</v>
      </c>
      <c r="F42" s="14">
        <v>46301.575856481482</v>
      </c>
      <c r="G42" s="13" t="s">
        <v>21</v>
      </c>
      <c r="H42" s="13" t="s">
        <v>2392</v>
      </c>
      <c r="I42" s="15">
        <v>330</v>
      </c>
      <c r="J42" s="13" t="s">
        <v>22</v>
      </c>
      <c r="K42" s="13" t="s">
        <v>23</v>
      </c>
      <c r="L42" s="15">
        <v>135</v>
      </c>
      <c r="M42" s="13" t="s">
        <v>2393</v>
      </c>
      <c r="N42" s="14">
        <v>46301.585393518515</v>
      </c>
      <c r="O42" s="15">
        <v>213</v>
      </c>
      <c r="P42" s="13" t="s">
        <v>25</v>
      </c>
      <c r="Q42" s="15">
        <v>190</v>
      </c>
      <c r="R42" s="3" t="str">
        <f>IF(OR(G42="12R",G42="12L"),_xlfn.XLOOKUP(C42,Tabla42[ADEP],Tabla42[SID 12R],""),IF(OR(G42="30L",G42="30R"),_xlfn.XLOOKUP(C42,Tabla42[ADEP],Tabla42[SID 30L],""),""))</f>
        <v>OMSUK</v>
      </c>
      <c r="S42" s="3">
        <f t="shared" si="0"/>
        <v>13</v>
      </c>
      <c r="T42" s="3" t="str">
        <f>_xlfn.XLOOKUP(C42,Tabla42[ADEP],Tabla42[Sector],"")</f>
        <v>Sector 3</v>
      </c>
    </row>
    <row r="43" spans="1:20" x14ac:dyDescent="0.2">
      <c r="A43" s="13" t="s">
        <v>2394</v>
      </c>
      <c r="B43" s="13" t="s">
        <v>18</v>
      </c>
      <c r="C43" s="13" t="s">
        <v>2395</v>
      </c>
      <c r="D43" s="13" t="s">
        <v>2396</v>
      </c>
      <c r="E43" s="13"/>
      <c r="F43" s="14">
        <v>46301.58997685185</v>
      </c>
      <c r="G43" s="13" t="s">
        <v>21</v>
      </c>
      <c r="H43" s="13" t="s">
        <v>2397</v>
      </c>
      <c r="I43" s="15">
        <v>430</v>
      </c>
      <c r="J43" s="13" t="s">
        <v>22</v>
      </c>
      <c r="K43" s="13" t="s">
        <v>50</v>
      </c>
      <c r="L43" s="15">
        <v>427</v>
      </c>
      <c r="M43" s="13" t="s">
        <v>189</v>
      </c>
      <c r="N43" s="14">
        <v>46301.611759259256</v>
      </c>
      <c r="O43" s="15">
        <v>430</v>
      </c>
      <c r="P43" s="13" t="s">
        <v>25</v>
      </c>
      <c r="Q43" s="15">
        <v>40</v>
      </c>
      <c r="R43" s="3" t="str">
        <f>IF(OR(G43="12R",G43="12L"),_xlfn.XLOOKUP(C43,Tabla42[ADEP],Tabla42[SID 12R],""),IF(OR(G43="30L",G43="30R"),_xlfn.XLOOKUP(C43,Tabla42[ADEP],Tabla42[SID 30L],""),""))</f>
        <v>ENEBA</v>
      </c>
      <c r="S43" s="3">
        <f t="shared" si="0"/>
        <v>14</v>
      </c>
      <c r="T43" s="3" t="str">
        <f>_xlfn.XLOOKUP(C43,Tabla42[ADEP],Tabla42[Sector],"")</f>
        <v>Sector 3</v>
      </c>
    </row>
    <row r="44" spans="1:20" x14ac:dyDescent="0.2">
      <c r="A44" s="13" t="s">
        <v>131</v>
      </c>
      <c r="B44" s="13" t="s">
        <v>18</v>
      </c>
      <c r="C44" s="13" t="s">
        <v>42</v>
      </c>
      <c r="D44" s="13" t="s">
        <v>43</v>
      </c>
      <c r="E44" s="13" t="s">
        <v>2139</v>
      </c>
      <c r="F44" s="14">
        <v>46301.602002314816</v>
      </c>
      <c r="G44" s="13" t="s">
        <v>21</v>
      </c>
      <c r="H44" s="13" t="s">
        <v>2398</v>
      </c>
      <c r="I44" s="15">
        <v>360</v>
      </c>
      <c r="J44" s="13" t="s">
        <v>22</v>
      </c>
      <c r="K44" s="13" t="s">
        <v>23</v>
      </c>
      <c r="L44" s="15">
        <v>864</v>
      </c>
      <c r="M44" s="13" t="s">
        <v>2399</v>
      </c>
      <c r="N44" s="14">
        <v>46301.647731481484</v>
      </c>
      <c r="O44" s="15">
        <v>360</v>
      </c>
      <c r="P44" s="13" t="s">
        <v>25</v>
      </c>
      <c r="Q44" s="15">
        <v>190</v>
      </c>
      <c r="R44" s="3" t="str">
        <f>IF(OR(G44="12R",G44="12L"),_xlfn.XLOOKUP(C44,Tabla42[ADEP],Tabla42[SID 12R],""),IF(OR(G44="30L",G44="30R"),_xlfn.XLOOKUP(C44,Tabla42[ADEP],Tabla42[SID 30L],""),""))</f>
        <v>UDGUV</v>
      </c>
      <c r="S44" s="3">
        <f t="shared" si="0"/>
        <v>14</v>
      </c>
      <c r="T44" s="3" t="str">
        <f>_xlfn.XLOOKUP(C44,Tabla42[ADEP],Tabla42[Sector],"")</f>
        <v>Sector 2</v>
      </c>
    </row>
    <row r="45" spans="1:20" x14ac:dyDescent="0.2">
      <c r="A45" s="13" t="s">
        <v>2076</v>
      </c>
      <c r="B45" s="13" t="s">
        <v>18</v>
      </c>
      <c r="C45" s="13" t="s">
        <v>18</v>
      </c>
      <c r="D45" s="13" t="s">
        <v>2077</v>
      </c>
      <c r="E45" s="13"/>
      <c r="F45" s="14">
        <v>46301.622303240743</v>
      </c>
      <c r="G45" s="13" t="s">
        <v>21</v>
      </c>
      <c r="H45" s="13" t="s">
        <v>2400</v>
      </c>
      <c r="I45" s="15">
        <v>15</v>
      </c>
      <c r="J45" s="13" t="s">
        <v>130</v>
      </c>
      <c r="K45" s="13" t="s">
        <v>50</v>
      </c>
      <c r="L45" s="15">
        <v>80</v>
      </c>
      <c r="M45" s="13" t="s">
        <v>18</v>
      </c>
      <c r="N45" s="14">
        <v>46301.654745370368</v>
      </c>
      <c r="O45" s="15">
        <v>0</v>
      </c>
      <c r="P45" s="13" t="s">
        <v>129</v>
      </c>
      <c r="Q45" s="15">
        <v>15</v>
      </c>
      <c r="R45" s="3" t="str">
        <f>IF(OR(G45="12R",G45="12L"),_xlfn.XLOOKUP(C45,Tabla42[ADEP],Tabla42[SID 12R],""),IF(OR(G45="30L",G45="30R"),_xlfn.XLOOKUP(C45,Tabla42[ADEP],Tabla42[SID 30L],""),""))</f>
        <v/>
      </c>
      <c r="S45" s="3">
        <f t="shared" si="0"/>
        <v>14</v>
      </c>
      <c r="T45" s="3" t="str">
        <f>_xlfn.XLOOKUP(C45,Tabla42[ADEP],Tabla42[Sector],"")</f>
        <v/>
      </c>
    </row>
    <row r="46" spans="1:20" x14ac:dyDescent="0.2">
      <c r="A46" s="13" t="s">
        <v>680</v>
      </c>
      <c r="B46" s="13" t="s">
        <v>18</v>
      </c>
      <c r="C46" s="13" t="s">
        <v>49</v>
      </c>
      <c r="D46" s="13" t="s">
        <v>681</v>
      </c>
      <c r="E46" s="13"/>
      <c r="F46" s="14">
        <v>46301.630613425928</v>
      </c>
      <c r="G46" s="13" t="s">
        <v>21</v>
      </c>
      <c r="H46" s="13" t="s">
        <v>2401</v>
      </c>
      <c r="I46" s="15">
        <v>430</v>
      </c>
      <c r="J46" s="13" t="s">
        <v>22</v>
      </c>
      <c r="K46" s="13" t="s">
        <v>50</v>
      </c>
      <c r="L46" s="15">
        <v>860</v>
      </c>
      <c r="M46" s="13" t="s">
        <v>2402</v>
      </c>
      <c r="N46" s="14">
        <v>46301.678437499999</v>
      </c>
      <c r="O46" s="15">
        <v>430</v>
      </c>
      <c r="P46" s="13" t="s">
        <v>25</v>
      </c>
      <c r="Q46" s="15">
        <v>30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3" t="s">
        <v>1031</v>
      </c>
      <c r="B47" s="13" t="s">
        <v>18</v>
      </c>
      <c r="C47" s="13" t="s">
        <v>209</v>
      </c>
      <c r="D47" s="13" t="s">
        <v>700</v>
      </c>
      <c r="E47" s="13"/>
      <c r="F47" s="14">
        <v>46301.635115740741</v>
      </c>
      <c r="G47" s="13" t="s">
        <v>21</v>
      </c>
      <c r="H47" s="13" t="s">
        <v>2403</v>
      </c>
      <c r="I47" s="15">
        <v>400</v>
      </c>
      <c r="J47" s="13" t="s">
        <v>22</v>
      </c>
      <c r="K47" s="13" t="s">
        <v>50</v>
      </c>
      <c r="L47" s="15">
        <v>524</v>
      </c>
      <c r="M47" s="13" t="s">
        <v>123</v>
      </c>
      <c r="N47" s="14">
        <v>46301.668437499997</v>
      </c>
      <c r="O47" s="15">
        <v>400</v>
      </c>
      <c r="P47" s="13" t="s">
        <v>25</v>
      </c>
      <c r="Q47" s="15">
        <v>40</v>
      </c>
      <c r="R47" s="3" t="str">
        <f>IF(OR(G47="12R",G47="12L"),_xlfn.XLOOKUP(C47,Tabla42[ADEP],Tabla42[SID 12R],""),IF(OR(G47="30L",G47="30R"),_xlfn.XLOOKUP(C47,Tabla42[ADEP],Tabla42[SID 30L],""),""))</f>
        <v>ENEBA</v>
      </c>
      <c r="S47" s="3">
        <f t="shared" si="0"/>
        <v>15</v>
      </c>
      <c r="T47" s="3" t="str">
        <f>_xlfn.XLOOKUP(C47,Tabla42[ADEP],Tabla42[Sector],"")</f>
        <v>Sector 3</v>
      </c>
    </row>
    <row r="48" spans="1:20" x14ac:dyDescent="0.2">
      <c r="A48" s="13" t="s">
        <v>2404</v>
      </c>
      <c r="B48" s="13" t="s">
        <v>18</v>
      </c>
      <c r="C48" s="13" t="s">
        <v>257</v>
      </c>
      <c r="D48" s="13" t="s">
        <v>117</v>
      </c>
      <c r="E48" s="13" t="s">
        <v>2405</v>
      </c>
      <c r="F48" s="14">
        <v>46301.64271990741</v>
      </c>
      <c r="G48" s="13" t="s">
        <v>21</v>
      </c>
      <c r="H48" s="13" t="s">
        <v>2406</v>
      </c>
      <c r="I48" s="15">
        <v>320</v>
      </c>
      <c r="J48" s="13" t="s">
        <v>22</v>
      </c>
      <c r="K48" s="13" t="s">
        <v>23</v>
      </c>
      <c r="L48" s="15">
        <v>533</v>
      </c>
      <c r="M48" s="13" t="s">
        <v>2407</v>
      </c>
      <c r="N48" s="14">
        <v>46301.671180555553</v>
      </c>
      <c r="O48" s="15">
        <v>320</v>
      </c>
      <c r="P48" s="13" t="s">
        <v>25</v>
      </c>
      <c r="Q48" s="15">
        <v>40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3" t="s">
        <v>142</v>
      </c>
      <c r="B49" s="13" t="s">
        <v>18</v>
      </c>
      <c r="C49" s="13" t="s">
        <v>42</v>
      </c>
      <c r="D49" s="13" t="s">
        <v>33</v>
      </c>
      <c r="E49" s="13" t="s">
        <v>2408</v>
      </c>
      <c r="F49" s="14">
        <v>46301.644548611112</v>
      </c>
      <c r="G49" s="13" t="s">
        <v>21</v>
      </c>
      <c r="H49" s="13" t="s">
        <v>2409</v>
      </c>
      <c r="I49" s="15">
        <v>360</v>
      </c>
      <c r="J49" s="13" t="s">
        <v>22</v>
      </c>
      <c r="K49" s="13" t="s">
        <v>23</v>
      </c>
      <c r="L49" s="15">
        <v>879</v>
      </c>
      <c r="M49" s="13" t="s">
        <v>2410</v>
      </c>
      <c r="N49" s="14">
        <v>46301.690046296295</v>
      </c>
      <c r="O49" s="15">
        <v>360</v>
      </c>
      <c r="P49" s="13" t="s">
        <v>25</v>
      </c>
      <c r="Q49" s="15">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13" t="s">
        <v>135</v>
      </c>
      <c r="B50" s="13" t="s">
        <v>18</v>
      </c>
      <c r="C50" s="13" t="s">
        <v>32</v>
      </c>
      <c r="D50" s="13" t="s">
        <v>53</v>
      </c>
      <c r="E50" s="13" t="s">
        <v>674</v>
      </c>
      <c r="F50" s="14">
        <v>46301.645833333336</v>
      </c>
      <c r="G50" s="13" t="s">
        <v>21</v>
      </c>
      <c r="H50" s="13" t="s">
        <v>2411</v>
      </c>
      <c r="I50" s="15">
        <v>360</v>
      </c>
      <c r="J50" s="13" t="s">
        <v>22</v>
      </c>
      <c r="K50" s="13" t="s">
        <v>23</v>
      </c>
      <c r="L50" s="15">
        <v>887</v>
      </c>
      <c r="M50" s="13" t="s">
        <v>2345</v>
      </c>
      <c r="N50" s="14">
        <v>46301.693124999998</v>
      </c>
      <c r="O50" s="15">
        <v>360</v>
      </c>
      <c r="P50" s="13" t="s">
        <v>25</v>
      </c>
      <c r="Q50" s="15">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3" t="s">
        <v>654</v>
      </c>
      <c r="B51" s="13" t="s">
        <v>18</v>
      </c>
      <c r="C51" s="13" t="s">
        <v>49</v>
      </c>
      <c r="D51" s="13" t="s">
        <v>655</v>
      </c>
      <c r="E51" s="13" t="s">
        <v>654</v>
      </c>
      <c r="F51" s="14">
        <v>46301.650034722225</v>
      </c>
      <c r="G51" s="13" t="s">
        <v>21</v>
      </c>
      <c r="H51" s="13" t="s">
        <v>2412</v>
      </c>
      <c r="I51" s="15">
        <v>400</v>
      </c>
      <c r="J51" s="13" t="s">
        <v>22</v>
      </c>
      <c r="K51" s="13" t="s">
        <v>50</v>
      </c>
      <c r="L51" s="15">
        <v>950</v>
      </c>
      <c r="M51" s="13" t="s">
        <v>2413</v>
      </c>
      <c r="N51" s="14">
        <v>46301.697650462964</v>
      </c>
      <c r="O51" s="15">
        <v>400</v>
      </c>
      <c r="P51" s="13" t="s">
        <v>25</v>
      </c>
      <c r="Q51" s="15">
        <v>30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13" t="s">
        <v>145</v>
      </c>
      <c r="B52" s="13" t="s">
        <v>18</v>
      </c>
      <c r="C52" s="13" t="s">
        <v>19</v>
      </c>
      <c r="D52" s="13" t="s">
        <v>20</v>
      </c>
      <c r="E52" s="13" t="s">
        <v>2339</v>
      </c>
      <c r="F52" s="14">
        <v>46301.657013888886</v>
      </c>
      <c r="G52" s="13" t="s">
        <v>21</v>
      </c>
      <c r="H52" s="13" t="s">
        <v>2414</v>
      </c>
      <c r="I52" s="15">
        <v>360</v>
      </c>
      <c r="J52" s="13" t="s">
        <v>22</v>
      </c>
      <c r="K52" s="13" t="s">
        <v>23</v>
      </c>
      <c r="L52" s="15">
        <v>971</v>
      </c>
      <c r="M52" s="13" t="s">
        <v>2058</v>
      </c>
      <c r="N52" s="14">
        <v>46301.706863425927</v>
      </c>
      <c r="O52" s="15">
        <v>360</v>
      </c>
      <c r="P52" s="13" t="s">
        <v>25</v>
      </c>
      <c r="Q52" s="15">
        <v>190</v>
      </c>
      <c r="R52" s="3" t="str">
        <f>IF(OR(G52="12R",G52="12L"),_xlfn.XLOOKUP(C52,Tabla42[ADEP],Tabla42[SID 12R],""),IF(OR(G52="30L",G52="30R"),_xlfn.XLOOKUP(C52,Tabla42[ADEP],Tabla42[SID 30L],""),""))</f>
        <v>UDGUV</v>
      </c>
      <c r="S52" s="3">
        <f t="shared" si="0"/>
        <v>15</v>
      </c>
      <c r="T52" s="3" t="str">
        <f>_xlfn.XLOOKUP(C52,Tabla42[ADEP],Tabla42[Sector],"")</f>
        <v>Sector 2</v>
      </c>
    </row>
    <row r="53" spans="1:20" x14ac:dyDescent="0.2">
      <c r="A53" s="13" t="s">
        <v>2415</v>
      </c>
      <c r="B53" s="13" t="s">
        <v>18</v>
      </c>
      <c r="C53" s="13" t="s">
        <v>96</v>
      </c>
      <c r="D53" s="13" t="s">
        <v>2416</v>
      </c>
      <c r="E53" s="13" t="s">
        <v>2417</v>
      </c>
      <c r="F53" s="14">
        <v>46301.658391203702</v>
      </c>
      <c r="G53" s="13" t="s">
        <v>21</v>
      </c>
      <c r="H53" s="13" t="s">
        <v>2418</v>
      </c>
      <c r="I53" s="15">
        <v>380</v>
      </c>
      <c r="J53" s="13" t="s">
        <v>22</v>
      </c>
      <c r="K53" s="13" t="s">
        <v>23</v>
      </c>
      <c r="L53" s="15">
        <v>860</v>
      </c>
      <c r="M53" s="13" t="s">
        <v>632</v>
      </c>
      <c r="N53" s="14">
        <v>46301.704722222225</v>
      </c>
      <c r="O53" s="15">
        <v>380</v>
      </c>
      <c r="P53" s="13" t="s">
        <v>25</v>
      </c>
      <c r="Q53" s="15">
        <v>190</v>
      </c>
      <c r="R53" s="3" t="str">
        <f>IF(OR(G53="12R",G53="12L"),_xlfn.XLOOKUP(C53,Tabla42[ADEP],Tabla42[SID 12R],""),IF(OR(G53="30L",G53="30R"),_xlfn.XLOOKUP(C53,Tabla42[ADEP],Tabla42[SID 30L],""),""))</f>
        <v>UDGUV</v>
      </c>
      <c r="S53" s="3">
        <f t="shared" si="0"/>
        <v>15</v>
      </c>
      <c r="T53" s="3" t="str">
        <f>_xlfn.XLOOKUP(C53,Tabla42[ADEP],Tabla42[Sector],"")</f>
        <v>Sector 2</v>
      </c>
    </row>
    <row r="54" spans="1:20" x14ac:dyDescent="0.2">
      <c r="A54" s="13" t="s">
        <v>364</v>
      </c>
      <c r="B54" s="13" t="s">
        <v>18</v>
      </c>
      <c r="C54" s="13" t="s">
        <v>27</v>
      </c>
      <c r="D54" s="13" t="s">
        <v>28</v>
      </c>
      <c r="E54" s="13" t="s">
        <v>2419</v>
      </c>
      <c r="F54" s="14">
        <v>46301.663171296299</v>
      </c>
      <c r="G54" s="13" t="s">
        <v>21</v>
      </c>
      <c r="H54" s="13" t="s">
        <v>2420</v>
      </c>
      <c r="I54" s="15">
        <v>340</v>
      </c>
      <c r="J54" s="13" t="s">
        <v>22</v>
      </c>
      <c r="K54" s="13" t="s">
        <v>23</v>
      </c>
      <c r="L54" s="15">
        <v>435</v>
      </c>
      <c r="M54" s="13" t="s">
        <v>189</v>
      </c>
      <c r="N54" s="14">
        <v>46301.687303240738</v>
      </c>
      <c r="O54" s="15">
        <v>340</v>
      </c>
      <c r="P54" s="13" t="s">
        <v>25</v>
      </c>
      <c r="Q54" s="15">
        <v>40</v>
      </c>
      <c r="R54" s="3" t="str">
        <f>IF(OR(G54="12R",G54="12L"),_xlfn.XLOOKUP(C54,Tabla42[ADEP],Tabla42[SID 12R],""),IF(OR(G54="30L",G54="30R"),_xlfn.XLOOKUP(C54,Tabla42[ADEP],Tabla42[SID 30L],""),""))</f>
        <v>OMSUK</v>
      </c>
      <c r="S54" s="3">
        <f t="shared" si="0"/>
        <v>15</v>
      </c>
      <c r="T54" s="3" t="str">
        <f>_xlfn.XLOOKUP(C54,Tabla42[ADEP],Tabla42[Sector],"")</f>
        <v>Sector 3</v>
      </c>
    </row>
    <row r="55" spans="1:20" x14ac:dyDescent="0.2">
      <c r="A55" s="13" t="s">
        <v>148</v>
      </c>
      <c r="B55" s="13" t="s">
        <v>18</v>
      </c>
      <c r="C55" s="13" t="s">
        <v>42</v>
      </c>
      <c r="D55" s="13" t="s">
        <v>53</v>
      </c>
      <c r="E55" s="13" t="s">
        <v>610</v>
      </c>
      <c r="F55" s="14">
        <v>46301.667083333334</v>
      </c>
      <c r="G55" s="13" t="s">
        <v>21</v>
      </c>
      <c r="H55" s="13" t="s">
        <v>2421</v>
      </c>
      <c r="I55" s="15">
        <v>380</v>
      </c>
      <c r="J55" s="13" t="s">
        <v>22</v>
      </c>
      <c r="K55" s="13" t="s">
        <v>23</v>
      </c>
      <c r="L55" s="15">
        <v>861</v>
      </c>
      <c r="M55" s="13" t="s">
        <v>984</v>
      </c>
      <c r="N55" s="14">
        <v>46301.713182870371</v>
      </c>
      <c r="O55" s="15">
        <v>380</v>
      </c>
      <c r="P55" s="13" t="s">
        <v>25</v>
      </c>
      <c r="Q55" s="15">
        <v>190</v>
      </c>
      <c r="R55" s="3" t="str">
        <f>IF(OR(G55="12R",G55="12L"),_xlfn.XLOOKUP(C55,Tabla42[ADEP],Tabla42[SID 12R],""),IF(OR(G55="30L",G55="30R"),_xlfn.XLOOKUP(C55,Tabla42[ADEP],Tabla42[SID 30L],""),""))</f>
        <v>UDGUV</v>
      </c>
      <c r="S55" s="3">
        <f t="shared" si="0"/>
        <v>16</v>
      </c>
      <c r="T55" s="3" t="str">
        <f>_xlfn.XLOOKUP(C55,Tabla42[ADEP],Tabla42[Sector],"")</f>
        <v>Sector 2</v>
      </c>
    </row>
    <row r="56" spans="1:20" x14ac:dyDescent="0.2">
      <c r="A56" s="13" t="s">
        <v>208</v>
      </c>
      <c r="B56" s="13" t="s">
        <v>18</v>
      </c>
      <c r="C56" s="13" t="s">
        <v>209</v>
      </c>
      <c r="D56" s="13" t="s">
        <v>28</v>
      </c>
      <c r="E56" s="13" t="s">
        <v>2422</v>
      </c>
      <c r="F56" s="14">
        <v>46301.668680555558</v>
      </c>
      <c r="G56" s="13" t="s">
        <v>21</v>
      </c>
      <c r="H56" s="13" t="s">
        <v>2423</v>
      </c>
      <c r="I56" s="15">
        <v>340</v>
      </c>
      <c r="J56" s="13" t="s">
        <v>22</v>
      </c>
      <c r="K56" s="13" t="s">
        <v>23</v>
      </c>
      <c r="L56" s="15">
        <v>497</v>
      </c>
      <c r="M56" s="13" t="s">
        <v>2424</v>
      </c>
      <c r="N56" s="14">
        <v>46301.696319444447</v>
      </c>
      <c r="O56" s="15">
        <v>380</v>
      </c>
      <c r="P56" s="13" t="s">
        <v>25</v>
      </c>
      <c r="Q56" s="15">
        <v>40</v>
      </c>
      <c r="R56" s="3" t="str">
        <f>IF(OR(G56="12R",G56="12L"),_xlfn.XLOOKUP(C56,Tabla42[ADEP],Tabla42[SID 12R],""),IF(OR(G56="30L",G56="30R"),_xlfn.XLOOKUP(C56,Tabla42[ADEP],Tabla42[SID 30L],""),""))</f>
        <v>ENEBA</v>
      </c>
      <c r="S56" s="3">
        <f t="shared" si="0"/>
        <v>16</v>
      </c>
      <c r="T56" s="3" t="str">
        <f>_xlfn.XLOOKUP(C56,Tabla42[ADEP],Tabla42[Sector],"")</f>
        <v>Sector 3</v>
      </c>
    </row>
    <row r="57" spans="1:20" x14ac:dyDescent="0.2">
      <c r="A57" s="13" t="s">
        <v>143</v>
      </c>
      <c r="B57" s="13" t="s">
        <v>18</v>
      </c>
      <c r="C57" s="13" t="s">
        <v>32</v>
      </c>
      <c r="D57" s="13" t="s">
        <v>20</v>
      </c>
      <c r="E57" s="13" t="s">
        <v>316</v>
      </c>
      <c r="F57" s="14">
        <v>46301.678541666668</v>
      </c>
      <c r="G57" s="13" t="s">
        <v>21</v>
      </c>
      <c r="H57" s="13" t="s">
        <v>2425</v>
      </c>
      <c r="I57" s="15">
        <v>360</v>
      </c>
      <c r="J57" s="13" t="s">
        <v>22</v>
      </c>
      <c r="K57" s="13" t="s">
        <v>23</v>
      </c>
      <c r="L57" s="15">
        <v>895</v>
      </c>
      <c r="M57" s="13" t="s">
        <v>2080</v>
      </c>
      <c r="N57" s="14">
        <v>46301.725659722222</v>
      </c>
      <c r="O57" s="15">
        <v>360</v>
      </c>
      <c r="P57" s="13" t="s">
        <v>25</v>
      </c>
      <c r="Q57" s="15">
        <v>190</v>
      </c>
      <c r="R57" s="3" t="str">
        <f>IF(OR(G57="12R",G57="12L"),_xlfn.XLOOKUP(C57,Tabla42[ADEP],Tabla42[SID 12R],""),IF(OR(G57="30L",G57="30R"),_xlfn.XLOOKUP(C57,Tabla42[ADEP],Tabla42[SID 30L],""),""))</f>
        <v>UDGUV</v>
      </c>
      <c r="S57" s="3">
        <f t="shared" si="0"/>
        <v>16</v>
      </c>
      <c r="T57" s="3" t="str">
        <f>_xlfn.XLOOKUP(C57,Tabla42[ADEP],Tabla42[Sector],"")</f>
        <v>Sector 2</v>
      </c>
    </row>
    <row r="58" spans="1:20" x14ac:dyDescent="0.2">
      <c r="A58" s="13" t="s">
        <v>168</v>
      </c>
      <c r="B58" s="13" t="s">
        <v>18</v>
      </c>
      <c r="C58" s="13" t="s">
        <v>96</v>
      </c>
      <c r="D58" s="13" t="s">
        <v>53</v>
      </c>
      <c r="E58" s="13" t="s">
        <v>787</v>
      </c>
      <c r="F58" s="14">
        <v>46301.680034722223</v>
      </c>
      <c r="G58" s="13" t="s">
        <v>21</v>
      </c>
      <c r="H58" s="13" t="s">
        <v>2426</v>
      </c>
      <c r="I58" s="15">
        <v>360</v>
      </c>
      <c r="J58" s="13" t="s">
        <v>22</v>
      </c>
      <c r="K58" s="13" t="s">
        <v>23</v>
      </c>
      <c r="L58" s="15">
        <v>873</v>
      </c>
      <c r="M58" s="13" t="s">
        <v>2427</v>
      </c>
      <c r="N58" s="14">
        <v>46301.726122685184</v>
      </c>
      <c r="O58" s="15">
        <v>360</v>
      </c>
      <c r="P58" s="13" t="s">
        <v>25</v>
      </c>
      <c r="Q58" s="15">
        <v>190</v>
      </c>
      <c r="R58" s="3" t="str">
        <f>IF(OR(G58="12R",G58="12L"),_xlfn.XLOOKUP(C58,Tabla42[ADEP],Tabla42[SID 12R],""),IF(OR(G58="30L",G58="30R"),_xlfn.XLOOKUP(C58,Tabla42[ADEP],Tabla42[SID 30L],""),""))</f>
        <v>UDGUV</v>
      </c>
      <c r="S58" s="3">
        <f t="shared" si="0"/>
        <v>16</v>
      </c>
      <c r="T58" s="3" t="str">
        <f>_xlfn.XLOOKUP(C58,Tabla42[ADEP],Tabla42[Sector],"")</f>
        <v>Sector 2</v>
      </c>
    </row>
    <row r="59" spans="1:20" x14ac:dyDescent="0.2">
      <c r="A59" s="13" t="s">
        <v>161</v>
      </c>
      <c r="B59" s="13" t="s">
        <v>18</v>
      </c>
      <c r="C59" s="13" t="s">
        <v>27</v>
      </c>
      <c r="D59" s="13" t="s">
        <v>60</v>
      </c>
      <c r="E59" s="13" t="s">
        <v>638</v>
      </c>
      <c r="F59" s="14">
        <v>46301.680578703701</v>
      </c>
      <c r="G59" s="13" t="s">
        <v>21</v>
      </c>
      <c r="H59" s="13" t="s">
        <v>2428</v>
      </c>
      <c r="I59" s="15">
        <v>330</v>
      </c>
      <c r="J59" s="13" t="s">
        <v>22</v>
      </c>
      <c r="K59" s="13" t="s">
        <v>23</v>
      </c>
      <c r="L59" s="15">
        <v>136</v>
      </c>
      <c r="M59" s="13" t="s">
        <v>39</v>
      </c>
      <c r="N59" s="14">
        <v>46301.691192129627</v>
      </c>
      <c r="O59" s="15">
        <v>205</v>
      </c>
      <c r="P59" s="13" t="s">
        <v>25</v>
      </c>
      <c r="Q59" s="15">
        <v>190</v>
      </c>
      <c r="R59" s="3" t="str">
        <f>IF(OR(G59="12R",G59="12L"),_xlfn.XLOOKUP(C59,Tabla42[ADEP],Tabla42[SID 12R],""),IF(OR(G59="30L",G59="30R"),_xlfn.XLOOKUP(C59,Tabla42[ADEP],Tabla42[SID 30L],""),""))</f>
        <v>OMSUK</v>
      </c>
      <c r="S59" s="3">
        <f t="shared" si="0"/>
        <v>16</v>
      </c>
      <c r="T59" s="3" t="str">
        <f>_xlfn.XLOOKUP(C59,Tabla42[ADEP],Tabla42[Sector],"")</f>
        <v>Sector 3</v>
      </c>
    </row>
    <row r="60" spans="1:20" x14ac:dyDescent="0.2">
      <c r="A60" s="13" t="s">
        <v>165</v>
      </c>
      <c r="B60" s="13" t="s">
        <v>18</v>
      </c>
      <c r="C60" s="13" t="s">
        <v>166</v>
      </c>
      <c r="D60" s="13" t="s">
        <v>20</v>
      </c>
      <c r="E60" s="13" t="s">
        <v>57</v>
      </c>
      <c r="F60" s="14">
        <v>46301.684432870374</v>
      </c>
      <c r="G60" s="13" t="s">
        <v>21</v>
      </c>
      <c r="H60" s="13" t="s">
        <v>2429</v>
      </c>
      <c r="I60" s="15">
        <v>360</v>
      </c>
      <c r="J60" s="13" t="s">
        <v>22</v>
      </c>
      <c r="K60" s="13" t="s">
        <v>23</v>
      </c>
      <c r="L60" s="15">
        <v>888</v>
      </c>
      <c r="M60" s="13" t="s">
        <v>2430</v>
      </c>
      <c r="N60" s="14">
        <v>46301.730624999997</v>
      </c>
      <c r="O60" s="15">
        <v>360</v>
      </c>
      <c r="P60" s="13" t="s">
        <v>25</v>
      </c>
      <c r="Q60" s="15">
        <v>190</v>
      </c>
      <c r="R60" s="3" t="str">
        <f>IF(OR(G60="12R",G60="12L"),_xlfn.XLOOKUP(C60,Tabla42[ADEP],Tabla42[SID 12R],""),IF(OR(G60="30L",G60="30R"),_xlfn.XLOOKUP(C60,Tabla42[ADEP],Tabla42[SID 30L],""),""))</f>
        <v>UDGUV</v>
      </c>
      <c r="S60" s="3">
        <f t="shared" si="0"/>
        <v>16</v>
      </c>
      <c r="T60" s="3" t="str">
        <f>_xlfn.XLOOKUP(C60,Tabla42[ADEP],Tabla42[Sector],"")</f>
        <v>Sector 2</v>
      </c>
    </row>
    <row r="61" spans="1:20" x14ac:dyDescent="0.2">
      <c r="A61" s="13" t="s">
        <v>156</v>
      </c>
      <c r="B61" s="13" t="s">
        <v>18</v>
      </c>
      <c r="C61" s="13" t="s">
        <v>109</v>
      </c>
      <c r="D61" s="13" t="s">
        <v>122</v>
      </c>
      <c r="E61" s="13" t="s">
        <v>1022</v>
      </c>
      <c r="F61" s="14">
        <v>46301.685486111113</v>
      </c>
      <c r="G61" s="13" t="s">
        <v>21</v>
      </c>
      <c r="H61" s="13" t="s">
        <v>2431</v>
      </c>
      <c r="I61" s="15">
        <v>370</v>
      </c>
      <c r="J61" s="13" t="s">
        <v>22</v>
      </c>
      <c r="K61" s="13" t="s">
        <v>23</v>
      </c>
      <c r="L61" s="15">
        <v>153</v>
      </c>
      <c r="M61" s="13" t="s">
        <v>111</v>
      </c>
      <c r="N61" s="14">
        <v>46301.695543981485</v>
      </c>
      <c r="O61" s="15">
        <v>299</v>
      </c>
      <c r="P61" s="13" t="s">
        <v>25</v>
      </c>
      <c r="Q61" s="15">
        <v>190</v>
      </c>
      <c r="R61" s="3" t="str">
        <f>IF(OR(G61="12R",G61="12L"),_xlfn.XLOOKUP(C61,Tabla42[ADEP],Tabla42[SID 12R],""),IF(OR(G61="30L",G61="30R"),_xlfn.XLOOKUP(C61,Tabla42[ADEP],Tabla42[SID 30L],""),""))</f>
        <v>TAKUX</v>
      </c>
      <c r="S61" s="3">
        <f t="shared" si="0"/>
        <v>16</v>
      </c>
      <c r="T61" s="3" t="str">
        <f>_xlfn.XLOOKUP(C61,Tabla42[ADEP],Tabla42[Sector],"")</f>
        <v>Sector 7</v>
      </c>
    </row>
    <row r="62" spans="1:20" x14ac:dyDescent="0.2">
      <c r="A62" s="13" t="s">
        <v>136</v>
      </c>
      <c r="B62" s="13" t="s">
        <v>18</v>
      </c>
      <c r="C62" s="13" t="s">
        <v>137</v>
      </c>
      <c r="D62" s="13" t="s">
        <v>63</v>
      </c>
      <c r="E62" s="13" t="s">
        <v>774</v>
      </c>
      <c r="F62" s="14">
        <v>46301.686851851853</v>
      </c>
      <c r="G62" s="13" t="s">
        <v>21</v>
      </c>
      <c r="H62" s="13" t="s">
        <v>138</v>
      </c>
      <c r="I62" s="15">
        <v>330</v>
      </c>
      <c r="J62" s="13" t="s">
        <v>22</v>
      </c>
      <c r="K62" s="13" t="s">
        <v>23</v>
      </c>
      <c r="L62" s="15">
        <v>136</v>
      </c>
      <c r="M62" s="13" t="s">
        <v>39</v>
      </c>
      <c r="N62" s="14">
        <v>46301.696284722224</v>
      </c>
      <c r="O62" s="15">
        <v>252</v>
      </c>
      <c r="P62" s="13" t="s">
        <v>25</v>
      </c>
      <c r="Q62" s="15">
        <v>190</v>
      </c>
      <c r="R62" s="3" t="str">
        <f>IF(OR(G62="12R",G62="12L"),_xlfn.XLOOKUP(C62,Tabla42[ADEP],Tabla42[SID 12R],""),IF(OR(G62="30L",G62="30R"),_xlfn.XLOOKUP(C62,Tabla42[ADEP],Tabla42[SID 30L],""),""))</f>
        <v>NUDAL</v>
      </c>
      <c r="S62" s="3">
        <f t="shared" si="0"/>
        <v>16</v>
      </c>
      <c r="T62" s="3" t="str">
        <f>_xlfn.XLOOKUP(C62,Tabla42[ADEP],Tabla42[Sector],"")</f>
        <v>Sector 3</v>
      </c>
    </row>
    <row r="63" spans="1:20" x14ac:dyDescent="0.2">
      <c r="A63" s="13" t="s">
        <v>159</v>
      </c>
      <c r="B63" s="13" t="s">
        <v>18</v>
      </c>
      <c r="C63" s="13" t="s">
        <v>160</v>
      </c>
      <c r="D63" s="13" t="s">
        <v>53</v>
      </c>
      <c r="E63" s="13" t="s">
        <v>516</v>
      </c>
      <c r="F63" s="14">
        <v>46301.687754629631</v>
      </c>
      <c r="G63" s="13" t="s">
        <v>21</v>
      </c>
      <c r="H63" s="13" t="s">
        <v>2432</v>
      </c>
      <c r="I63" s="15">
        <v>380</v>
      </c>
      <c r="J63" s="13" t="s">
        <v>22</v>
      </c>
      <c r="K63" s="13" t="s">
        <v>23</v>
      </c>
      <c r="L63" s="15">
        <v>324</v>
      </c>
      <c r="M63" s="13" t="s">
        <v>2433</v>
      </c>
      <c r="N63" s="14">
        <v>46301.705729166664</v>
      </c>
      <c r="O63" s="15">
        <v>380</v>
      </c>
      <c r="P63" s="13" t="s">
        <v>25</v>
      </c>
      <c r="Q63" s="15">
        <v>190</v>
      </c>
      <c r="R63" s="3" t="str">
        <f>IF(OR(G63="12R",G63="12L"),_xlfn.XLOOKUP(C63,Tabla42[ADEP],Tabla42[SID 12R],""),IF(OR(G63="30L",G63="30R"),_xlfn.XLOOKUP(C63,Tabla42[ADEP],Tabla42[SID 30L],""),""))</f>
        <v>CZM</v>
      </c>
      <c r="S63" s="3">
        <f t="shared" si="0"/>
        <v>16</v>
      </c>
      <c r="T63" s="3" t="str">
        <f>_xlfn.XLOOKUP(C63,Tabla42[ADEP],Tabla42[Sector],"")</f>
        <v>Sector 7</v>
      </c>
    </row>
    <row r="64" spans="1:20" x14ac:dyDescent="0.2">
      <c r="A64" s="13" t="s">
        <v>2095</v>
      </c>
      <c r="B64" s="13" t="s">
        <v>18</v>
      </c>
      <c r="C64" s="13" t="s">
        <v>121</v>
      </c>
      <c r="D64" s="13" t="s">
        <v>122</v>
      </c>
      <c r="E64" s="13" t="s">
        <v>2434</v>
      </c>
      <c r="F64" s="14">
        <v>46301.688692129632</v>
      </c>
      <c r="G64" s="13" t="s">
        <v>21</v>
      </c>
      <c r="H64" s="13" t="s">
        <v>2435</v>
      </c>
      <c r="I64" s="15">
        <v>380</v>
      </c>
      <c r="J64" s="13" t="s">
        <v>22</v>
      </c>
      <c r="K64" s="13" t="s">
        <v>23</v>
      </c>
      <c r="L64" s="15">
        <v>504</v>
      </c>
      <c r="M64" s="13" t="s">
        <v>2436</v>
      </c>
      <c r="N64" s="14">
        <v>46301.716689814813</v>
      </c>
      <c r="O64" s="15">
        <v>380</v>
      </c>
      <c r="P64" s="13" t="s">
        <v>25</v>
      </c>
      <c r="Q64" s="15">
        <v>40</v>
      </c>
      <c r="R64" s="3" t="str">
        <f>IF(OR(G64="12R",G64="12L"),_xlfn.XLOOKUP(C64,Tabla42[ADEP],Tabla42[SID 12R],""),IF(OR(G64="30L",G64="30R"),_xlfn.XLOOKUP(C64,Tabla42[ADEP],Tabla42[SID 30L],""),""))</f>
        <v>ENEBA</v>
      </c>
      <c r="S64" s="3">
        <f t="shared" si="0"/>
        <v>16</v>
      </c>
      <c r="T64" s="3" t="str">
        <f>_xlfn.XLOOKUP(C64,Tabla42[ADEP],Tabla42[Sector],"")</f>
        <v>Sector 3</v>
      </c>
    </row>
    <row r="65" spans="1:20" x14ac:dyDescent="0.2">
      <c r="A65" s="13" t="s">
        <v>152</v>
      </c>
      <c r="B65" s="13" t="s">
        <v>18</v>
      </c>
      <c r="C65" s="13" t="s">
        <v>153</v>
      </c>
      <c r="D65" s="13" t="s">
        <v>33</v>
      </c>
      <c r="E65" s="13" t="s">
        <v>639</v>
      </c>
      <c r="F65" s="14">
        <v>46301.689733796295</v>
      </c>
      <c r="G65" s="13" t="s">
        <v>21</v>
      </c>
      <c r="H65" s="13" t="s">
        <v>2437</v>
      </c>
      <c r="I65" s="15">
        <v>360</v>
      </c>
      <c r="J65" s="13" t="s">
        <v>22</v>
      </c>
      <c r="K65" s="13" t="s">
        <v>23</v>
      </c>
      <c r="L65" s="15">
        <v>873</v>
      </c>
      <c r="M65" s="13" t="s">
        <v>35</v>
      </c>
      <c r="N65" s="14">
        <v>46301.736377314817</v>
      </c>
      <c r="O65" s="15">
        <v>360</v>
      </c>
      <c r="P65" s="13" t="s">
        <v>25</v>
      </c>
      <c r="Q65" s="15">
        <v>190</v>
      </c>
      <c r="R65" s="3" t="str">
        <f>IF(OR(G65="12R",G65="12L"),_xlfn.XLOOKUP(C65,Tabla42[ADEP],Tabla42[SID 12R],""),IF(OR(G65="30L",G65="30R"),_xlfn.XLOOKUP(C65,Tabla42[ADEP],Tabla42[SID 30L],""),""))</f>
        <v>UDGUV</v>
      </c>
      <c r="S65" s="3">
        <f t="shared" si="0"/>
        <v>16</v>
      </c>
      <c r="T65" s="3" t="str">
        <f>_xlfn.XLOOKUP(C65,Tabla42[ADEP],Tabla42[Sector],"")</f>
        <v>Sector 2</v>
      </c>
    </row>
    <row r="66" spans="1:20" x14ac:dyDescent="0.2">
      <c r="A66" s="13" t="s">
        <v>163</v>
      </c>
      <c r="B66" s="13" t="s">
        <v>18</v>
      </c>
      <c r="C66" s="13" t="s">
        <v>164</v>
      </c>
      <c r="D66" s="13" t="s">
        <v>43</v>
      </c>
      <c r="E66" s="13" t="s">
        <v>1004</v>
      </c>
      <c r="F66" s="14">
        <v>46301.690601851849</v>
      </c>
      <c r="G66" s="13" t="s">
        <v>21</v>
      </c>
      <c r="H66" s="13" t="s">
        <v>2438</v>
      </c>
      <c r="I66" s="15">
        <v>340</v>
      </c>
      <c r="J66" s="13" t="s">
        <v>22</v>
      </c>
      <c r="K66" s="13" t="s">
        <v>23</v>
      </c>
      <c r="L66" s="15">
        <v>426</v>
      </c>
      <c r="M66" s="13" t="s">
        <v>189</v>
      </c>
      <c r="N66" s="14">
        <v>46301.714895833335</v>
      </c>
      <c r="O66" s="15">
        <v>340</v>
      </c>
      <c r="P66" s="13" t="s">
        <v>25</v>
      </c>
      <c r="Q66" s="15">
        <v>40</v>
      </c>
      <c r="R66" s="3" t="str">
        <f>IF(OR(G66="12R",G66="12L"),_xlfn.XLOOKUP(C66,Tabla42[ADEP],Tabla42[SID 12R],""),IF(OR(G66="30L",G66="30R"),_xlfn.XLOOKUP(C66,Tabla42[ADEP],Tabla42[SID 30L],""),""))</f>
        <v>OMSUK</v>
      </c>
      <c r="S66" s="3">
        <f t="shared" si="0"/>
        <v>16</v>
      </c>
      <c r="T66" s="3" t="str">
        <f>_xlfn.XLOOKUP(C66,Tabla42[ADEP],Tabla42[Sector],"")</f>
        <v>Sector 3</v>
      </c>
    </row>
    <row r="67" spans="1:20" x14ac:dyDescent="0.2">
      <c r="A67" s="13" t="s">
        <v>176</v>
      </c>
      <c r="B67" s="13" t="s">
        <v>18</v>
      </c>
      <c r="C67" s="13" t="s">
        <v>19</v>
      </c>
      <c r="D67" s="13" t="s">
        <v>33</v>
      </c>
      <c r="E67" s="13" t="s">
        <v>2439</v>
      </c>
      <c r="F67" s="14">
        <v>46301.691770833335</v>
      </c>
      <c r="G67" s="13" t="s">
        <v>21</v>
      </c>
      <c r="H67" s="13" t="s">
        <v>2440</v>
      </c>
      <c r="I67" s="15">
        <v>360</v>
      </c>
      <c r="J67" s="13" t="s">
        <v>22</v>
      </c>
      <c r="K67" s="13" t="s">
        <v>23</v>
      </c>
      <c r="L67" s="15">
        <v>869</v>
      </c>
      <c r="M67" s="13" t="s">
        <v>167</v>
      </c>
      <c r="N67" s="14">
        <v>46301.738055555557</v>
      </c>
      <c r="O67" s="15">
        <v>360</v>
      </c>
      <c r="P67" s="13" t="s">
        <v>25</v>
      </c>
      <c r="Q67" s="15">
        <v>190</v>
      </c>
      <c r="R67" s="3" t="str">
        <f>IF(OR(G67="12R",G67="12L"),_xlfn.XLOOKUP(C67,Tabla42[ADEP],Tabla42[SID 12R],""),IF(OR(G67="30L",G67="30R"),_xlfn.XLOOKUP(C67,Tabla42[ADEP],Tabla42[SID 30L],""),""))</f>
        <v>UDGUV</v>
      </c>
      <c r="S67" s="3">
        <f t="shared" ref="S67:S130" si="1">HOUR(F67)</f>
        <v>16</v>
      </c>
      <c r="T67" s="3" t="str">
        <f>_xlfn.XLOOKUP(C67,Tabla42[ADEP],Tabla42[Sector],"")</f>
        <v>Sector 2</v>
      </c>
    </row>
    <row r="68" spans="1:20" x14ac:dyDescent="0.2">
      <c r="A68" s="13" t="s">
        <v>2441</v>
      </c>
      <c r="B68" s="13" t="s">
        <v>18</v>
      </c>
      <c r="C68" s="13" t="s">
        <v>400</v>
      </c>
      <c r="D68" s="13" t="s">
        <v>2442</v>
      </c>
      <c r="E68" s="13"/>
      <c r="F68" s="14">
        <v>46301.693310185183</v>
      </c>
      <c r="G68" s="13" t="s">
        <v>21</v>
      </c>
      <c r="H68" s="13" t="s">
        <v>2443</v>
      </c>
      <c r="I68" s="15">
        <v>400</v>
      </c>
      <c r="J68" s="13" t="s">
        <v>22</v>
      </c>
      <c r="K68" s="13" t="s">
        <v>50</v>
      </c>
      <c r="L68" s="15">
        <v>862</v>
      </c>
      <c r="M68" s="13" t="s">
        <v>473</v>
      </c>
      <c r="N68" s="14">
        <v>46301.759386574071</v>
      </c>
      <c r="O68" s="15">
        <v>400</v>
      </c>
      <c r="P68" s="13" t="s">
        <v>129</v>
      </c>
      <c r="Q68" s="15">
        <v>30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13" t="s">
        <v>2444</v>
      </c>
      <c r="B69" s="13" t="s">
        <v>18</v>
      </c>
      <c r="C69" s="13" t="s">
        <v>65</v>
      </c>
      <c r="D69" s="13" t="s">
        <v>794</v>
      </c>
      <c r="E69" s="13"/>
      <c r="F69" s="14">
        <v>46301.694837962961</v>
      </c>
      <c r="G69" s="13" t="s">
        <v>21</v>
      </c>
      <c r="H69" s="13" t="s">
        <v>2445</v>
      </c>
      <c r="I69" s="15">
        <v>280</v>
      </c>
      <c r="J69" s="13" t="s">
        <v>22</v>
      </c>
      <c r="K69" s="13" t="s">
        <v>50</v>
      </c>
      <c r="L69" s="15">
        <v>586</v>
      </c>
      <c r="M69" s="13" t="s">
        <v>65</v>
      </c>
      <c r="N69" s="14">
        <v>46301.749803240738</v>
      </c>
      <c r="O69" s="15">
        <v>0</v>
      </c>
      <c r="P69" s="13" t="s">
        <v>129</v>
      </c>
      <c r="Q69" s="15">
        <v>30</v>
      </c>
      <c r="R69" s="3" t="str">
        <f>IF(OR(G69="12R",G69="12L"),_xlfn.XLOOKUP(C69,Tabla42[ADEP],Tabla42[SID 12R],""),IF(OR(G69="30L",G69="30R"),_xlfn.XLOOKUP(C69,Tabla42[ADEP],Tabla42[SID 30L],""),""))</f>
        <v>UDGUV</v>
      </c>
      <c r="S69" s="3">
        <f t="shared" si="1"/>
        <v>16</v>
      </c>
      <c r="T69" s="3" t="str">
        <f>_xlfn.XLOOKUP(C69,Tabla42[ADEP],Tabla42[Sector],"")</f>
        <v>Sector 2</v>
      </c>
    </row>
    <row r="70" spans="1:20" x14ac:dyDescent="0.2">
      <c r="A70" s="13" t="s">
        <v>523</v>
      </c>
      <c r="B70" s="13" t="s">
        <v>18</v>
      </c>
      <c r="C70" s="13" t="s">
        <v>109</v>
      </c>
      <c r="D70" s="13" t="s">
        <v>122</v>
      </c>
      <c r="E70" s="13" t="s">
        <v>2446</v>
      </c>
      <c r="F70" s="14">
        <v>46301.697268518517</v>
      </c>
      <c r="G70" s="13" t="s">
        <v>21</v>
      </c>
      <c r="H70" s="13" t="s">
        <v>2447</v>
      </c>
      <c r="I70" s="15">
        <v>330</v>
      </c>
      <c r="J70" s="13" t="s">
        <v>22</v>
      </c>
      <c r="K70" s="13" t="s">
        <v>23</v>
      </c>
      <c r="L70" s="15">
        <v>153</v>
      </c>
      <c r="M70" s="13" t="s">
        <v>111</v>
      </c>
      <c r="N70" s="14">
        <v>46301.70752314815</v>
      </c>
      <c r="O70" s="15">
        <v>296</v>
      </c>
      <c r="P70" s="13" t="s">
        <v>25</v>
      </c>
      <c r="Q70" s="15">
        <v>190</v>
      </c>
      <c r="R70" s="3" t="str">
        <f>IF(OR(G70="12R",G70="12L"),_xlfn.XLOOKUP(C70,Tabla42[ADEP],Tabla42[SID 12R],""),IF(OR(G70="30L",G70="30R"),_xlfn.XLOOKUP(C70,Tabla42[ADEP],Tabla42[SID 30L],""),""))</f>
        <v>TAKUX</v>
      </c>
      <c r="S70" s="3">
        <f t="shared" si="1"/>
        <v>16</v>
      </c>
      <c r="T70" s="3" t="str">
        <f>_xlfn.XLOOKUP(C70,Tabla42[ADEP],Tabla42[Sector],"")</f>
        <v>Sector 7</v>
      </c>
    </row>
    <row r="71" spans="1:20" x14ac:dyDescent="0.2">
      <c r="A71" s="13" t="s">
        <v>181</v>
      </c>
      <c r="B71" s="13" t="s">
        <v>18</v>
      </c>
      <c r="C71" s="13" t="s">
        <v>42</v>
      </c>
      <c r="D71" s="13" t="s">
        <v>28</v>
      </c>
      <c r="E71" s="13" t="s">
        <v>1817</v>
      </c>
      <c r="F71" s="14">
        <v>46301.70140046296</v>
      </c>
      <c r="G71" s="13" t="s">
        <v>21</v>
      </c>
      <c r="H71" s="13" t="s">
        <v>2448</v>
      </c>
      <c r="I71" s="15">
        <v>380</v>
      </c>
      <c r="J71" s="13" t="s">
        <v>22</v>
      </c>
      <c r="K71" s="13" t="s">
        <v>23</v>
      </c>
      <c r="L71" s="15">
        <v>869</v>
      </c>
      <c r="M71" s="13" t="s">
        <v>2087</v>
      </c>
      <c r="N71" s="14">
        <v>46301.748229166667</v>
      </c>
      <c r="O71" s="15">
        <v>340</v>
      </c>
      <c r="P71" s="13" t="s">
        <v>25</v>
      </c>
      <c r="Q71" s="15">
        <v>190</v>
      </c>
      <c r="R71" s="3" t="str">
        <f>IF(OR(G71="12R",G71="12L"),_xlfn.XLOOKUP(C71,Tabla42[ADEP],Tabla42[SID 12R],""),IF(OR(G71="30L",G71="30R"),_xlfn.XLOOKUP(C71,Tabla42[ADEP],Tabla42[SID 30L],""),""))</f>
        <v>UDGUV</v>
      </c>
      <c r="S71" s="3">
        <f t="shared" si="1"/>
        <v>16</v>
      </c>
      <c r="T71" s="3" t="str">
        <f>_xlfn.XLOOKUP(C71,Tabla42[ADEP],Tabla42[Sector],"")</f>
        <v>Sector 2</v>
      </c>
    </row>
    <row r="72" spans="1:20" x14ac:dyDescent="0.2">
      <c r="A72" s="13" t="s">
        <v>180</v>
      </c>
      <c r="B72" s="13" t="s">
        <v>18</v>
      </c>
      <c r="C72" s="13" t="s">
        <v>133</v>
      </c>
      <c r="D72" s="13" t="s">
        <v>60</v>
      </c>
      <c r="E72" s="13" t="s">
        <v>2449</v>
      </c>
      <c r="F72" s="14">
        <v>46301.702962962961</v>
      </c>
      <c r="G72" s="13" t="s">
        <v>21</v>
      </c>
      <c r="H72" s="13" t="s">
        <v>2450</v>
      </c>
      <c r="I72" s="15">
        <v>330</v>
      </c>
      <c r="J72" s="13" t="s">
        <v>22</v>
      </c>
      <c r="K72" s="13" t="s">
        <v>23</v>
      </c>
      <c r="L72" s="15">
        <v>186</v>
      </c>
      <c r="M72" s="13" t="s">
        <v>2451</v>
      </c>
      <c r="N72" s="14">
        <v>46301.715833333335</v>
      </c>
      <c r="O72" s="15">
        <v>264</v>
      </c>
      <c r="P72" s="13" t="s">
        <v>25</v>
      </c>
      <c r="Q72" s="15">
        <v>40</v>
      </c>
      <c r="R72" s="3" t="str">
        <f>IF(OR(G72="12R",G72="12L"),_xlfn.XLOOKUP(C72,Tabla42[ADEP],Tabla42[SID 12R],""),IF(OR(G72="30L",G72="30R"),_xlfn.XLOOKUP(C72,Tabla42[ADEP],Tabla42[SID 30L],""),""))</f>
        <v>OMSUK</v>
      </c>
      <c r="S72" s="3">
        <f t="shared" si="1"/>
        <v>16</v>
      </c>
      <c r="T72" s="3" t="str">
        <f>_xlfn.XLOOKUP(C72,Tabla42[ADEP],Tabla42[Sector],"")</f>
        <v>Sector 3</v>
      </c>
    </row>
    <row r="73" spans="1:20" x14ac:dyDescent="0.2">
      <c r="A73" s="13" t="s">
        <v>177</v>
      </c>
      <c r="B73" s="13" t="s">
        <v>18</v>
      </c>
      <c r="C73" s="13" t="s">
        <v>109</v>
      </c>
      <c r="D73" s="13" t="s">
        <v>122</v>
      </c>
      <c r="E73" s="13" t="s">
        <v>2452</v>
      </c>
      <c r="F73" s="14">
        <v>46301.704895833333</v>
      </c>
      <c r="G73" s="13" t="s">
        <v>21</v>
      </c>
      <c r="H73" s="13" t="s">
        <v>2297</v>
      </c>
      <c r="I73" s="15">
        <v>350</v>
      </c>
      <c r="J73" s="13" t="s">
        <v>22</v>
      </c>
      <c r="K73" s="13" t="s">
        <v>23</v>
      </c>
      <c r="L73" s="15">
        <v>153</v>
      </c>
      <c r="M73" s="13" t="s">
        <v>111</v>
      </c>
      <c r="N73" s="14">
        <v>46301.715185185189</v>
      </c>
      <c r="O73" s="15">
        <v>295</v>
      </c>
      <c r="P73" s="13" t="s">
        <v>25</v>
      </c>
      <c r="Q73" s="15">
        <v>190</v>
      </c>
      <c r="R73" s="3" t="str">
        <f>IF(OR(G73="12R",G73="12L"),_xlfn.XLOOKUP(C73,Tabla42[ADEP],Tabla42[SID 12R],""),IF(OR(G73="30L",G73="30R"),_xlfn.XLOOKUP(C73,Tabla42[ADEP],Tabla42[SID 30L],""),""))</f>
        <v>TAKUX</v>
      </c>
      <c r="S73" s="3">
        <f t="shared" si="1"/>
        <v>16</v>
      </c>
      <c r="T73" s="3" t="str">
        <f>_xlfn.XLOOKUP(C73,Tabla42[ADEP],Tabla42[Sector],"")</f>
        <v>Sector 7</v>
      </c>
    </row>
    <row r="74" spans="1:20" x14ac:dyDescent="0.2">
      <c r="A74" s="13" t="s">
        <v>186</v>
      </c>
      <c r="B74" s="13" t="s">
        <v>18</v>
      </c>
      <c r="C74" s="13" t="s">
        <v>121</v>
      </c>
      <c r="D74" s="13" t="s">
        <v>60</v>
      </c>
      <c r="E74" s="13" t="s">
        <v>2453</v>
      </c>
      <c r="F74" s="14">
        <v>46301.715590277781</v>
      </c>
      <c r="G74" s="13" t="s">
        <v>21</v>
      </c>
      <c r="H74" s="13" t="s">
        <v>2454</v>
      </c>
      <c r="I74" s="15">
        <v>360</v>
      </c>
      <c r="J74" s="13" t="s">
        <v>22</v>
      </c>
      <c r="K74" s="13" t="s">
        <v>23</v>
      </c>
      <c r="L74" s="15">
        <v>488</v>
      </c>
      <c r="M74" s="13" t="s">
        <v>2455</v>
      </c>
      <c r="N74" s="14">
        <v>46301.74287037037</v>
      </c>
      <c r="O74" s="15">
        <v>360</v>
      </c>
      <c r="P74" s="13" t="s">
        <v>25</v>
      </c>
      <c r="Q74" s="15">
        <v>40</v>
      </c>
      <c r="R74" s="3" t="str">
        <f>IF(OR(G74="12R",G74="12L"),_xlfn.XLOOKUP(C74,Tabla42[ADEP],Tabla42[SID 12R],""),IF(OR(G74="30L",G74="30R"),_xlfn.XLOOKUP(C74,Tabla42[ADEP],Tabla42[SID 30L],""),""))</f>
        <v>ENEBA</v>
      </c>
      <c r="S74" s="3">
        <f t="shared" si="1"/>
        <v>17</v>
      </c>
      <c r="T74" s="3" t="str">
        <f>_xlfn.XLOOKUP(C74,Tabla42[ADEP],Tabla42[Sector],"")</f>
        <v>Sector 3</v>
      </c>
    </row>
    <row r="75" spans="1:20" x14ac:dyDescent="0.2">
      <c r="A75" s="13" t="s">
        <v>178</v>
      </c>
      <c r="B75" s="13" t="s">
        <v>18</v>
      </c>
      <c r="C75" s="13" t="s">
        <v>179</v>
      </c>
      <c r="D75" s="13" t="s">
        <v>33</v>
      </c>
      <c r="E75" s="13" t="s">
        <v>368</v>
      </c>
      <c r="F75" s="14">
        <v>46301.719594907408</v>
      </c>
      <c r="G75" s="13" t="s">
        <v>21</v>
      </c>
      <c r="H75" s="13" t="s">
        <v>2456</v>
      </c>
      <c r="I75" s="15">
        <v>360</v>
      </c>
      <c r="J75" s="13" t="s">
        <v>22</v>
      </c>
      <c r="K75" s="13" t="s">
        <v>23</v>
      </c>
      <c r="L75" s="15">
        <v>826</v>
      </c>
      <c r="M75" s="13" t="s">
        <v>179</v>
      </c>
      <c r="N75" s="14">
        <v>46301.765011574076</v>
      </c>
      <c r="O75" s="15">
        <v>15</v>
      </c>
      <c r="P75" s="13" t="s">
        <v>25</v>
      </c>
      <c r="Q75" s="15">
        <v>190</v>
      </c>
      <c r="R75" s="3" t="str">
        <f>IF(OR(G75="12R",G75="12L"),_xlfn.XLOOKUP(C75,Tabla42[ADEP],Tabla42[SID 12R],""),IF(OR(G75="30L",G75="30R"),_xlfn.XLOOKUP(C75,Tabla42[ADEP],Tabla42[SID 30L],""),""))</f>
        <v>UDGUV</v>
      </c>
      <c r="S75" s="3">
        <f t="shared" si="1"/>
        <v>17</v>
      </c>
      <c r="T75" s="3" t="str">
        <f>_xlfn.XLOOKUP(C75,Tabla42[ADEP],Tabla42[Sector],"")</f>
        <v>Sector 2</v>
      </c>
    </row>
    <row r="76" spans="1:20" x14ac:dyDescent="0.2">
      <c r="A76" s="13" t="s">
        <v>2457</v>
      </c>
      <c r="B76" s="13" t="s">
        <v>18</v>
      </c>
      <c r="C76" s="13" t="s">
        <v>215</v>
      </c>
      <c r="D76" s="13" t="s">
        <v>354</v>
      </c>
      <c r="E76" s="13"/>
      <c r="F76" s="14">
        <v>46301.720509259256</v>
      </c>
      <c r="G76" s="13" t="s">
        <v>21</v>
      </c>
      <c r="H76" s="13" t="s">
        <v>2458</v>
      </c>
      <c r="I76" s="15">
        <v>410</v>
      </c>
      <c r="J76" s="13" t="s">
        <v>22</v>
      </c>
      <c r="K76" s="13" t="s">
        <v>455</v>
      </c>
      <c r="L76" s="15">
        <v>349</v>
      </c>
      <c r="M76" s="13" t="s">
        <v>30</v>
      </c>
      <c r="N76" s="14">
        <v>46301.743275462963</v>
      </c>
      <c r="O76" s="15">
        <v>390</v>
      </c>
      <c r="P76" s="13" t="s">
        <v>25</v>
      </c>
      <c r="Q76" s="15">
        <v>40</v>
      </c>
      <c r="R76" s="3" t="str">
        <f>IF(OR(G76="12R",G76="12L"),_xlfn.XLOOKUP(C76,Tabla42[ADEP],Tabla42[SID 12R],""),IF(OR(G76="30L",G76="30R"),_xlfn.XLOOKUP(C76,Tabla42[ADEP],Tabla42[SID 30L],""),""))</f>
        <v>OMSUK</v>
      </c>
      <c r="S76" s="3">
        <f t="shared" si="1"/>
        <v>17</v>
      </c>
      <c r="T76" s="3" t="str">
        <f>_xlfn.XLOOKUP(C76,Tabla42[ADEP],Tabla42[Sector],"")</f>
        <v>Sector 3</v>
      </c>
    </row>
    <row r="77" spans="1:20" x14ac:dyDescent="0.2">
      <c r="A77" s="13" t="s">
        <v>187</v>
      </c>
      <c r="B77" s="13" t="s">
        <v>18</v>
      </c>
      <c r="C77" s="13" t="s">
        <v>188</v>
      </c>
      <c r="D77" s="13" t="s">
        <v>117</v>
      </c>
      <c r="E77" s="13" t="s">
        <v>2459</v>
      </c>
      <c r="F77" s="14">
        <v>46301.723113425927</v>
      </c>
      <c r="G77" s="13" t="s">
        <v>21</v>
      </c>
      <c r="H77" s="13" t="s">
        <v>2460</v>
      </c>
      <c r="I77" s="15">
        <v>300</v>
      </c>
      <c r="J77" s="13" t="s">
        <v>22</v>
      </c>
      <c r="K77" s="13" t="s">
        <v>23</v>
      </c>
      <c r="L77" s="15">
        <v>431</v>
      </c>
      <c r="M77" s="13" t="s">
        <v>189</v>
      </c>
      <c r="N77" s="14">
        <v>46301.74596064815</v>
      </c>
      <c r="O77" s="15">
        <v>300</v>
      </c>
      <c r="P77" s="13" t="s">
        <v>25</v>
      </c>
      <c r="Q77" s="15">
        <v>40</v>
      </c>
      <c r="R77" s="3" t="str">
        <f>IF(OR(G77="12R",G77="12L"),_xlfn.XLOOKUP(C77,Tabla42[ADEP],Tabla42[SID 12R],""),IF(OR(G77="30L",G77="30R"),_xlfn.XLOOKUP(C77,Tabla42[ADEP],Tabla42[SID 30L],""),""))</f>
        <v>ENEBA</v>
      </c>
      <c r="S77" s="3">
        <f t="shared" si="1"/>
        <v>17</v>
      </c>
      <c r="T77" s="3" t="str">
        <f>_xlfn.XLOOKUP(C77,Tabla42[ADEP],Tabla42[Sector],"")</f>
        <v>Sector 3</v>
      </c>
    </row>
    <row r="78" spans="1:20" x14ac:dyDescent="0.2">
      <c r="A78" s="13" t="s">
        <v>2461</v>
      </c>
      <c r="B78" s="13" t="s">
        <v>18</v>
      </c>
      <c r="C78" s="13" t="s">
        <v>814</v>
      </c>
      <c r="D78" s="13" t="s">
        <v>394</v>
      </c>
      <c r="E78" s="13"/>
      <c r="F78" s="14">
        <v>46301.724768518521</v>
      </c>
      <c r="G78" s="13" t="s">
        <v>21</v>
      </c>
      <c r="H78" s="13" t="s">
        <v>2462</v>
      </c>
      <c r="I78" s="15">
        <v>240</v>
      </c>
      <c r="J78" s="13" t="s">
        <v>22</v>
      </c>
      <c r="K78" s="13" t="s">
        <v>50</v>
      </c>
      <c r="L78" s="15">
        <v>384</v>
      </c>
      <c r="M78" s="13" t="s">
        <v>250</v>
      </c>
      <c r="N78" s="14">
        <v>46301.764791666668</v>
      </c>
      <c r="O78" s="15">
        <v>240</v>
      </c>
      <c r="P78" s="13" t="s">
        <v>129</v>
      </c>
      <c r="Q78" s="15">
        <v>40</v>
      </c>
      <c r="R78" s="3" t="str">
        <f>IF(OR(G78="12R",G78="12L"),_xlfn.XLOOKUP(C78,Tabla42[ADEP],Tabla42[SID 12R],""),IF(OR(G78="30L",G78="30R"),_xlfn.XLOOKUP(C78,Tabla42[ADEP],Tabla42[SID 30L],""),""))</f>
        <v>ENEBA</v>
      </c>
      <c r="S78" s="3">
        <f t="shared" si="1"/>
        <v>17</v>
      </c>
      <c r="T78" s="3" t="str">
        <f>_xlfn.XLOOKUP(C78,Tabla42[ADEP],Tabla42[Sector],"")</f>
        <v>Sector 3</v>
      </c>
    </row>
    <row r="79" spans="1:20" x14ac:dyDescent="0.2">
      <c r="A79" s="13" t="s">
        <v>183</v>
      </c>
      <c r="B79" s="13" t="s">
        <v>18</v>
      </c>
      <c r="C79" s="13" t="s">
        <v>184</v>
      </c>
      <c r="D79" s="13" t="s">
        <v>60</v>
      </c>
      <c r="E79" s="13" t="s">
        <v>2463</v>
      </c>
      <c r="F79" s="14">
        <v>46301.72861111111</v>
      </c>
      <c r="G79" s="13" t="s">
        <v>21</v>
      </c>
      <c r="H79" s="13" t="s">
        <v>2464</v>
      </c>
      <c r="I79" s="15">
        <v>330</v>
      </c>
      <c r="J79" s="13" t="s">
        <v>22</v>
      </c>
      <c r="K79" s="13" t="s">
        <v>23</v>
      </c>
      <c r="L79" s="15">
        <v>136</v>
      </c>
      <c r="M79" s="13" t="s">
        <v>2465</v>
      </c>
      <c r="N79" s="14">
        <v>46301.738125000003</v>
      </c>
      <c r="O79" s="15">
        <v>209</v>
      </c>
      <c r="P79" s="13" t="s">
        <v>25</v>
      </c>
      <c r="Q79" s="15">
        <v>190</v>
      </c>
      <c r="R79" s="3" t="str">
        <f>IF(OR(G79="12R",G79="12L"),_xlfn.XLOOKUP(C79,Tabla42[ADEP],Tabla42[SID 12R],""),IF(OR(G79="30L",G79="30R"),_xlfn.XLOOKUP(C79,Tabla42[ADEP],Tabla42[SID 30L],""),""))</f>
        <v>OMSUK</v>
      </c>
      <c r="S79" s="3">
        <f t="shared" si="1"/>
        <v>17</v>
      </c>
      <c r="T79" s="3" t="str">
        <f>_xlfn.XLOOKUP(C79,Tabla42[ADEP],Tabla42[Sector],"")</f>
        <v>Sector 3</v>
      </c>
    </row>
    <row r="80" spans="1:20" x14ac:dyDescent="0.2">
      <c r="A80" s="13" t="s">
        <v>194</v>
      </c>
      <c r="B80" s="13" t="s">
        <v>18</v>
      </c>
      <c r="C80" s="13" t="s">
        <v>195</v>
      </c>
      <c r="D80" s="13" t="s">
        <v>28</v>
      </c>
      <c r="E80" s="13" t="s">
        <v>2466</v>
      </c>
      <c r="F80" s="14">
        <v>46301.739548611113</v>
      </c>
      <c r="G80" s="13" t="s">
        <v>21</v>
      </c>
      <c r="H80" s="13" t="s">
        <v>2467</v>
      </c>
      <c r="I80" s="15">
        <v>370</v>
      </c>
      <c r="J80" s="13" t="s">
        <v>22</v>
      </c>
      <c r="K80" s="13" t="s">
        <v>23</v>
      </c>
      <c r="L80" s="15">
        <v>189</v>
      </c>
      <c r="M80" s="13" t="s">
        <v>2468</v>
      </c>
      <c r="N80" s="14">
        <v>46301.752280092594</v>
      </c>
      <c r="O80" s="15">
        <v>289</v>
      </c>
      <c r="P80" s="13" t="s">
        <v>25</v>
      </c>
      <c r="Q80" s="15">
        <v>190</v>
      </c>
      <c r="R80" s="3" t="str">
        <f>IF(OR(G80="12R",G80="12L"),_xlfn.XLOOKUP(C80,Tabla42[ADEP],Tabla42[SID 12R],""),IF(OR(G80="30L",G80="30R"),_xlfn.XLOOKUP(C80,Tabla42[ADEP],Tabla42[SID 30L],""),""))</f>
        <v>HECAT</v>
      </c>
      <c r="S80" s="3">
        <f t="shared" si="1"/>
        <v>17</v>
      </c>
      <c r="T80" s="3" t="str">
        <f>_xlfn.XLOOKUP(C80,Tabla42[ADEP],Tabla42[Sector],"")</f>
        <v>Sector 7</v>
      </c>
    </row>
    <row r="81" spans="1:20" x14ac:dyDescent="0.2">
      <c r="A81" s="13" t="s">
        <v>192</v>
      </c>
      <c r="B81" s="13" t="s">
        <v>18</v>
      </c>
      <c r="C81" s="13" t="s">
        <v>193</v>
      </c>
      <c r="D81" s="13" t="s">
        <v>60</v>
      </c>
      <c r="E81" s="13" t="s">
        <v>2469</v>
      </c>
      <c r="F81" s="14">
        <v>46301.742314814815</v>
      </c>
      <c r="G81" s="13" t="s">
        <v>21</v>
      </c>
      <c r="H81" s="13" t="s">
        <v>2470</v>
      </c>
      <c r="I81" s="15">
        <v>330</v>
      </c>
      <c r="J81" s="13" t="s">
        <v>22</v>
      </c>
      <c r="K81" s="13" t="s">
        <v>23</v>
      </c>
      <c r="L81" s="15">
        <v>136</v>
      </c>
      <c r="M81" s="13" t="s">
        <v>39</v>
      </c>
      <c r="N81" s="14">
        <v>46301.75203703704</v>
      </c>
      <c r="O81" s="15">
        <v>209</v>
      </c>
      <c r="P81" s="13" t="s">
        <v>25</v>
      </c>
      <c r="Q81" s="15">
        <v>190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13" t="s">
        <v>244</v>
      </c>
      <c r="B82" s="13" t="s">
        <v>18</v>
      </c>
      <c r="C82" s="13" t="s">
        <v>126</v>
      </c>
      <c r="D82" s="13" t="s">
        <v>60</v>
      </c>
      <c r="E82" s="13" t="s">
        <v>2471</v>
      </c>
      <c r="F82" s="14">
        <v>46301.744016203702</v>
      </c>
      <c r="G82" s="13" t="s">
        <v>21</v>
      </c>
      <c r="H82" s="13" t="s">
        <v>2472</v>
      </c>
      <c r="I82" s="15">
        <v>340</v>
      </c>
      <c r="J82" s="13" t="s">
        <v>22</v>
      </c>
      <c r="K82" s="13" t="s">
        <v>23</v>
      </c>
      <c r="L82" s="15">
        <v>446</v>
      </c>
      <c r="M82" s="13" t="s">
        <v>189</v>
      </c>
      <c r="N82" s="14">
        <v>46301.769745370373</v>
      </c>
      <c r="O82" s="15">
        <v>340</v>
      </c>
      <c r="P82" s="13" t="s">
        <v>25</v>
      </c>
      <c r="Q82" s="15">
        <v>40</v>
      </c>
      <c r="R82" s="3" t="str">
        <f>IF(OR(G82="12R",G82="12L"),_xlfn.XLOOKUP(C82,Tabla42[ADEP],Tabla42[SID 12R],""),IF(OR(G82="30L",G82="30R"),_xlfn.XLOOKUP(C82,Tabla42[ADEP],Tabla42[SID 30L],""),""))</f>
        <v>ENEBA</v>
      </c>
      <c r="S82" s="3">
        <f t="shared" si="1"/>
        <v>17</v>
      </c>
      <c r="T82" s="3" t="str">
        <f>_xlfn.XLOOKUP(C82,Tabla42[ADEP],Tabla42[Sector],"")</f>
        <v>Sector 3</v>
      </c>
    </row>
    <row r="83" spans="1:20" x14ac:dyDescent="0.2">
      <c r="A83" s="13" t="s">
        <v>221</v>
      </c>
      <c r="B83" s="13" t="s">
        <v>18</v>
      </c>
      <c r="C83" s="13" t="s">
        <v>42</v>
      </c>
      <c r="D83" s="13" t="s">
        <v>43</v>
      </c>
      <c r="E83" s="13" t="s">
        <v>527</v>
      </c>
      <c r="F83" s="14">
        <v>46301.745370370372</v>
      </c>
      <c r="G83" s="13" t="s">
        <v>21</v>
      </c>
      <c r="H83" s="13" t="s">
        <v>2473</v>
      </c>
      <c r="I83" s="15">
        <v>360</v>
      </c>
      <c r="J83" s="13" t="s">
        <v>22</v>
      </c>
      <c r="K83" s="13" t="s">
        <v>23</v>
      </c>
      <c r="L83" s="15">
        <v>859</v>
      </c>
      <c r="M83" s="13" t="s">
        <v>349</v>
      </c>
      <c r="N83" s="14">
        <v>46301.790659722225</v>
      </c>
      <c r="O83" s="15">
        <v>360</v>
      </c>
      <c r="P83" s="13" t="s">
        <v>25</v>
      </c>
      <c r="Q83" s="15">
        <v>190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13" t="s">
        <v>205</v>
      </c>
      <c r="B84" s="13" t="s">
        <v>18</v>
      </c>
      <c r="C84" s="13" t="s">
        <v>206</v>
      </c>
      <c r="D84" s="13" t="s">
        <v>53</v>
      </c>
      <c r="E84" s="13" t="s">
        <v>106</v>
      </c>
      <c r="F84" s="14">
        <v>46301.746701388889</v>
      </c>
      <c r="G84" s="13" t="s">
        <v>21</v>
      </c>
      <c r="H84" s="13" t="s">
        <v>2474</v>
      </c>
      <c r="I84" s="15">
        <v>360</v>
      </c>
      <c r="J84" s="13" t="s">
        <v>22</v>
      </c>
      <c r="K84" s="13" t="s">
        <v>23</v>
      </c>
      <c r="L84" s="15">
        <v>892</v>
      </c>
      <c r="M84" s="13" t="s">
        <v>668</v>
      </c>
      <c r="N84" s="14">
        <v>46301.792442129627</v>
      </c>
      <c r="O84" s="15">
        <v>360</v>
      </c>
      <c r="P84" s="13" t="s">
        <v>25</v>
      </c>
      <c r="Q84" s="15">
        <v>190</v>
      </c>
      <c r="R84" s="3" t="str">
        <f>IF(OR(G84="12R",G84="12L"),_xlfn.XLOOKUP(C84,Tabla42[ADEP],Tabla42[SID 12R],""),IF(OR(G84="30L",G84="30R"),_xlfn.XLOOKUP(C84,Tabla42[ADEP],Tabla42[SID 30L],""),""))</f>
        <v>UDGUV</v>
      </c>
      <c r="S84" s="3">
        <f t="shared" si="1"/>
        <v>17</v>
      </c>
      <c r="T84" s="3" t="str">
        <f>_xlfn.XLOOKUP(C84,Tabla42[ADEP],Tabla42[Sector],"")</f>
        <v>Sector 2</v>
      </c>
    </row>
    <row r="85" spans="1:20" x14ac:dyDescent="0.2">
      <c r="A85" s="13" t="s">
        <v>2475</v>
      </c>
      <c r="B85" s="13" t="s">
        <v>18</v>
      </c>
      <c r="C85" s="13" t="s">
        <v>436</v>
      </c>
      <c r="D85" s="13" t="s">
        <v>2476</v>
      </c>
      <c r="E85" s="13" t="s">
        <v>2477</v>
      </c>
      <c r="F85" s="14">
        <v>46301.748148148145</v>
      </c>
      <c r="G85" s="13" t="s">
        <v>21</v>
      </c>
      <c r="H85" s="13" t="s">
        <v>2478</v>
      </c>
      <c r="I85" s="15">
        <v>400</v>
      </c>
      <c r="J85" s="13" t="s">
        <v>22</v>
      </c>
      <c r="K85" s="13" t="s">
        <v>141</v>
      </c>
      <c r="L85" s="15">
        <v>870</v>
      </c>
      <c r="M85" s="13" t="s">
        <v>35</v>
      </c>
      <c r="N85" s="14">
        <v>46301.803657407407</v>
      </c>
      <c r="O85" s="15">
        <v>400</v>
      </c>
      <c r="P85" s="13" t="s">
        <v>129</v>
      </c>
      <c r="Q85" s="15">
        <v>30</v>
      </c>
      <c r="R85" s="3" t="str">
        <f>IF(OR(G85="12R",G85="12L"),_xlfn.XLOOKUP(C85,Tabla42[ADEP],Tabla42[SID 12R],""),IF(OR(G85="30L",G85="30R"),_xlfn.XLOOKUP(C85,Tabla42[ADEP],Tabla42[SID 30L],""),""))</f>
        <v>UDGUV</v>
      </c>
      <c r="S85" s="3">
        <f t="shared" si="1"/>
        <v>17</v>
      </c>
      <c r="T85" s="3" t="str">
        <f>_xlfn.XLOOKUP(C85,Tabla42[ADEP],Tabla42[Sector],"")</f>
        <v>Sector 2</v>
      </c>
    </row>
    <row r="86" spans="1:20" x14ac:dyDescent="0.2">
      <c r="A86" s="13" t="s">
        <v>213</v>
      </c>
      <c r="B86" s="13" t="s">
        <v>18</v>
      </c>
      <c r="C86" s="13" t="s">
        <v>19</v>
      </c>
      <c r="D86" s="13" t="s">
        <v>33</v>
      </c>
      <c r="E86" s="13" t="s">
        <v>2479</v>
      </c>
      <c r="F86" s="14">
        <v>46301.750439814816</v>
      </c>
      <c r="G86" s="13" t="s">
        <v>21</v>
      </c>
      <c r="H86" s="13" t="s">
        <v>2480</v>
      </c>
      <c r="I86" s="15">
        <v>380</v>
      </c>
      <c r="J86" s="13" t="s">
        <v>22</v>
      </c>
      <c r="K86" s="13" t="s">
        <v>23</v>
      </c>
      <c r="L86" s="15">
        <v>863</v>
      </c>
      <c r="M86" s="13" t="s">
        <v>24</v>
      </c>
      <c r="N86" s="14">
        <v>46301.796620370369</v>
      </c>
      <c r="O86" s="15">
        <v>380</v>
      </c>
      <c r="P86" s="13" t="s">
        <v>25</v>
      </c>
      <c r="Q86" s="15">
        <v>190</v>
      </c>
      <c r="R86" s="3" t="str">
        <f>IF(OR(G86="12R",G86="12L"),_xlfn.XLOOKUP(C86,Tabla42[ADEP],Tabla42[SID 12R],""),IF(OR(G86="30L",G86="30R"),_xlfn.XLOOKUP(C86,Tabla42[ADEP],Tabla42[SID 30L],""),""))</f>
        <v>UDGUV</v>
      </c>
      <c r="S86" s="3">
        <f t="shared" si="1"/>
        <v>18</v>
      </c>
      <c r="T86" s="3" t="str">
        <f>_xlfn.XLOOKUP(C86,Tabla42[ADEP],Tabla42[Sector],"")</f>
        <v>Sector 2</v>
      </c>
    </row>
    <row r="87" spans="1:20" x14ac:dyDescent="0.2">
      <c r="A87" s="13" t="s">
        <v>202</v>
      </c>
      <c r="B87" s="13" t="s">
        <v>18</v>
      </c>
      <c r="C87" s="13" t="s">
        <v>32</v>
      </c>
      <c r="D87" s="13" t="s">
        <v>60</v>
      </c>
      <c r="E87" s="13" t="s">
        <v>690</v>
      </c>
      <c r="F87" s="14">
        <v>46301.754328703704</v>
      </c>
      <c r="G87" s="13" t="s">
        <v>21</v>
      </c>
      <c r="H87" s="13" t="s">
        <v>352</v>
      </c>
      <c r="I87" s="15">
        <v>360</v>
      </c>
      <c r="J87" s="13" t="s">
        <v>22</v>
      </c>
      <c r="K87" s="13" t="s">
        <v>23</v>
      </c>
      <c r="L87" s="15">
        <v>878</v>
      </c>
      <c r="M87" s="13" t="s">
        <v>35</v>
      </c>
      <c r="N87" s="14">
        <v>46301.800763888888</v>
      </c>
      <c r="O87" s="15">
        <v>360</v>
      </c>
      <c r="P87" s="13" t="s">
        <v>25</v>
      </c>
      <c r="Q87" s="15">
        <v>190</v>
      </c>
      <c r="R87" s="3" t="str">
        <f>IF(OR(G87="12R",G87="12L"),_xlfn.XLOOKUP(C87,Tabla42[ADEP],Tabla42[SID 12R],""),IF(OR(G87="30L",G87="30R"),_xlfn.XLOOKUP(C87,Tabla42[ADEP],Tabla42[SID 30L],""),""))</f>
        <v>UDGUV</v>
      </c>
      <c r="S87" s="3">
        <f t="shared" si="1"/>
        <v>18</v>
      </c>
      <c r="T87" s="3" t="str">
        <f>_xlfn.XLOOKUP(C87,Tabla42[ADEP],Tabla42[Sector],"")</f>
        <v>Sector 2</v>
      </c>
    </row>
    <row r="88" spans="1:20" x14ac:dyDescent="0.2">
      <c r="A88" s="13" t="s">
        <v>2157</v>
      </c>
      <c r="B88" s="13" t="s">
        <v>18</v>
      </c>
      <c r="C88" s="13" t="s">
        <v>188</v>
      </c>
      <c r="D88" s="13" t="s">
        <v>60</v>
      </c>
      <c r="E88" s="13" t="s">
        <v>2481</v>
      </c>
      <c r="F88" s="14">
        <v>46301.755243055559</v>
      </c>
      <c r="G88" s="13" t="s">
        <v>21</v>
      </c>
      <c r="H88" s="13" t="s">
        <v>2482</v>
      </c>
      <c r="I88" s="15">
        <v>340</v>
      </c>
      <c r="J88" s="13" t="s">
        <v>22</v>
      </c>
      <c r="K88" s="13" t="s">
        <v>23</v>
      </c>
      <c r="L88" s="15">
        <v>433</v>
      </c>
      <c r="M88" s="13" t="s">
        <v>189</v>
      </c>
      <c r="N88" s="14">
        <v>46301.779756944445</v>
      </c>
      <c r="O88" s="15">
        <v>340</v>
      </c>
      <c r="P88" s="13" t="s">
        <v>25</v>
      </c>
      <c r="Q88" s="15">
        <v>30</v>
      </c>
      <c r="R88" s="3" t="str">
        <f>IF(OR(G88="12R",G88="12L"),_xlfn.XLOOKUP(C88,Tabla42[ADEP],Tabla42[SID 12R],""),IF(OR(G88="30L",G88="30R"),_xlfn.XLOOKUP(C88,Tabla42[ADEP],Tabla42[SID 30L],""),""))</f>
        <v>ENEBA</v>
      </c>
      <c r="S88" s="3">
        <f t="shared" si="1"/>
        <v>18</v>
      </c>
      <c r="T88" s="3" t="str">
        <f>_xlfn.XLOOKUP(C88,Tabla42[ADEP],Tabla42[Sector],"")</f>
        <v>Sector 3</v>
      </c>
    </row>
    <row r="89" spans="1:20" x14ac:dyDescent="0.2">
      <c r="A89" s="13" t="s">
        <v>217</v>
      </c>
      <c r="B89" s="13" t="s">
        <v>18</v>
      </c>
      <c r="C89" s="13" t="s">
        <v>158</v>
      </c>
      <c r="D89" s="13" t="s">
        <v>20</v>
      </c>
      <c r="E89" s="13" t="s">
        <v>2483</v>
      </c>
      <c r="F89" s="14">
        <v>46301.756504629629</v>
      </c>
      <c r="G89" s="13" t="s">
        <v>21</v>
      </c>
      <c r="H89" s="13" t="s">
        <v>2484</v>
      </c>
      <c r="I89" s="15">
        <v>330</v>
      </c>
      <c r="J89" s="13" t="s">
        <v>22</v>
      </c>
      <c r="K89" s="13" t="s">
        <v>23</v>
      </c>
      <c r="L89" s="15">
        <v>136</v>
      </c>
      <c r="M89" s="13" t="s">
        <v>39</v>
      </c>
      <c r="N89" s="14">
        <v>46301.765810185185</v>
      </c>
      <c r="O89" s="15">
        <v>222</v>
      </c>
      <c r="P89" s="13" t="s">
        <v>25</v>
      </c>
      <c r="Q89" s="15">
        <v>190</v>
      </c>
      <c r="R89" s="3" t="str">
        <f>IF(OR(G89="12R",G89="12L"),_xlfn.XLOOKUP(C89,Tabla42[ADEP],Tabla42[SID 12R],""),IF(OR(G89="30L",G89="30R"),_xlfn.XLOOKUP(C89,Tabla42[ADEP],Tabla42[SID 30L],""),""))</f>
        <v>OMSUK</v>
      </c>
      <c r="S89" s="3">
        <f t="shared" si="1"/>
        <v>18</v>
      </c>
      <c r="T89" s="3" t="str">
        <f>_xlfn.XLOOKUP(C89,Tabla42[ADEP],Tabla42[Sector],"")</f>
        <v>Sector 3</v>
      </c>
    </row>
    <row r="90" spans="1:20" x14ac:dyDescent="0.2">
      <c r="A90" s="13" t="s">
        <v>246</v>
      </c>
      <c r="B90" s="13" t="s">
        <v>18</v>
      </c>
      <c r="C90" s="13" t="s">
        <v>209</v>
      </c>
      <c r="D90" s="13" t="s">
        <v>28</v>
      </c>
      <c r="E90" s="13" t="s">
        <v>2485</v>
      </c>
      <c r="F90" s="14">
        <v>46301.757696759261</v>
      </c>
      <c r="G90" s="13" t="s">
        <v>21</v>
      </c>
      <c r="H90" s="13" t="s">
        <v>2486</v>
      </c>
      <c r="I90" s="15">
        <v>340</v>
      </c>
      <c r="J90" s="13" t="s">
        <v>22</v>
      </c>
      <c r="K90" s="13" t="s">
        <v>23</v>
      </c>
      <c r="L90" s="15">
        <v>542</v>
      </c>
      <c r="M90" s="13" t="s">
        <v>123</v>
      </c>
      <c r="N90" s="14">
        <v>46301.786446759259</v>
      </c>
      <c r="O90" s="15">
        <v>340</v>
      </c>
      <c r="P90" s="13" t="s">
        <v>25</v>
      </c>
      <c r="Q90" s="15">
        <v>40</v>
      </c>
      <c r="R90" s="3" t="str">
        <f>IF(OR(G90="12R",G90="12L"),_xlfn.XLOOKUP(C90,Tabla42[ADEP],Tabla42[SID 12R],""),IF(OR(G90="30L",G90="30R"),_xlfn.XLOOKUP(C90,Tabla42[ADEP],Tabla42[SID 30L],""),""))</f>
        <v>ENEBA</v>
      </c>
      <c r="S90" s="3">
        <f t="shared" si="1"/>
        <v>18</v>
      </c>
      <c r="T90" s="3" t="str">
        <f>_xlfn.XLOOKUP(C90,Tabla42[ADEP],Tabla42[Sector],"")</f>
        <v>Sector 3</v>
      </c>
    </row>
    <row r="91" spans="1:20" x14ac:dyDescent="0.2">
      <c r="A91" s="13" t="s">
        <v>597</v>
      </c>
      <c r="B91" s="13" t="s">
        <v>18</v>
      </c>
      <c r="C91" s="13" t="s">
        <v>598</v>
      </c>
      <c r="D91" s="13" t="s">
        <v>28</v>
      </c>
      <c r="E91" s="13" t="s">
        <v>2487</v>
      </c>
      <c r="F91" s="14">
        <v>46301.759097222224</v>
      </c>
      <c r="G91" s="13" t="s">
        <v>21</v>
      </c>
      <c r="H91" s="13" t="s">
        <v>2488</v>
      </c>
      <c r="I91" s="15">
        <v>360</v>
      </c>
      <c r="J91" s="13" t="s">
        <v>22</v>
      </c>
      <c r="K91" s="13" t="s">
        <v>23</v>
      </c>
      <c r="L91" s="15">
        <v>446</v>
      </c>
      <c r="M91" s="13" t="s">
        <v>189</v>
      </c>
      <c r="N91" s="14">
        <v>46301.783599537041</v>
      </c>
      <c r="O91" s="15">
        <v>360</v>
      </c>
      <c r="P91" s="13" t="s">
        <v>25</v>
      </c>
      <c r="Q91" s="15">
        <v>40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13" t="s">
        <v>284</v>
      </c>
      <c r="B92" s="13" t="s">
        <v>18</v>
      </c>
      <c r="C92" s="13" t="s">
        <v>137</v>
      </c>
      <c r="D92" s="13" t="s">
        <v>20</v>
      </c>
      <c r="E92" s="13" t="s">
        <v>2489</v>
      </c>
      <c r="F92" s="14">
        <v>46301.760451388887</v>
      </c>
      <c r="G92" s="13" t="s">
        <v>21</v>
      </c>
      <c r="H92" s="13" t="s">
        <v>2490</v>
      </c>
      <c r="I92" s="15">
        <v>370</v>
      </c>
      <c r="J92" s="13" t="s">
        <v>22</v>
      </c>
      <c r="K92" s="13" t="s">
        <v>23</v>
      </c>
      <c r="L92" s="15">
        <v>136</v>
      </c>
      <c r="M92" s="13" t="s">
        <v>39</v>
      </c>
      <c r="N92" s="14">
        <v>46301.769166666665</v>
      </c>
      <c r="O92" s="15">
        <v>228</v>
      </c>
      <c r="P92" s="13" t="s">
        <v>25</v>
      </c>
      <c r="Q92" s="15">
        <v>190</v>
      </c>
      <c r="R92" s="3" t="str">
        <f>IF(OR(G92="12R",G92="12L"),_xlfn.XLOOKUP(C92,Tabla42[ADEP],Tabla42[SID 12R],""),IF(OR(G92="30L",G92="30R"),_xlfn.XLOOKUP(C92,Tabla42[ADEP],Tabla42[SID 30L],""),""))</f>
        <v>NUDAL</v>
      </c>
      <c r="S92" s="3">
        <f t="shared" si="1"/>
        <v>18</v>
      </c>
      <c r="T92" s="3" t="str">
        <f>_xlfn.XLOOKUP(C92,Tabla42[ADEP],Tabla42[Sector],"")</f>
        <v>Sector 3</v>
      </c>
    </row>
    <row r="93" spans="1:20" x14ac:dyDescent="0.2">
      <c r="A93" s="13" t="s">
        <v>2491</v>
      </c>
      <c r="B93" s="13" t="s">
        <v>18</v>
      </c>
      <c r="C93" s="13" t="s">
        <v>42</v>
      </c>
      <c r="D93" s="13" t="s">
        <v>794</v>
      </c>
      <c r="E93" s="13"/>
      <c r="F93" s="14">
        <v>46301.762060185189</v>
      </c>
      <c r="G93" s="13" t="s">
        <v>21</v>
      </c>
      <c r="H93" s="13" t="s">
        <v>2492</v>
      </c>
      <c r="I93" s="15">
        <v>280</v>
      </c>
      <c r="J93" s="13" t="s">
        <v>22</v>
      </c>
      <c r="K93" s="13" t="s">
        <v>50</v>
      </c>
      <c r="L93" s="15">
        <v>858</v>
      </c>
      <c r="M93" s="13" t="s">
        <v>630</v>
      </c>
      <c r="N93" s="14">
        <v>46301.819606481484</v>
      </c>
      <c r="O93" s="15">
        <v>280</v>
      </c>
      <c r="P93" s="13" t="s">
        <v>129</v>
      </c>
      <c r="Q93" s="15">
        <v>30</v>
      </c>
      <c r="R93" s="3" t="str">
        <f>IF(OR(G93="12R",G93="12L"),_xlfn.XLOOKUP(C93,Tabla42[ADEP],Tabla42[SID 12R],""),IF(OR(G93="30L",G93="30R"),_xlfn.XLOOKUP(C93,Tabla42[ADEP],Tabla42[SID 30L],""),""))</f>
        <v>UDGUV</v>
      </c>
      <c r="S93" s="3">
        <f t="shared" si="1"/>
        <v>18</v>
      </c>
      <c r="T93" s="3" t="str">
        <f>_xlfn.XLOOKUP(C93,Tabla42[ADEP],Tabla42[Sector],"")</f>
        <v>Sector 2</v>
      </c>
    </row>
    <row r="94" spans="1:20" x14ac:dyDescent="0.2">
      <c r="A94" s="13" t="s">
        <v>218</v>
      </c>
      <c r="B94" s="13" t="s">
        <v>18</v>
      </c>
      <c r="C94" s="13" t="s">
        <v>219</v>
      </c>
      <c r="D94" s="13" t="s">
        <v>43</v>
      </c>
      <c r="E94" s="13" t="s">
        <v>440</v>
      </c>
      <c r="F94" s="14">
        <v>46301.763356481482</v>
      </c>
      <c r="G94" s="13" t="s">
        <v>21</v>
      </c>
      <c r="H94" s="13" t="s">
        <v>2493</v>
      </c>
      <c r="I94" s="15">
        <v>320</v>
      </c>
      <c r="J94" s="13" t="s">
        <v>22</v>
      </c>
      <c r="K94" s="13" t="s">
        <v>23</v>
      </c>
      <c r="L94" s="15">
        <v>561</v>
      </c>
      <c r="M94" s="13" t="s">
        <v>2494</v>
      </c>
      <c r="N94" s="14">
        <v>46301.793344907404</v>
      </c>
      <c r="O94" s="15">
        <v>320</v>
      </c>
      <c r="P94" s="13" t="s">
        <v>25</v>
      </c>
      <c r="Q94" s="15">
        <v>40</v>
      </c>
      <c r="R94" s="3" t="str">
        <f>IF(OR(G94="12R",G94="12L"),_xlfn.XLOOKUP(C94,Tabla42[ADEP],Tabla42[SID 12R],""),IF(OR(G94="30L",G94="30R"),_xlfn.XLOOKUP(C94,Tabla42[ADEP],Tabla42[SID 30L],""),""))</f>
        <v>UDGUV</v>
      </c>
      <c r="S94" s="3">
        <f t="shared" si="1"/>
        <v>18</v>
      </c>
      <c r="T94" s="3" t="str">
        <f>_xlfn.XLOOKUP(C94,Tabla42[ADEP],Tabla42[Sector],"")</f>
        <v>Sector 2</v>
      </c>
    </row>
    <row r="95" spans="1:20" x14ac:dyDescent="0.2">
      <c r="A95" s="13" t="s">
        <v>2495</v>
      </c>
      <c r="B95" s="13" t="s">
        <v>18</v>
      </c>
      <c r="C95" s="13" t="s">
        <v>559</v>
      </c>
      <c r="D95" s="13" t="s">
        <v>226</v>
      </c>
      <c r="E95" s="13" t="s">
        <v>2496</v>
      </c>
      <c r="F95" s="14">
        <v>46301.764849537038</v>
      </c>
      <c r="G95" s="13" t="s">
        <v>21</v>
      </c>
      <c r="H95" s="13" t="s">
        <v>2497</v>
      </c>
      <c r="I95" s="15">
        <v>370</v>
      </c>
      <c r="J95" s="13" t="s">
        <v>22</v>
      </c>
      <c r="K95" s="13" t="s">
        <v>23</v>
      </c>
      <c r="L95" s="15">
        <v>355</v>
      </c>
      <c r="M95" s="13" t="s">
        <v>30</v>
      </c>
      <c r="N95" s="14">
        <v>46301.78502314815</v>
      </c>
      <c r="O95" s="15">
        <v>370</v>
      </c>
      <c r="P95" s="13" t="s">
        <v>25</v>
      </c>
      <c r="Q95" s="15">
        <v>40</v>
      </c>
      <c r="R95" s="3" t="str">
        <f>IF(OR(G95="12R",G95="12L"),_xlfn.XLOOKUP(C95,Tabla42[ADEP],Tabla42[SID 12R],""),IF(OR(G95="30L",G95="30R"),_xlfn.XLOOKUP(C95,Tabla42[ADEP],Tabla42[SID 30L],""),""))</f>
        <v>OMSUK</v>
      </c>
      <c r="S95" s="3">
        <f t="shared" si="1"/>
        <v>18</v>
      </c>
      <c r="T95" s="3" t="str">
        <f>_xlfn.XLOOKUP(C95,Tabla42[ADEP],Tabla42[Sector],"")</f>
        <v>Sector 3</v>
      </c>
    </row>
    <row r="96" spans="1:20" x14ac:dyDescent="0.2">
      <c r="A96" s="13" t="s">
        <v>237</v>
      </c>
      <c r="B96" s="13" t="s">
        <v>18</v>
      </c>
      <c r="C96" s="13" t="s">
        <v>116</v>
      </c>
      <c r="D96" s="13" t="s">
        <v>117</v>
      </c>
      <c r="E96" s="13" t="s">
        <v>2498</v>
      </c>
      <c r="F96" s="14">
        <v>46301.766041666669</v>
      </c>
      <c r="G96" s="13" t="s">
        <v>21</v>
      </c>
      <c r="H96" s="13" t="s">
        <v>2499</v>
      </c>
      <c r="I96" s="15">
        <v>300</v>
      </c>
      <c r="J96" s="13" t="s">
        <v>22</v>
      </c>
      <c r="K96" s="13" t="s">
        <v>23</v>
      </c>
      <c r="L96" s="15">
        <v>546</v>
      </c>
      <c r="M96" s="13" t="s">
        <v>123</v>
      </c>
      <c r="N96" s="14">
        <v>46301.795300925929</v>
      </c>
      <c r="O96" s="15">
        <v>340</v>
      </c>
      <c r="P96" s="13" t="s">
        <v>25</v>
      </c>
      <c r="Q96" s="15">
        <v>40</v>
      </c>
      <c r="R96" s="3" t="str">
        <f>IF(OR(G96="12R",G96="12L"),_xlfn.XLOOKUP(C96,Tabla42[ADEP],Tabla42[SID 12R],""),IF(OR(G96="30L",G96="30R"),_xlfn.XLOOKUP(C96,Tabla42[ADEP],Tabla42[SID 30L],""),""))</f>
        <v>ENEBA</v>
      </c>
      <c r="S96" s="3">
        <f t="shared" si="1"/>
        <v>18</v>
      </c>
      <c r="T96" s="3" t="str">
        <f>_xlfn.XLOOKUP(C96,Tabla42[ADEP],Tabla42[Sector],"")</f>
        <v>Sector 3</v>
      </c>
    </row>
    <row r="97" spans="1:20" x14ac:dyDescent="0.2">
      <c r="A97" s="13" t="s">
        <v>203</v>
      </c>
      <c r="B97" s="13" t="s">
        <v>18</v>
      </c>
      <c r="C97" s="13" t="s">
        <v>204</v>
      </c>
      <c r="D97" s="13" t="s">
        <v>53</v>
      </c>
      <c r="E97" s="13" t="s">
        <v>2146</v>
      </c>
      <c r="F97" s="14">
        <v>46301.767129629632</v>
      </c>
      <c r="G97" s="13" t="s">
        <v>21</v>
      </c>
      <c r="H97" s="13" t="s">
        <v>2500</v>
      </c>
      <c r="I97" s="15">
        <v>370</v>
      </c>
      <c r="J97" s="13" t="s">
        <v>22</v>
      </c>
      <c r="K97" s="13" t="s">
        <v>23</v>
      </c>
      <c r="L97" s="15">
        <v>156</v>
      </c>
      <c r="M97" s="13" t="s">
        <v>2501</v>
      </c>
      <c r="N97" s="14">
        <v>46301.77752314815</v>
      </c>
      <c r="O97" s="15">
        <v>282</v>
      </c>
      <c r="P97" s="13" t="s">
        <v>25</v>
      </c>
      <c r="Q97" s="15">
        <v>190</v>
      </c>
      <c r="R97" s="3" t="str">
        <f>IF(OR(G97="12R",G97="12L"),_xlfn.XLOOKUP(C97,Tabla42[ADEP],Tabla42[SID 12R],""),IF(OR(G97="30L",G97="30R"),_xlfn.XLOOKUP(C97,Tabla42[ADEP],Tabla42[SID 30L],""),""))</f>
        <v>TAKUX</v>
      </c>
      <c r="S97" s="3">
        <f t="shared" si="1"/>
        <v>18</v>
      </c>
      <c r="T97" s="3" t="str">
        <f>_xlfn.XLOOKUP(C97,Tabla42[ADEP],Tabla42[Sector],"")</f>
        <v>Sector 7</v>
      </c>
    </row>
    <row r="98" spans="1:20" x14ac:dyDescent="0.2">
      <c r="A98" s="13" t="s">
        <v>228</v>
      </c>
      <c r="B98" s="13" t="s">
        <v>18</v>
      </c>
      <c r="C98" s="13" t="s">
        <v>27</v>
      </c>
      <c r="D98" s="13" t="s">
        <v>28</v>
      </c>
      <c r="E98" s="13" t="s">
        <v>2502</v>
      </c>
      <c r="F98" s="14">
        <v>46301.771180555559</v>
      </c>
      <c r="G98" s="13" t="s">
        <v>21</v>
      </c>
      <c r="H98" s="13" t="s">
        <v>2503</v>
      </c>
      <c r="I98" s="15">
        <v>380</v>
      </c>
      <c r="J98" s="13" t="s">
        <v>22</v>
      </c>
      <c r="K98" s="13" t="s">
        <v>23</v>
      </c>
      <c r="L98" s="15">
        <v>437</v>
      </c>
      <c r="M98" s="13" t="s">
        <v>189</v>
      </c>
      <c r="N98" s="14">
        <v>46301.795335648145</v>
      </c>
      <c r="O98" s="15">
        <v>360</v>
      </c>
      <c r="P98" s="13" t="s">
        <v>25</v>
      </c>
      <c r="Q98" s="15">
        <v>40</v>
      </c>
      <c r="R98" s="3" t="str">
        <f>IF(OR(G98="12R",G98="12L"),_xlfn.XLOOKUP(C98,Tabla42[ADEP],Tabla42[SID 12R],""),IF(OR(G98="30L",G98="30R"),_xlfn.XLOOKUP(C98,Tabla42[ADEP],Tabla42[SID 30L],""),""))</f>
        <v>OMSUK</v>
      </c>
      <c r="S98" s="3">
        <f t="shared" si="1"/>
        <v>18</v>
      </c>
      <c r="T98" s="3" t="str">
        <f>_xlfn.XLOOKUP(C98,Tabla42[ADEP],Tabla42[Sector],"")</f>
        <v>Sector 3</v>
      </c>
    </row>
    <row r="99" spans="1:20" x14ac:dyDescent="0.2">
      <c r="A99" s="13" t="s">
        <v>211</v>
      </c>
      <c r="B99" s="13" t="s">
        <v>18</v>
      </c>
      <c r="C99" s="13" t="s">
        <v>212</v>
      </c>
      <c r="D99" s="13" t="s">
        <v>53</v>
      </c>
      <c r="E99" s="13" t="s">
        <v>2504</v>
      </c>
      <c r="F99" s="14">
        <v>46301.774004629631</v>
      </c>
      <c r="G99" s="13" t="s">
        <v>21</v>
      </c>
      <c r="H99" s="13" t="s">
        <v>2505</v>
      </c>
      <c r="I99" s="15">
        <v>330</v>
      </c>
      <c r="J99" s="13" t="s">
        <v>22</v>
      </c>
      <c r="K99" s="13" t="s">
        <v>23</v>
      </c>
      <c r="L99" s="15">
        <v>153</v>
      </c>
      <c r="M99" s="13" t="s">
        <v>111</v>
      </c>
      <c r="N99" s="14">
        <v>46301.78465277778</v>
      </c>
      <c r="O99" s="15">
        <v>292</v>
      </c>
      <c r="P99" s="13" t="s">
        <v>25</v>
      </c>
      <c r="Q99" s="15">
        <v>190</v>
      </c>
      <c r="R99" s="3" t="str">
        <f>IF(OR(G99="12R",G99="12L"),_xlfn.XLOOKUP(C99,Tabla42[ADEP],Tabla42[SID 12R],""),IF(OR(G99="30L",G99="30R"),_xlfn.XLOOKUP(C99,Tabla42[ADEP],Tabla42[SID 30L],""),""))</f>
        <v>TAKUX</v>
      </c>
      <c r="S99" s="3">
        <f t="shared" si="1"/>
        <v>18</v>
      </c>
      <c r="T99" s="3" t="str">
        <f>_xlfn.XLOOKUP(C99,Tabla42[ADEP],Tabla42[Sector],"")</f>
        <v>Sector 7</v>
      </c>
    </row>
    <row r="100" spans="1:20" x14ac:dyDescent="0.2">
      <c r="A100" s="13" t="s">
        <v>216</v>
      </c>
      <c r="B100" s="13" t="s">
        <v>18</v>
      </c>
      <c r="C100" s="13" t="s">
        <v>32</v>
      </c>
      <c r="D100" s="13" t="s">
        <v>20</v>
      </c>
      <c r="E100" s="13" t="s">
        <v>374</v>
      </c>
      <c r="F100" s="14">
        <v>46301.778287037036</v>
      </c>
      <c r="G100" s="13" t="s">
        <v>21</v>
      </c>
      <c r="H100" s="13" t="s">
        <v>2506</v>
      </c>
      <c r="I100" s="15">
        <v>360</v>
      </c>
      <c r="J100" s="13" t="s">
        <v>22</v>
      </c>
      <c r="K100" s="13" t="s">
        <v>23</v>
      </c>
      <c r="L100" s="15">
        <v>854</v>
      </c>
      <c r="M100" s="13" t="s">
        <v>2507</v>
      </c>
      <c r="N100" s="14">
        <v>46301.82408564815</v>
      </c>
      <c r="O100" s="15">
        <v>360</v>
      </c>
      <c r="P100" s="13" t="s">
        <v>25</v>
      </c>
      <c r="Q100" s="15">
        <v>190</v>
      </c>
      <c r="R100" s="3" t="str">
        <f>IF(OR(G100="12R",G100="12L"),_xlfn.XLOOKUP(C100,Tabla42[ADEP],Tabla42[SID 12R],""),IF(OR(G100="30L",G100="30R"),_xlfn.XLOOKUP(C100,Tabla42[ADEP],Tabla42[SID 30L],""),""))</f>
        <v>UDGUV</v>
      </c>
      <c r="S100" s="3">
        <f t="shared" si="1"/>
        <v>18</v>
      </c>
      <c r="T100" s="3" t="str">
        <f>_xlfn.XLOOKUP(C100,Tabla42[ADEP],Tabla42[Sector],"")</f>
        <v>Sector 2</v>
      </c>
    </row>
    <row r="101" spans="1:20" x14ac:dyDescent="0.2">
      <c r="A101" s="13" t="s">
        <v>227</v>
      </c>
      <c r="B101" s="13" t="s">
        <v>18</v>
      </c>
      <c r="C101" s="13" t="s">
        <v>133</v>
      </c>
      <c r="D101" s="13" t="s">
        <v>60</v>
      </c>
      <c r="E101" s="13" t="s">
        <v>810</v>
      </c>
      <c r="F101" s="14">
        <v>46301.781527777777</v>
      </c>
      <c r="G101" s="13" t="s">
        <v>21</v>
      </c>
      <c r="H101" s="13" t="s">
        <v>2508</v>
      </c>
      <c r="I101" s="15">
        <v>330</v>
      </c>
      <c r="J101" s="13" t="s">
        <v>22</v>
      </c>
      <c r="K101" s="13" t="s">
        <v>23</v>
      </c>
      <c r="L101" s="15">
        <v>222</v>
      </c>
      <c r="M101" s="13" t="s">
        <v>2509</v>
      </c>
      <c r="N101" s="14">
        <v>46301.79478009259</v>
      </c>
      <c r="O101" s="15">
        <v>205</v>
      </c>
      <c r="P101" s="13" t="s">
        <v>25</v>
      </c>
      <c r="Q101" s="15">
        <v>40</v>
      </c>
      <c r="R101" s="3" t="str">
        <f>IF(OR(G101="12R",G101="12L"),_xlfn.XLOOKUP(C101,Tabla42[ADEP],Tabla42[SID 12R],""),IF(OR(G101="30L",G101="30R"),_xlfn.XLOOKUP(C101,Tabla42[ADEP],Tabla42[SID 30L],""),""))</f>
        <v>OMSUK</v>
      </c>
      <c r="S101" s="3">
        <f t="shared" si="1"/>
        <v>18</v>
      </c>
      <c r="T101" s="3" t="str">
        <f>_xlfn.XLOOKUP(C101,Tabla42[ADEP],Tabla42[Sector],"")</f>
        <v>Sector 3</v>
      </c>
    </row>
    <row r="102" spans="1:20" x14ac:dyDescent="0.2">
      <c r="A102" s="13" t="s">
        <v>240</v>
      </c>
      <c r="B102" s="13" t="s">
        <v>18</v>
      </c>
      <c r="C102" s="13" t="s">
        <v>116</v>
      </c>
      <c r="D102" s="13" t="s">
        <v>43</v>
      </c>
      <c r="E102" s="13" t="s">
        <v>2263</v>
      </c>
      <c r="F102" s="14">
        <v>46301.784745370373</v>
      </c>
      <c r="G102" s="13" t="s">
        <v>21</v>
      </c>
      <c r="H102" s="13" t="s">
        <v>2510</v>
      </c>
      <c r="I102" s="15">
        <v>340</v>
      </c>
      <c r="J102" s="13" t="s">
        <v>22</v>
      </c>
      <c r="K102" s="13" t="s">
        <v>23</v>
      </c>
      <c r="L102" s="15">
        <v>527</v>
      </c>
      <c r="M102" s="13" t="s">
        <v>123</v>
      </c>
      <c r="N102" s="14">
        <v>46301.812800925924</v>
      </c>
      <c r="O102" s="15">
        <v>360</v>
      </c>
      <c r="P102" s="13" t="s">
        <v>25</v>
      </c>
      <c r="Q102" s="15">
        <v>40</v>
      </c>
      <c r="R102" s="3" t="str">
        <f>IF(OR(G102="12R",G102="12L"),_xlfn.XLOOKUP(C102,Tabla42[ADEP],Tabla42[SID 12R],""),IF(OR(G102="30L",G102="30R"),_xlfn.XLOOKUP(C102,Tabla42[ADEP],Tabla42[SID 30L],""),""))</f>
        <v>ENEBA</v>
      </c>
      <c r="S102" s="3">
        <f t="shared" si="1"/>
        <v>18</v>
      </c>
      <c r="T102" s="3" t="str">
        <f>_xlfn.XLOOKUP(C102,Tabla42[ADEP],Tabla42[Sector],"")</f>
        <v>Sector 3</v>
      </c>
    </row>
    <row r="103" spans="1:20" x14ac:dyDescent="0.2">
      <c r="A103" s="13" t="s">
        <v>238</v>
      </c>
      <c r="B103" s="13" t="s">
        <v>18</v>
      </c>
      <c r="C103" s="13" t="s">
        <v>239</v>
      </c>
      <c r="D103" s="13" t="s">
        <v>53</v>
      </c>
      <c r="E103" s="13" t="s">
        <v>2511</v>
      </c>
      <c r="F103" s="14">
        <v>46301.788124999999</v>
      </c>
      <c r="G103" s="13" t="s">
        <v>21</v>
      </c>
      <c r="H103" s="13" t="s">
        <v>2512</v>
      </c>
      <c r="I103" s="15">
        <v>360</v>
      </c>
      <c r="J103" s="13" t="s">
        <v>22</v>
      </c>
      <c r="K103" s="13" t="s">
        <v>23</v>
      </c>
      <c r="L103" s="15">
        <v>882</v>
      </c>
      <c r="M103" s="13" t="s">
        <v>2196</v>
      </c>
      <c r="N103" s="14">
        <v>46301.835266203707</v>
      </c>
      <c r="O103" s="15">
        <v>360</v>
      </c>
      <c r="P103" s="13" t="s">
        <v>25</v>
      </c>
      <c r="Q103" s="15">
        <v>190</v>
      </c>
      <c r="R103" s="3" t="str">
        <f>IF(OR(G103="12R",G103="12L"),_xlfn.XLOOKUP(C103,Tabla42[ADEP],Tabla42[SID 12R],""),IF(OR(G103="30L",G103="30R"),_xlfn.XLOOKUP(C103,Tabla42[ADEP],Tabla42[SID 30L],""),""))</f>
        <v>UDGUV</v>
      </c>
      <c r="S103" s="3">
        <f t="shared" si="1"/>
        <v>18</v>
      </c>
      <c r="T103" s="3" t="str">
        <f>_xlfn.XLOOKUP(C103,Tabla42[ADEP],Tabla42[Sector],"")</f>
        <v>Sector 2</v>
      </c>
    </row>
    <row r="104" spans="1:20" x14ac:dyDescent="0.2">
      <c r="A104" s="13" t="s">
        <v>2513</v>
      </c>
      <c r="B104" s="13" t="s">
        <v>18</v>
      </c>
      <c r="C104" s="13" t="s">
        <v>356</v>
      </c>
      <c r="D104" s="13" t="s">
        <v>2514</v>
      </c>
      <c r="E104" s="13"/>
      <c r="F104" s="14">
        <v>46301.789710648147</v>
      </c>
      <c r="G104" s="13" t="s">
        <v>21</v>
      </c>
      <c r="H104" s="13" t="s">
        <v>2515</v>
      </c>
      <c r="I104" s="15">
        <v>110</v>
      </c>
      <c r="J104" s="13" t="s">
        <v>22</v>
      </c>
      <c r="K104" s="13" t="s">
        <v>50</v>
      </c>
      <c r="L104" s="15">
        <v>221</v>
      </c>
      <c r="M104" s="13" t="s">
        <v>355</v>
      </c>
      <c r="N104" s="14">
        <v>46301.821504629632</v>
      </c>
      <c r="O104" s="15">
        <v>110</v>
      </c>
      <c r="P104" s="13" t="s">
        <v>129</v>
      </c>
      <c r="Q104" s="15">
        <v>15</v>
      </c>
      <c r="R104" s="3" t="str">
        <f>IF(OR(G104="12R",G104="12L"),_xlfn.XLOOKUP(C104,Tabla42[ADEP],Tabla42[SID 12R],""),IF(OR(G104="30L",G104="30R"),_xlfn.XLOOKUP(C104,Tabla42[ADEP],Tabla42[SID 30L],""),""))</f>
        <v>NUDAL</v>
      </c>
      <c r="S104" s="3">
        <f t="shared" si="1"/>
        <v>18</v>
      </c>
      <c r="T104" s="3" t="str">
        <f>_xlfn.XLOOKUP(C104,Tabla42[ADEP],Tabla42[Sector],"")</f>
        <v>Sector 3</v>
      </c>
    </row>
    <row r="105" spans="1:20" x14ac:dyDescent="0.2">
      <c r="A105" s="13" t="s">
        <v>235</v>
      </c>
      <c r="B105" s="13" t="s">
        <v>18</v>
      </c>
      <c r="C105" s="13" t="s">
        <v>62</v>
      </c>
      <c r="D105" s="13" t="s">
        <v>33</v>
      </c>
      <c r="E105" s="13" t="s">
        <v>82</v>
      </c>
      <c r="F105" s="14">
        <v>46301.791712962964</v>
      </c>
      <c r="G105" s="13" t="s">
        <v>21</v>
      </c>
      <c r="H105" s="13" t="s">
        <v>2516</v>
      </c>
      <c r="I105" s="15">
        <v>360</v>
      </c>
      <c r="J105" s="13" t="s">
        <v>22</v>
      </c>
      <c r="K105" s="13" t="s">
        <v>23</v>
      </c>
      <c r="L105" s="15">
        <v>875</v>
      </c>
      <c r="M105" s="13" t="s">
        <v>2517</v>
      </c>
      <c r="N105" s="14">
        <v>46301.837766203702</v>
      </c>
      <c r="O105" s="15">
        <v>360</v>
      </c>
      <c r="P105" s="13" t="s">
        <v>25</v>
      </c>
      <c r="Q105" s="15">
        <v>190</v>
      </c>
      <c r="R105" s="3" t="str">
        <f>IF(OR(G105="12R",G105="12L"),_xlfn.XLOOKUP(C105,Tabla42[ADEP],Tabla42[SID 12R],""),IF(OR(G105="30L",G105="30R"),_xlfn.XLOOKUP(C105,Tabla42[ADEP],Tabla42[SID 30L],""),""))</f>
        <v>UDGUV</v>
      </c>
      <c r="S105" s="3">
        <f t="shared" si="1"/>
        <v>19</v>
      </c>
      <c r="T105" s="3" t="str">
        <f>_xlfn.XLOOKUP(C105,Tabla42[ADEP],Tabla42[Sector],"")</f>
        <v>Sector 2</v>
      </c>
    </row>
    <row r="106" spans="1:20" x14ac:dyDescent="0.2">
      <c r="A106" s="13" t="s">
        <v>2518</v>
      </c>
      <c r="B106" s="13" t="s">
        <v>18</v>
      </c>
      <c r="C106" s="13" t="s">
        <v>96</v>
      </c>
      <c r="D106" s="13" t="s">
        <v>53</v>
      </c>
      <c r="E106" s="13" t="s">
        <v>393</v>
      </c>
      <c r="F106" s="14">
        <v>46301.793356481481</v>
      </c>
      <c r="G106" s="13" t="s">
        <v>21</v>
      </c>
      <c r="H106" s="13" t="s">
        <v>2519</v>
      </c>
      <c r="I106" s="15">
        <v>380</v>
      </c>
      <c r="J106" s="13" t="s">
        <v>22</v>
      </c>
      <c r="K106" s="13" t="s">
        <v>23</v>
      </c>
      <c r="L106" s="15">
        <v>884</v>
      </c>
      <c r="M106" s="13" t="s">
        <v>2520</v>
      </c>
      <c r="N106" s="14">
        <v>46301.840011574073</v>
      </c>
      <c r="O106" s="15">
        <v>380</v>
      </c>
      <c r="P106" s="13" t="s">
        <v>25</v>
      </c>
      <c r="Q106" s="15">
        <v>190</v>
      </c>
      <c r="R106" s="3" t="str">
        <f>IF(OR(G106="12R",G106="12L"),_xlfn.XLOOKUP(C106,Tabla42[ADEP],Tabla42[SID 12R],""),IF(OR(G106="30L",G106="30R"),_xlfn.XLOOKUP(C106,Tabla42[ADEP],Tabla42[SID 30L],""),""))</f>
        <v>UDGUV</v>
      </c>
      <c r="S106" s="3">
        <f t="shared" si="1"/>
        <v>19</v>
      </c>
      <c r="T106" s="3" t="str">
        <f>_xlfn.XLOOKUP(C106,Tabla42[ADEP],Tabla42[Sector],"")</f>
        <v>Sector 2</v>
      </c>
    </row>
    <row r="107" spans="1:20" x14ac:dyDescent="0.2">
      <c r="A107" s="13" t="s">
        <v>443</v>
      </c>
      <c r="B107" s="13" t="s">
        <v>18</v>
      </c>
      <c r="C107" s="13" t="s">
        <v>444</v>
      </c>
      <c r="D107" s="13" t="s">
        <v>28</v>
      </c>
      <c r="E107" s="13" t="s">
        <v>2521</v>
      </c>
      <c r="F107" s="14">
        <v>46301.796030092592</v>
      </c>
      <c r="G107" s="13" t="s">
        <v>21</v>
      </c>
      <c r="H107" s="13" t="s">
        <v>2522</v>
      </c>
      <c r="I107" s="15">
        <v>340</v>
      </c>
      <c r="J107" s="13" t="s">
        <v>22</v>
      </c>
      <c r="K107" s="13" t="s">
        <v>23</v>
      </c>
      <c r="L107" s="15">
        <v>452</v>
      </c>
      <c r="M107" s="13" t="s">
        <v>189</v>
      </c>
      <c r="N107" s="14">
        <v>46301.820914351854</v>
      </c>
      <c r="O107" s="15">
        <v>340</v>
      </c>
      <c r="P107" s="13" t="s">
        <v>25</v>
      </c>
      <c r="Q107" s="15">
        <v>40</v>
      </c>
      <c r="R107" s="3" t="str">
        <f>IF(OR(G107="12R",G107="12L"),_xlfn.XLOOKUP(C107,Tabla42[ADEP],Tabla42[SID 12R],""),IF(OR(G107="30L",G107="30R"),_xlfn.XLOOKUP(C107,Tabla42[ADEP],Tabla42[SID 30L],""),""))</f>
        <v>ENEBA</v>
      </c>
      <c r="S107" s="3">
        <f t="shared" si="1"/>
        <v>19</v>
      </c>
      <c r="T107" s="3" t="str">
        <f>_xlfn.XLOOKUP(C107,Tabla42[ADEP],Tabla42[Sector],"")</f>
        <v>Sector 3</v>
      </c>
    </row>
    <row r="108" spans="1:20" x14ac:dyDescent="0.2">
      <c r="A108" s="13" t="s">
        <v>229</v>
      </c>
      <c r="B108" s="13" t="s">
        <v>18</v>
      </c>
      <c r="C108" s="13" t="s">
        <v>230</v>
      </c>
      <c r="D108" s="13" t="s">
        <v>231</v>
      </c>
      <c r="E108" s="13" t="s">
        <v>591</v>
      </c>
      <c r="F108" s="14">
        <v>46301.79724537037</v>
      </c>
      <c r="G108" s="13" t="s">
        <v>21</v>
      </c>
      <c r="H108" s="13" t="s">
        <v>2523</v>
      </c>
      <c r="I108" s="15">
        <v>100</v>
      </c>
      <c r="J108" s="13" t="s">
        <v>22</v>
      </c>
      <c r="K108" s="13" t="s">
        <v>23</v>
      </c>
      <c r="L108" s="15">
        <v>338</v>
      </c>
      <c r="M108" s="13" t="s">
        <v>230</v>
      </c>
      <c r="N108" s="14">
        <v>46301.864027777781</v>
      </c>
      <c r="O108" s="15">
        <v>0</v>
      </c>
      <c r="P108" s="13" t="s">
        <v>129</v>
      </c>
      <c r="Q108" s="15">
        <v>40</v>
      </c>
      <c r="R108" s="3" t="str">
        <f>IF(OR(G108="12R",G108="12L"),_xlfn.XLOOKUP(C108,Tabla42[ADEP],Tabla42[SID 12R],""),IF(OR(G108="30L",G108="30R"),_xlfn.XLOOKUP(C108,Tabla42[ADEP],Tabla42[SID 30L],""),""))</f>
        <v>CZM</v>
      </c>
      <c r="S108" s="3">
        <f t="shared" si="1"/>
        <v>19</v>
      </c>
      <c r="T108" s="3" t="str">
        <f>_xlfn.XLOOKUP(C108,Tabla42[ADEP],Tabla42[Sector],"")</f>
        <v>Sector 7</v>
      </c>
    </row>
    <row r="109" spans="1:20" x14ac:dyDescent="0.2">
      <c r="A109" s="13" t="s">
        <v>2524</v>
      </c>
      <c r="B109" s="13" t="s">
        <v>18</v>
      </c>
      <c r="C109" s="13" t="s">
        <v>65</v>
      </c>
      <c r="D109" s="13" t="s">
        <v>172</v>
      </c>
      <c r="E109" s="13"/>
      <c r="F109" s="14">
        <v>46301.798750000002</v>
      </c>
      <c r="G109" s="13" t="s">
        <v>21</v>
      </c>
      <c r="H109" s="13" t="s">
        <v>2525</v>
      </c>
      <c r="I109" s="15">
        <v>105</v>
      </c>
      <c r="J109" s="13" t="s">
        <v>130</v>
      </c>
      <c r="K109" s="13" t="s">
        <v>50</v>
      </c>
      <c r="L109" s="15">
        <v>326</v>
      </c>
      <c r="M109" s="13" t="s">
        <v>65</v>
      </c>
      <c r="N109" s="14">
        <v>46301.854363425926</v>
      </c>
      <c r="O109" s="15">
        <v>0</v>
      </c>
      <c r="P109" s="13" t="s">
        <v>129</v>
      </c>
      <c r="Q109" s="15">
        <v>15</v>
      </c>
      <c r="R109" s="3" t="str">
        <f>IF(OR(G109="12R",G109="12L"),_xlfn.XLOOKUP(C109,Tabla42[ADEP],Tabla42[SID 12R],""),IF(OR(G109="30L",G109="30R"),_xlfn.XLOOKUP(C109,Tabla42[ADEP],Tabla42[SID 30L],""),""))</f>
        <v>UDGUV</v>
      </c>
      <c r="S109" s="3">
        <f t="shared" si="1"/>
        <v>19</v>
      </c>
      <c r="T109" s="3" t="str">
        <f>_xlfn.XLOOKUP(C109,Tabla42[ADEP],Tabla42[Sector],"")</f>
        <v>Sector 2</v>
      </c>
    </row>
    <row r="110" spans="1:20" x14ac:dyDescent="0.2">
      <c r="A110" s="13" t="s">
        <v>358</v>
      </c>
      <c r="B110" s="13" t="s">
        <v>18</v>
      </c>
      <c r="C110" s="13" t="s">
        <v>359</v>
      </c>
      <c r="D110" s="13" t="s">
        <v>33</v>
      </c>
      <c r="E110" s="13" t="s">
        <v>2526</v>
      </c>
      <c r="F110" s="14">
        <v>46301.803402777776</v>
      </c>
      <c r="G110" s="13" t="s">
        <v>21</v>
      </c>
      <c r="H110" s="13" t="s">
        <v>2527</v>
      </c>
      <c r="I110" s="15">
        <v>350</v>
      </c>
      <c r="J110" s="13" t="s">
        <v>22</v>
      </c>
      <c r="K110" s="13" t="s">
        <v>23</v>
      </c>
      <c r="L110" s="15">
        <v>134</v>
      </c>
      <c r="M110" s="13" t="s">
        <v>39</v>
      </c>
      <c r="N110" s="14">
        <v>46301.812627314815</v>
      </c>
      <c r="O110" s="15">
        <v>258</v>
      </c>
      <c r="P110" s="13" t="s">
        <v>25</v>
      </c>
      <c r="Q110" s="15">
        <v>190</v>
      </c>
      <c r="R110" s="3" t="str">
        <f>IF(OR(G110="12R",G110="12L"),_xlfn.XLOOKUP(C110,Tabla42[ADEP],Tabla42[SID 12R],""),IF(OR(G110="30L",G110="30R"),_xlfn.XLOOKUP(C110,Tabla42[ADEP],Tabla42[SID 30L],""),""))</f>
        <v>OMSUK</v>
      </c>
      <c r="S110" s="3">
        <f t="shared" si="1"/>
        <v>19</v>
      </c>
      <c r="T110" s="3" t="str">
        <f>_xlfn.XLOOKUP(C110,Tabla42[ADEP],Tabla42[Sector],"")</f>
        <v>Sector 3</v>
      </c>
    </row>
    <row r="111" spans="1:20" x14ac:dyDescent="0.2">
      <c r="A111" s="13" t="s">
        <v>2528</v>
      </c>
      <c r="B111" s="13" t="s">
        <v>18</v>
      </c>
      <c r="C111" s="13" t="s">
        <v>242</v>
      </c>
      <c r="D111" s="13" t="s">
        <v>243</v>
      </c>
      <c r="E111" s="13" t="s">
        <v>2529</v>
      </c>
      <c r="F111" s="14">
        <v>46301.804803240739</v>
      </c>
      <c r="G111" s="13" t="s">
        <v>21</v>
      </c>
      <c r="H111" s="13" t="s">
        <v>2530</v>
      </c>
      <c r="I111" s="15">
        <v>350</v>
      </c>
      <c r="J111" s="13" t="s">
        <v>22</v>
      </c>
      <c r="K111" s="13" t="s">
        <v>23</v>
      </c>
      <c r="L111" s="15">
        <v>141</v>
      </c>
      <c r="M111" s="13" t="s">
        <v>39</v>
      </c>
      <c r="N111" s="14">
        <v>46301.813854166663</v>
      </c>
      <c r="O111" s="15">
        <v>224</v>
      </c>
      <c r="P111" s="13" t="s">
        <v>40</v>
      </c>
      <c r="Q111" s="15">
        <v>190</v>
      </c>
      <c r="R111" s="3" t="str">
        <f>IF(OR(G111="12R",G111="12L"),_xlfn.XLOOKUP(C111,Tabla42[ADEP],Tabla42[SID 12R],""),IF(OR(G111="30L",G111="30R"),_xlfn.XLOOKUP(C111,Tabla42[ADEP],Tabla42[SID 30L],""),""))</f>
        <v>NUDAL</v>
      </c>
      <c r="S111" s="3">
        <f t="shared" si="1"/>
        <v>19</v>
      </c>
      <c r="T111" s="3" t="str">
        <f>_xlfn.XLOOKUP(C111,Tabla42[ADEP],Tabla42[Sector],"")</f>
        <v>Sector 3</v>
      </c>
    </row>
    <row r="112" spans="1:20" x14ac:dyDescent="0.2">
      <c r="A112" s="13" t="s">
        <v>600</v>
      </c>
      <c r="B112" s="13" t="s">
        <v>18</v>
      </c>
      <c r="C112" s="13" t="s">
        <v>293</v>
      </c>
      <c r="D112" s="13" t="s">
        <v>20</v>
      </c>
      <c r="E112" s="13" t="s">
        <v>2531</v>
      </c>
      <c r="F112" s="14">
        <v>46301.806180555555</v>
      </c>
      <c r="G112" s="13" t="s">
        <v>21</v>
      </c>
      <c r="H112" s="13" t="s">
        <v>2532</v>
      </c>
      <c r="I112" s="15">
        <v>320</v>
      </c>
      <c r="J112" s="13" t="s">
        <v>22</v>
      </c>
      <c r="K112" s="13" t="s">
        <v>23</v>
      </c>
      <c r="L112" s="15">
        <v>541</v>
      </c>
      <c r="M112" s="13" t="s">
        <v>123</v>
      </c>
      <c r="N112" s="14">
        <v>46301.835833333331</v>
      </c>
      <c r="O112" s="15">
        <v>320</v>
      </c>
      <c r="P112" s="13" t="s">
        <v>25</v>
      </c>
      <c r="Q112" s="15">
        <v>40</v>
      </c>
      <c r="R112" s="3" t="str">
        <f>IF(OR(G112="12R",G112="12L"),_xlfn.XLOOKUP(C112,Tabla42[ADEP],Tabla42[SID 12R],""),IF(OR(G112="30L",G112="30R"),_xlfn.XLOOKUP(C112,Tabla42[ADEP],Tabla42[SID 30L],""),""))</f>
        <v>UDGUV</v>
      </c>
      <c r="S112" s="3">
        <f t="shared" si="1"/>
        <v>19</v>
      </c>
      <c r="T112" s="3" t="str">
        <f>_xlfn.XLOOKUP(C112,Tabla42[ADEP],Tabla42[Sector],"")</f>
        <v>Sector 2</v>
      </c>
    </row>
    <row r="113" spans="1:20" x14ac:dyDescent="0.2">
      <c r="A113" s="13" t="s">
        <v>241</v>
      </c>
      <c r="B113" s="13" t="s">
        <v>18</v>
      </c>
      <c r="C113" s="13" t="s">
        <v>121</v>
      </c>
      <c r="D113" s="13" t="s">
        <v>60</v>
      </c>
      <c r="E113" s="13" t="s">
        <v>613</v>
      </c>
      <c r="F113" s="14">
        <v>46301.807523148149</v>
      </c>
      <c r="G113" s="13" t="s">
        <v>21</v>
      </c>
      <c r="H113" s="13" t="s">
        <v>2533</v>
      </c>
      <c r="I113" s="15">
        <v>340</v>
      </c>
      <c r="J113" s="13" t="s">
        <v>22</v>
      </c>
      <c r="K113" s="13" t="s">
        <v>23</v>
      </c>
      <c r="L113" s="15">
        <v>556</v>
      </c>
      <c r="M113" s="13" t="s">
        <v>123</v>
      </c>
      <c r="N113" s="14">
        <v>46301.837708333333</v>
      </c>
      <c r="O113" s="15">
        <v>340</v>
      </c>
      <c r="P113" s="13" t="s">
        <v>25</v>
      </c>
      <c r="Q113" s="15">
        <v>40</v>
      </c>
      <c r="R113" s="3" t="str">
        <f>IF(OR(G113="12R",G113="12L"),_xlfn.XLOOKUP(C113,Tabla42[ADEP],Tabla42[SID 12R],""),IF(OR(G113="30L",G113="30R"),_xlfn.XLOOKUP(C113,Tabla42[ADEP],Tabla42[SID 30L],""),""))</f>
        <v>ENEBA</v>
      </c>
      <c r="S113" s="3">
        <f t="shared" si="1"/>
        <v>19</v>
      </c>
      <c r="T113" s="3" t="str">
        <f>_xlfn.XLOOKUP(C113,Tabla42[ADEP],Tabla42[Sector],"")</f>
        <v>Sector 3</v>
      </c>
    </row>
    <row r="114" spans="1:20" x14ac:dyDescent="0.2">
      <c r="A114" s="13" t="s">
        <v>256</v>
      </c>
      <c r="B114" s="13" t="s">
        <v>18</v>
      </c>
      <c r="C114" s="13" t="s">
        <v>257</v>
      </c>
      <c r="D114" s="13" t="s">
        <v>117</v>
      </c>
      <c r="E114" s="13" t="s">
        <v>1344</v>
      </c>
      <c r="F114" s="14">
        <v>46301.808854166666</v>
      </c>
      <c r="G114" s="13" t="s">
        <v>21</v>
      </c>
      <c r="H114" s="13" t="s">
        <v>2534</v>
      </c>
      <c r="I114" s="15">
        <v>300</v>
      </c>
      <c r="J114" s="13" t="s">
        <v>22</v>
      </c>
      <c r="K114" s="13" t="s">
        <v>23</v>
      </c>
      <c r="L114" s="15">
        <v>579</v>
      </c>
      <c r="M114" s="13" t="s">
        <v>123</v>
      </c>
      <c r="N114" s="14">
        <v>46301.838680555556</v>
      </c>
      <c r="O114" s="15">
        <v>300</v>
      </c>
      <c r="P114" s="13" t="s">
        <v>25</v>
      </c>
      <c r="Q114" s="15">
        <v>40</v>
      </c>
      <c r="R114" s="3" t="str">
        <f>IF(OR(G114="12R",G114="12L"),_xlfn.XLOOKUP(C114,Tabla42[ADEP],Tabla42[SID 12R],""),IF(OR(G114="30L",G114="30R"),_xlfn.XLOOKUP(C114,Tabla42[ADEP],Tabla42[SID 30L],""),""))</f>
        <v>UDGUV</v>
      </c>
      <c r="S114" s="3">
        <f t="shared" si="1"/>
        <v>19</v>
      </c>
      <c r="T114" s="3" t="str">
        <f>_xlfn.XLOOKUP(C114,Tabla42[ADEP],Tabla42[Sector],"")</f>
        <v>Sector 2</v>
      </c>
    </row>
    <row r="115" spans="1:20" x14ac:dyDescent="0.2">
      <c r="A115" s="13" t="s">
        <v>253</v>
      </c>
      <c r="B115" s="13" t="s">
        <v>18</v>
      </c>
      <c r="C115" s="13" t="s">
        <v>254</v>
      </c>
      <c r="D115" s="13" t="s">
        <v>20</v>
      </c>
      <c r="E115" s="13" t="s">
        <v>2209</v>
      </c>
      <c r="F115" s="14">
        <v>46301.812604166669</v>
      </c>
      <c r="G115" s="13" t="s">
        <v>21</v>
      </c>
      <c r="H115" s="13" t="s">
        <v>2535</v>
      </c>
      <c r="I115" s="15">
        <v>340</v>
      </c>
      <c r="J115" s="13" t="s">
        <v>22</v>
      </c>
      <c r="K115" s="13" t="s">
        <v>23</v>
      </c>
      <c r="L115" s="15">
        <v>894</v>
      </c>
      <c r="M115" s="13" t="s">
        <v>2536</v>
      </c>
      <c r="N115" s="14">
        <v>46301.860335648147</v>
      </c>
      <c r="O115" s="15">
        <v>340</v>
      </c>
      <c r="P115" s="13" t="s">
        <v>25</v>
      </c>
      <c r="Q115" s="15">
        <v>190</v>
      </c>
      <c r="R115" s="3" t="str">
        <f>IF(OR(G115="12R",G115="12L"),_xlfn.XLOOKUP(C115,Tabla42[ADEP],Tabla42[SID 12R],""),IF(OR(G115="30L",G115="30R"),_xlfn.XLOOKUP(C115,Tabla42[ADEP],Tabla42[SID 30L],""),""))</f>
        <v>UDGUV</v>
      </c>
      <c r="S115" s="3">
        <f t="shared" si="1"/>
        <v>19</v>
      </c>
      <c r="T115" s="3" t="str">
        <f>_xlfn.XLOOKUP(C115,Tabla42[ADEP],Tabla42[Sector],"")</f>
        <v>Sector 2</v>
      </c>
    </row>
    <row r="116" spans="1:20" x14ac:dyDescent="0.2">
      <c r="A116" s="13" t="s">
        <v>247</v>
      </c>
      <c r="B116" s="13" t="s">
        <v>18</v>
      </c>
      <c r="C116" s="13" t="s">
        <v>137</v>
      </c>
      <c r="D116" s="13" t="s">
        <v>28</v>
      </c>
      <c r="E116" s="13" t="s">
        <v>2537</v>
      </c>
      <c r="F116" s="14">
        <v>46301.813831018517</v>
      </c>
      <c r="G116" s="13" t="s">
        <v>21</v>
      </c>
      <c r="H116" s="13" t="s">
        <v>386</v>
      </c>
      <c r="I116" s="15">
        <v>370</v>
      </c>
      <c r="J116" s="13" t="s">
        <v>22</v>
      </c>
      <c r="K116" s="13" t="s">
        <v>23</v>
      </c>
      <c r="L116" s="15">
        <v>136</v>
      </c>
      <c r="M116" s="13" t="s">
        <v>39</v>
      </c>
      <c r="N116" s="14">
        <v>46301.823495370372</v>
      </c>
      <c r="O116" s="15">
        <v>256</v>
      </c>
      <c r="P116" s="13" t="s">
        <v>25</v>
      </c>
      <c r="Q116" s="15">
        <v>190</v>
      </c>
      <c r="R116" s="3" t="str">
        <f>IF(OR(G116="12R",G116="12L"),_xlfn.XLOOKUP(C116,Tabla42[ADEP],Tabla42[SID 12R],""),IF(OR(G116="30L",G116="30R"),_xlfn.XLOOKUP(C116,Tabla42[ADEP],Tabla42[SID 30L],""),""))</f>
        <v>NUDAL</v>
      </c>
      <c r="S116" s="3">
        <f t="shared" si="1"/>
        <v>19</v>
      </c>
      <c r="T116" s="3" t="str">
        <f>_xlfn.XLOOKUP(C116,Tabla42[ADEP],Tabla42[Sector],"")</f>
        <v>Sector 3</v>
      </c>
    </row>
    <row r="117" spans="1:20" x14ac:dyDescent="0.2">
      <c r="A117" s="13" t="s">
        <v>261</v>
      </c>
      <c r="B117" s="13" t="s">
        <v>18</v>
      </c>
      <c r="C117" s="13" t="s">
        <v>158</v>
      </c>
      <c r="D117" s="13" t="s">
        <v>33</v>
      </c>
      <c r="E117" s="13" t="s">
        <v>2538</v>
      </c>
      <c r="F117" s="14">
        <v>46301.815127314818</v>
      </c>
      <c r="G117" s="13" t="s">
        <v>21</v>
      </c>
      <c r="H117" s="13" t="s">
        <v>2356</v>
      </c>
      <c r="I117" s="15">
        <v>350</v>
      </c>
      <c r="J117" s="13" t="s">
        <v>22</v>
      </c>
      <c r="K117" s="13" t="s">
        <v>23</v>
      </c>
      <c r="L117" s="15">
        <v>136</v>
      </c>
      <c r="M117" s="13" t="s">
        <v>39</v>
      </c>
      <c r="N117" s="14">
        <v>46301.824502314812</v>
      </c>
      <c r="O117" s="15">
        <v>233</v>
      </c>
      <c r="P117" s="13" t="s">
        <v>25</v>
      </c>
      <c r="Q117" s="15">
        <v>190</v>
      </c>
      <c r="R117" s="3" t="str">
        <f>IF(OR(G117="12R",G117="12L"),_xlfn.XLOOKUP(C117,Tabla42[ADEP],Tabla42[SID 12R],""),IF(OR(G117="30L",G117="30R"),_xlfn.XLOOKUP(C117,Tabla42[ADEP],Tabla42[SID 30L],""),""))</f>
        <v>OMSUK</v>
      </c>
      <c r="S117" s="3">
        <f t="shared" si="1"/>
        <v>19</v>
      </c>
      <c r="T117" s="3" t="str">
        <f>_xlfn.XLOOKUP(C117,Tabla42[ADEP],Tabla42[Sector],"")</f>
        <v>Sector 3</v>
      </c>
    </row>
    <row r="118" spans="1:20" x14ac:dyDescent="0.2">
      <c r="A118" s="13" t="s">
        <v>245</v>
      </c>
      <c r="B118" s="13" t="s">
        <v>18</v>
      </c>
      <c r="C118" s="13" t="s">
        <v>109</v>
      </c>
      <c r="D118" s="13" t="s">
        <v>122</v>
      </c>
      <c r="E118" s="13" t="s">
        <v>1745</v>
      </c>
      <c r="F118" s="14">
        <v>46301.816180555557</v>
      </c>
      <c r="G118" s="13" t="s">
        <v>21</v>
      </c>
      <c r="H118" s="13" t="s">
        <v>2539</v>
      </c>
      <c r="I118" s="15">
        <v>370</v>
      </c>
      <c r="J118" s="13" t="s">
        <v>22</v>
      </c>
      <c r="K118" s="13" t="s">
        <v>23</v>
      </c>
      <c r="L118" s="15">
        <v>149</v>
      </c>
      <c r="M118" s="13" t="s">
        <v>111</v>
      </c>
      <c r="N118" s="14">
        <v>46301.826041666667</v>
      </c>
      <c r="O118" s="15">
        <v>292</v>
      </c>
      <c r="P118" s="13" t="s">
        <v>25</v>
      </c>
      <c r="Q118" s="15">
        <v>190</v>
      </c>
      <c r="R118" s="3" t="str">
        <f>IF(OR(G118="12R",G118="12L"),_xlfn.XLOOKUP(C118,Tabla42[ADEP],Tabla42[SID 12R],""),IF(OR(G118="30L",G118="30R"),_xlfn.XLOOKUP(C118,Tabla42[ADEP],Tabla42[SID 30L],""),""))</f>
        <v>TAKUX</v>
      </c>
      <c r="S118" s="3">
        <f t="shared" si="1"/>
        <v>19</v>
      </c>
      <c r="T118" s="3" t="str">
        <f>_xlfn.XLOOKUP(C118,Tabla42[ADEP],Tabla42[Sector],"")</f>
        <v>Sector 7</v>
      </c>
    </row>
    <row r="119" spans="1:20" x14ac:dyDescent="0.2">
      <c r="A119" s="13" t="s">
        <v>222</v>
      </c>
      <c r="B119" s="13" t="s">
        <v>18</v>
      </c>
      <c r="C119" s="13" t="s">
        <v>223</v>
      </c>
      <c r="D119" s="13" t="s">
        <v>28</v>
      </c>
      <c r="E119" s="13" t="s">
        <v>2540</v>
      </c>
      <c r="F119" s="14">
        <v>46301.817175925928</v>
      </c>
      <c r="G119" s="13" t="s">
        <v>21</v>
      </c>
      <c r="H119" s="13" t="s">
        <v>1053</v>
      </c>
      <c r="I119" s="15">
        <v>350</v>
      </c>
      <c r="J119" s="13" t="s">
        <v>22</v>
      </c>
      <c r="K119" s="13" t="s">
        <v>23</v>
      </c>
      <c r="L119" s="15">
        <v>136</v>
      </c>
      <c r="M119" s="13" t="s">
        <v>39</v>
      </c>
      <c r="N119" s="14">
        <v>46301.826747685183</v>
      </c>
      <c r="O119" s="15">
        <v>247</v>
      </c>
      <c r="P119" s="13" t="s">
        <v>25</v>
      </c>
      <c r="Q119" s="15">
        <v>190</v>
      </c>
      <c r="R119" s="3" t="str">
        <f>IF(OR(G119="12R",G119="12L"),_xlfn.XLOOKUP(C119,Tabla42[ADEP],Tabla42[SID 12R],""),IF(OR(G119="30L",G119="30R"),_xlfn.XLOOKUP(C119,Tabla42[ADEP],Tabla42[SID 30L],""),""))</f>
        <v>OMSUK</v>
      </c>
      <c r="S119" s="3">
        <f t="shared" si="1"/>
        <v>19</v>
      </c>
      <c r="T119" s="3" t="str">
        <f>_xlfn.XLOOKUP(C119,Tabla42[ADEP],Tabla42[Sector],"")</f>
        <v>Sector 3</v>
      </c>
    </row>
    <row r="120" spans="1:20" x14ac:dyDescent="0.2">
      <c r="A120" s="13" t="s">
        <v>259</v>
      </c>
      <c r="B120" s="13" t="s">
        <v>18</v>
      </c>
      <c r="C120" s="13" t="s">
        <v>32</v>
      </c>
      <c r="D120" s="13" t="s">
        <v>53</v>
      </c>
      <c r="E120" s="13" t="s">
        <v>956</v>
      </c>
      <c r="F120" s="14">
        <v>46301.818206018521</v>
      </c>
      <c r="G120" s="13" t="s">
        <v>21</v>
      </c>
      <c r="H120" s="13" t="s">
        <v>2541</v>
      </c>
      <c r="I120" s="15">
        <v>380</v>
      </c>
      <c r="J120" s="13" t="s">
        <v>22</v>
      </c>
      <c r="K120" s="13" t="s">
        <v>23</v>
      </c>
      <c r="L120" s="15">
        <v>833</v>
      </c>
      <c r="M120" s="13" t="s">
        <v>2542</v>
      </c>
      <c r="N120" s="14">
        <v>46301.863622685189</v>
      </c>
      <c r="O120" s="15">
        <v>380</v>
      </c>
      <c r="P120" s="13" t="s">
        <v>25</v>
      </c>
      <c r="Q120" s="15">
        <v>190</v>
      </c>
      <c r="R120" s="3" t="str">
        <f>IF(OR(G120="12R",G120="12L"),_xlfn.XLOOKUP(C120,Tabla42[ADEP],Tabla42[SID 12R],""),IF(OR(G120="30L",G120="30R"),_xlfn.XLOOKUP(C120,Tabla42[ADEP],Tabla42[SID 30L],""),""))</f>
        <v>UDGUV</v>
      </c>
      <c r="S120" s="3">
        <f t="shared" si="1"/>
        <v>19</v>
      </c>
      <c r="T120" s="3" t="str">
        <f>_xlfn.XLOOKUP(C120,Tabla42[ADEP],Tabla42[Sector],"")</f>
        <v>Sector 2</v>
      </c>
    </row>
    <row r="121" spans="1:20" x14ac:dyDescent="0.2">
      <c r="A121" s="13" t="s">
        <v>251</v>
      </c>
      <c r="B121" s="13" t="s">
        <v>18</v>
      </c>
      <c r="C121" s="13" t="s">
        <v>126</v>
      </c>
      <c r="D121" s="13" t="s">
        <v>60</v>
      </c>
      <c r="E121" s="13" t="s">
        <v>2543</v>
      </c>
      <c r="F121" s="14">
        <v>46301.819791666669</v>
      </c>
      <c r="G121" s="13" t="s">
        <v>21</v>
      </c>
      <c r="H121" s="13" t="s">
        <v>2544</v>
      </c>
      <c r="I121" s="15">
        <v>340</v>
      </c>
      <c r="J121" s="13" t="s">
        <v>22</v>
      </c>
      <c r="K121" s="13" t="s">
        <v>23</v>
      </c>
      <c r="L121" s="15">
        <v>450</v>
      </c>
      <c r="M121" s="13" t="s">
        <v>189</v>
      </c>
      <c r="N121" s="14">
        <v>46301.845069444447</v>
      </c>
      <c r="O121" s="15">
        <v>340</v>
      </c>
      <c r="P121" s="13" t="s">
        <v>25</v>
      </c>
      <c r="Q121" s="15">
        <v>40</v>
      </c>
      <c r="R121" s="3" t="str">
        <f>IF(OR(G121="12R",G121="12L"),_xlfn.XLOOKUP(C121,Tabla42[ADEP],Tabla42[SID 12R],""),IF(OR(G121="30L",G121="30R"),_xlfn.XLOOKUP(C121,Tabla42[ADEP],Tabla42[SID 30L],""),""))</f>
        <v>ENEBA</v>
      </c>
      <c r="S121" s="3">
        <f t="shared" si="1"/>
        <v>19</v>
      </c>
      <c r="T121" s="3" t="str">
        <f>_xlfn.XLOOKUP(C121,Tabla42[ADEP],Tabla42[Sector],"")</f>
        <v>Sector 3</v>
      </c>
    </row>
    <row r="122" spans="1:20" x14ac:dyDescent="0.2">
      <c r="A122" s="13" t="s">
        <v>268</v>
      </c>
      <c r="B122" s="13" t="s">
        <v>18</v>
      </c>
      <c r="C122" s="13" t="s">
        <v>42</v>
      </c>
      <c r="D122" s="13" t="s">
        <v>43</v>
      </c>
      <c r="E122" s="13" t="s">
        <v>823</v>
      </c>
      <c r="F122" s="14">
        <v>46301.821504629632</v>
      </c>
      <c r="G122" s="13" t="s">
        <v>21</v>
      </c>
      <c r="H122" s="13" t="s">
        <v>2545</v>
      </c>
      <c r="I122" s="15">
        <v>360</v>
      </c>
      <c r="J122" s="13" t="s">
        <v>22</v>
      </c>
      <c r="K122" s="13" t="s">
        <v>23</v>
      </c>
      <c r="L122" s="15">
        <v>866</v>
      </c>
      <c r="M122" s="13" t="s">
        <v>45</v>
      </c>
      <c r="N122" s="14">
        <v>46301.867175925923</v>
      </c>
      <c r="O122" s="15">
        <v>360</v>
      </c>
      <c r="P122" s="13" t="s">
        <v>25</v>
      </c>
      <c r="Q122" s="15">
        <v>190</v>
      </c>
      <c r="R122" s="3" t="str">
        <f>IF(OR(G122="12R",G122="12L"),_xlfn.XLOOKUP(C122,Tabla42[ADEP],Tabla42[SID 12R],""),IF(OR(G122="30L",G122="30R"),_xlfn.XLOOKUP(C122,Tabla42[ADEP],Tabla42[SID 30L],""),""))</f>
        <v>UDGUV</v>
      </c>
      <c r="S122" s="3">
        <f t="shared" si="1"/>
        <v>19</v>
      </c>
      <c r="T122" s="3" t="str">
        <f>_xlfn.XLOOKUP(C122,Tabla42[ADEP],Tabla42[Sector],"")</f>
        <v>Sector 2</v>
      </c>
    </row>
    <row r="123" spans="1:20" x14ac:dyDescent="0.2">
      <c r="A123" s="13" t="s">
        <v>266</v>
      </c>
      <c r="B123" s="13" t="s">
        <v>18</v>
      </c>
      <c r="C123" s="13" t="s">
        <v>184</v>
      </c>
      <c r="D123" s="13" t="s">
        <v>60</v>
      </c>
      <c r="E123" s="13" t="s">
        <v>2546</v>
      </c>
      <c r="F123" s="14">
        <v>46301.82240740741</v>
      </c>
      <c r="G123" s="13" t="s">
        <v>21</v>
      </c>
      <c r="H123" s="13" t="s">
        <v>2547</v>
      </c>
      <c r="I123" s="15">
        <v>330</v>
      </c>
      <c r="J123" s="13" t="s">
        <v>22</v>
      </c>
      <c r="K123" s="13" t="s">
        <v>23</v>
      </c>
      <c r="L123" s="15">
        <v>136</v>
      </c>
      <c r="M123" s="13" t="s">
        <v>39</v>
      </c>
      <c r="N123" s="14">
        <v>46301.832060185188</v>
      </c>
      <c r="O123" s="15">
        <v>232</v>
      </c>
      <c r="P123" s="13" t="s">
        <v>25</v>
      </c>
      <c r="Q123" s="15">
        <v>190</v>
      </c>
      <c r="R123" s="3" t="str">
        <f>IF(OR(G123="12R",G123="12L"),_xlfn.XLOOKUP(C123,Tabla42[ADEP],Tabla42[SID 12R],""),IF(OR(G123="30L",G123="30R"),_xlfn.XLOOKUP(C123,Tabla42[ADEP],Tabla42[SID 30L],""),""))</f>
        <v>OMSUK</v>
      </c>
      <c r="S123" s="3">
        <f t="shared" si="1"/>
        <v>19</v>
      </c>
      <c r="T123" s="3" t="str">
        <f>_xlfn.XLOOKUP(C123,Tabla42[ADEP],Tabla42[Sector],"")</f>
        <v>Sector 3</v>
      </c>
    </row>
    <row r="124" spans="1:20" x14ac:dyDescent="0.2">
      <c r="A124" s="13" t="s">
        <v>264</v>
      </c>
      <c r="B124" s="13" t="s">
        <v>18</v>
      </c>
      <c r="C124" s="13" t="s">
        <v>265</v>
      </c>
      <c r="D124" s="13" t="s">
        <v>33</v>
      </c>
      <c r="E124" s="13" t="s">
        <v>140</v>
      </c>
      <c r="F124" s="14">
        <v>46301.825636574074</v>
      </c>
      <c r="G124" s="13" t="s">
        <v>21</v>
      </c>
      <c r="H124" s="13" t="s">
        <v>2548</v>
      </c>
      <c r="I124" s="15">
        <v>380</v>
      </c>
      <c r="J124" s="13" t="s">
        <v>22</v>
      </c>
      <c r="K124" s="13" t="s">
        <v>23</v>
      </c>
      <c r="L124" s="15">
        <v>869</v>
      </c>
      <c r="M124" s="13" t="s">
        <v>45</v>
      </c>
      <c r="N124" s="14">
        <v>46301.873344907406</v>
      </c>
      <c r="O124" s="15">
        <v>380</v>
      </c>
      <c r="P124" s="13" t="s">
        <v>25</v>
      </c>
      <c r="Q124" s="15">
        <v>190</v>
      </c>
      <c r="R124" s="3" t="str">
        <f>IF(OR(G124="12R",G124="12L"),_xlfn.XLOOKUP(C124,Tabla42[ADEP],Tabla42[SID 12R],""),IF(OR(G124="30L",G124="30R"),_xlfn.XLOOKUP(C124,Tabla42[ADEP],Tabla42[SID 30L],""),""))</f>
        <v>UDGUV</v>
      </c>
      <c r="S124" s="3">
        <f t="shared" si="1"/>
        <v>19</v>
      </c>
      <c r="T124" s="3" t="str">
        <f>_xlfn.XLOOKUP(C124,Tabla42[ADEP],Tabla42[Sector],"")</f>
        <v>Sector 2</v>
      </c>
    </row>
    <row r="125" spans="1:20" x14ac:dyDescent="0.2">
      <c r="A125" s="13" t="s">
        <v>445</v>
      </c>
      <c r="B125" s="13" t="s">
        <v>18</v>
      </c>
      <c r="C125" s="13" t="s">
        <v>263</v>
      </c>
      <c r="D125" s="13" t="s">
        <v>28</v>
      </c>
      <c r="E125" s="13" t="s">
        <v>2549</v>
      </c>
      <c r="F125" s="14">
        <v>46301.826562499999</v>
      </c>
      <c r="G125" s="13" t="s">
        <v>21</v>
      </c>
      <c r="H125" s="13" t="s">
        <v>2550</v>
      </c>
      <c r="I125" s="15">
        <v>350</v>
      </c>
      <c r="J125" s="13" t="s">
        <v>22</v>
      </c>
      <c r="K125" s="13" t="s">
        <v>23</v>
      </c>
      <c r="L125" s="15">
        <v>136</v>
      </c>
      <c r="M125" s="13" t="s">
        <v>39</v>
      </c>
      <c r="N125" s="14">
        <v>46301.835925925923</v>
      </c>
      <c r="O125" s="15">
        <v>246</v>
      </c>
      <c r="P125" s="13" t="s">
        <v>25</v>
      </c>
      <c r="Q125" s="15">
        <v>190</v>
      </c>
      <c r="R125" s="3" t="str">
        <f>IF(OR(G125="12R",G125="12L"),_xlfn.XLOOKUP(C125,Tabla42[ADEP],Tabla42[SID 12R],""),IF(OR(G125="30L",G125="30R"),_xlfn.XLOOKUP(C125,Tabla42[ADEP],Tabla42[SID 30L],""),""))</f>
        <v>OMSUK</v>
      </c>
      <c r="S125" s="3">
        <f t="shared" si="1"/>
        <v>19</v>
      </c>
      <c r="T125" s="3" t="str">
        <f>_xlfn.XLOOKUP(C125,Tabla42[ADEP],Tabla42[Sector],"")</f>
        <v>Sector 3</v>
      </c>
    </row>
    <row r="126" spans="1:20" x14ac:dyDescent="0.2">
      <c r="A126" s="13" t="s">
        <v>271</v>
      </c>
      <c r="B126" s="13" t="s">
        <v>18</v>
      </c>
      <c r="C126" s="13" t="s">
        <v>116</v>
      </c>
      <c r="D126" s="13" t="s">
        <v>43</v>
      </c>
      <c r="E126" s="13" t="s">
        <v>739</v>
      </c>
      <c r="F126" s="14">
        <v>46301.827615740738</v>
      </c>
      <c r="G126" s="13" t="s">
        <v>21</v>
      </c>
      <c r="H126" s="13" t="s">
        <v>2551</v>
      </c>
      <c r="I126" s="15">
        <v>320</v>
      </c>
      <c r="J126" s="13" t="s">
        <v>22</v>
      </c>
      <c r="K126" s="13" t="s">
        <v>23</v>
      </c>
      <c r="L126" s="15">
        <v>434</v>
      </c>
      <c r="M126" s="13" t="s">
        <v>189</v>
      </c>
      <c r="N126" s="14">
        <v>46301.850694444445</v>
      </c>
      <c r="O126" s="15">
        <v>360</v>
      </c>
      <c r="P126" s="13" t="s">
        <v>25</v>
      </c>
      <c r="Q126" s="15">
        <v>40</v>
      </c>
      <c r="R126" s="3" t="str">
        <f>IF(OR(G126="12R",G126="12L"),_xlfn.XLOOKUP(C126,Tabla42[ADEP],Tabla42[SID 12R],""),IF(OR(G126="30L",G126="30R"),_xlfn.XLOOKUP(C126,Tabla42[ADEP],Tabla42[SID 30L],""),""))</f>
        <v>ENEBA</v>
      </c>
      <c r="S126" s="3">
        <f t="shared" si="1"/>
        <v>19</v>
      </c>
      <c r="T126" s="3" t="str">
        <f>_xlfn.XLOOKUP(C126,Tabla42[ADEP],Tabla42[Sector],"")</f>
        <v>Sector 3</v>
      </c>
    </row>
    <row r="127" spans="1:20" x14ac:dyDescent="0.2">
      <c r="A127" s="13" t="s">
        <v>2552</v>
      </c>
      <c r="B127" s="13" t="s">
        <v>18</v>
      </c>
      <c r="C127" s="13" t="s">
        <v>27</v>
      </c>
      <c r="D127" s="13" t="s">
        <v>28</v>
      </c>
      <c r="E127" s="13" t="s">
        <v>2553</v>
      </c>
      <c r="F127" s="14">
        <v>46301.829861111109</v>
      </c>
      <c r="G127" s="13" t="s">
        <v>21</v>
      </c>
      <c r="H127" s="13" t="s">
        <v>2554</v>
      </c>
      <c r="I127" s="15">
        <v>340</v>
      </c>
      <c r="J127" s="13" t="s">
        <v>22</v>
      </c>
      <c r="K127" s="13" t="s">
        <v>23</v>
      </c>
      <c r="L127" s="15">
        <v>445</v>
      </c>
      <c r="M127" s="13" t="s">
        <v>189</v>
      </c>
      <c r="N127" s="14">
        <v>46301.854699074072</v>
      </c>
      <c r="O127" s="15">
        <v>340</v>
      </c>
      <c r="P127" s="13" t="s">
        <v>25</v>
      </c>
      <c r="Q127" s="15">
        <v>40</v>
      </c>
      <c r="R127" s="3" t="str">
        <f>IF(OR(G127="12R",G127="12L"),_xlfn.XLOOKUP(C127,Tabla42[ADEP],Tabla42[SID 12R],""),IF(OR(G127="30L",G127="30R"),_xlfn.XLOOKUP(C127,Tabla42[ADEP],Tabla42[SID 30L],""),""))</f>
        <v>OMSUK</v>
      </c>
      <c r="S127" s="3">
        <f t="shared" si="1"/>
        <v>19</v>
      </c>
      <c r="T127" s="3" t="str">
        <f>_xlfn.XLOOKUP(C127,Tabla42[ADEP],Tabla42[Sector],"")</f>
        <v>Sector 3</v>
      </c>
    </row>
    <row r="128" spans="1:20" x14ac:dyDescent="0.2">
      <c r="A128" s="13" t="s">
        <v>2265</v>
      </c>
      <c r="B128" s="13" t="s">
        <v>18</v>
      </c>
      <c r="C128" s="13" t="s">
        <v>32</v>
      </c>
      <c r="D128" s="13" t="s">
        <v>20</v>
      </c>
      <c r="E128" s="13" t="s">
        <v>2141</v>
      </c>
      <c r="F128" s="14">
        <v>46301.835370370369</v>
      </c>
      <c r="G128" s="13" t="s">
        <v>21</v>
      </c>
      <c r="H128" s="13" t="s">
        <v>2555</v>
      </c>
      <c r="I128" s="15">
        <v>360</v>
      </c>
      <c r="J128" s="13" t="s">
        <v>22</v>
      </c>
      <c r="K128" s="13" t="s">
        <v>23</v>
      </c>
      <c r="L128" s="15">
        <v>917</v>
      </c>
      <c r="M128" s="13" t="s">
        <v>2556</v>
      </c>
      <c r="N128" s="14">
        <v>46301.883344907408</v>
      </c>
      <c r="O128" s="15">
        <v>360</v>
      </c>
      <c r="P128" s="13" t="s">
        <v>25</v>
      </c>
      <c r="Q128" s="15">
        <v>190</v>
      </c>
      <c r="R128" s="3" t="str">
        <f>IF(OR(G128="12R",G128="12L"),_xlfn.XLOOKUP(C128,Tabla42[ADEP],Tabla42[SID 12R],""),IF(OR(G128="30L",G128="30R"),_xlfn.XLOOKUP(C128,Tabla42[ADEP],Tabla42[SID 30L],""),""))</f>
        <v>UDGUV</v>
      </c>
      <c r="S128" s="3">
        <f t="shared" si="1"/>
        <v>20</v>
      </c>
      <c r="T128" s="3" t="str">
        <f>_xlfn.XLOOKUP(C128,Tabla42[ADEP],Tabla42[Sector],"")</f>
        <v>Sector 2</v>
      </c>
    </row>
    <row r="129" spans="1:20" x14ac:dyDescent="0.2">
      <c r="A129" s="13" t="s">
        <v>744</v>
      </c>
      <c r="B129" s="13" t="s">
        <v>18</v>
      </c>
      <c r="C129" s="13" t="s">
        <v>188</v>
      </c>
      <c r="D129" s="13" t="s">
        <v>122</v>
      </c>
      <c r="E129" s="13" t="s">
        <v>965</v>
      </c>
      <c r="F129" s="14">
        <v>46301.836527777778</v>
      </c>
      <c r="G129" s="13" t="s">
        <v>21</v>
      </c>
      <c r="H129" s="13" t="s">
        <v>2557</v>
      </c>
      <c r="I129" s="15">
        <v>360</v>
      </c>
      <c r="J129" s="13" t="s">
        <v>22</v>
      </c>
      <c r="K129" s="13" t="s">
        <v>23</v>
      </c>
      <c r="L129" s="15">
        <v>445</v>
      </c>
      <c r="M129" s="13" t="s">
        <v>189</v>
      </c>
      <c r="N129" s="14">
        <v>46301.861250000002</v>
      </c>
      <c r="O129" s="15">
        <v>360</v>
      </c>
      <c r="P129" s="13" t="s">
        <v>25</v>
      </c>
      <c r="Q129" s="15">
        <v>40</v>
      </c>
      <c r="R129" s="3" t="str">
        <f>IF(OR(G129="12R",G129="12L"),_xlfn.XLOOKUP(C129,Tabla42[ADEP],Tabla42[SID 12R],""),IF(OR(G129="30L",G129="30R"),_xlfn.XLOOKUP(C129,Tabla42[ADEP],Tabla42[SID 30L],""),""))</f>
        <v>ENEBA</v>
      </c>
      <c r="S129" s="3">
        <f t="shared" si="1"/>
        <v>20</v>
      </c>
      <c r="T129" s="3" t="str">
        <f>_xlfn.XLOOKUP(C129,Tabla42[ADEP],Tabla42[Sector],"")</f>
        <v>Sector 3</v>
      </c>
    </row>
    <row r="130" spans="1:20" x14ac:dyDescent="0.2">
      <c r="A130" s="13" t="s">
        <v>274</v>
      </c>
      <c r="B130" s="13" t="s">
        <v>18</v>
      </c>
      <c r="C130" s="13" t="s">
        <v>96</v>
      </c>
      <c r="D130" s="13" t="s">
        <v>53</v>
      </c>
      <c r="E130" s="13" t="s">
        <v>734</v>
      </c>
      <c r="F130" s="14">
        <v>46301.83798611111</v>
      </c>
      <c r="G130" s="13" t="s">
        <v>21</v>
      </c>
      <c r="H130" s="13" t="s">
        <v>2558</v>
      </c>
      <c r="I130" s="15">
        <v>380</v>
      </c>
      <c r="J130" s="13" t="s">
        <v>22</v>
      </c>
      <c r="K130" s="13" t="s">
        <v>23</v>
      </c>
      <c r="L130" s="15">
        <v>873</v>
      </c>
      <c r="M130" s="13" t="s">
        <v>45</v>
      </c>
      <c r="N130" s="14">
        <v>46301.884629629632</v>
      </c>
      <c r="O130" s="15">
        <v>380</v>
      </c>
      <c r="P130" s="13" t="s">
        <v>25</v>
      </c>
      <c r="Q130" s="15">
        <v>190</v>
      </c>
      <c r="R130" s="3" t="str">
        <f>IF(OR(G130="12R",G130="12L"),_xlfn.XLOOKUP(C130,Tabla42[ADEP],Tabla42[SID 12R],""),IF(OR(G130="30L",G130="30R"),_xlfn.XLOOKUP(C130,Tabla42[ADEP],Tabla42[SID 30L],""),""))</f>
        <v>UDGUV</v>
      </c>
      <c r="S130" s="3">
        <f t="shared" si="1"/>
        <v>20</v>
      </c>
      <c r="T130" s="3" t="str">
        <f>_xlfn.XLOOKUP(C130,Tabla42[ADEP],Tabla42[Sector],"")</f>
        <v>Sector 2</v>
      </c>
    </row>
    <row r="131" spans="1:20" x14ac:dyDescent="0.2">
      <c r="A131" s="13" t="s">
        <v>278</v>
      </c>
      <c r="B131" s="13" t="s">
        <v>18</v>
      </c>
      <c r="C131" s="13" t="s">
        <v>265</v>
      </c>
      <c r="D131" s="13" t="s">
        <v>33</v>
      </c>
      <c r="E131" s="13" t="s">
        <v>550</v>
      </c>
      <c r="F131" s="14">
        <v>46301.844224537039</v>
      </c>
      <c r="G131" s="13" t="s">
        <v>21</v>
      </c>
      <c r="H131" s="13" t="s">
        <v>2559</v>
      </c>
      <c r="I131" s="15">
        <v>380</v>
      </c>
      <c r="J131" s="13" t="s">
        <v>22</v>
      </c>
      <c r="K131" s="13" t="s">
        <v>23</v>
      </c>
      <c r="L131" s="15">
        <v>885</v>
      </c>
      <c r="M131" s="13" t="s">
        <v>167</v>
      </c>
      <c r="N131" s="14">
        <v>46301.891226851854</v>
      </c>
      <c r="O131" s="15">
        <v>380</v>
      </c>
      <c r="P131" s="13" t="s">
        <v>25</v>
      </c>
      <c r="Q131" s="15">
        <v>190</v>
      </c>
      <c r="R131" s="3" t="str">
        <f>IF(OR(G131="12R",G131="12L"),_xlfn.XLOOKUP(C131,Tabla42[ADEP],Tabla42[SID 12R],""),IF(OR(G131="30L",G131="30R"),_xlfn.XLOOKUP(C131,Tabla42[ADEP],Tabla42[SID 30L],""),""))</f>
        <v>UDGUV</v>
      </c>
      <c r="S131" s="3">
        <f t="shared" ref="S131:S194" si="2">HOUR(F131)</f>
        <v>20</v>
      </c>
      <c r="T131" s="3" t="str">
        <f>_xlfn.XLOOKUP(C131,Tabla42[ADEP],Tabla42[Sector],"")</f>
        <v>Sector 2</v>
      </c>
    </row>
    <row r="132" spans="1:20" x14ac:dyDescent="0.2">
      <c r="A132" s="13" t="s">
        <v>745</v>
      </c>
      <c r="B132" s="13" t="s">
        <v>18</v>
      </c>
      <c r="C132" s="13" t="s">
        <v>121</v>
      </c>
      <c r="D132" s="13" t="s">
        <v>122</v>
      </c>
      <c r="E132" s="13" t="s">
        <v>1484</v>
      </c>
      <c r="F132" s="14">
        <v>46301.845659722225</v>
      </c>
      <c r="G132" s="13" t="s">
        <v>21</v>
      </c>
      <c r="H132" s="13" t="s">
        <v>2560</v>
      </c>
      <c r="I132" s="15">
        <v>360</v>
      </c>
      <c r="J132" s="13" t="s">
        <v>22</v>
      </c>
      <c r="K132" s="13" t="s">
        <v>23</v>
      </c>
      <c r="L132" s="15">
        <v>389</v>
      </c>
      <c r="M132" s="13" t="s">
        <v>250</v>
      </c>
      <c r="N132" s="14">
        <v>46301.867719907408</v>
      </c>
      <c r="O132" s="15">
        <v>360</v>
      </c>
      <c r="P132" s="13" t="s">
        <v>25</v>
      </c>
      <c r="Q132" s="15">
        <v>40</v>
      </c>
      <c r="R132" s="3" t="str">
        <f>IF(OR(G132="12R",G132="12L"),_xlfn.XLOOKUP(C132,Tabla42[ADEP],Tabla42[SID 12R],""),IF(OR(G132="30L",G132="30R"),_xlfn.XLOOKUP(C132,Tabla42[ADEP],Tabla42[SID 30L],""),""))</f>
        <v>ENEBA</v>
      </c>
      <c r="S132" s="3">
        <f t="shared" si="2"/>
        <v>20</v>
      </c>
      <c r="T132" s="3" t="str">
        <f>_xlfn.XLOOKUP(C132,Tabla42[ADEP],Tabla42[Sector],"")</f>
        <v>Sector 3</v>
      </c>
    </row>
    <row r="133" spans="1:20" x14ac:dyDescent="0.2">
      <c r="A133" s="13" t="s">
        <v>272</v>
      </c>
      <c r="B133" s="13" t="s">
        <v>18</v>
      </c>
      <c r="C133" s="13" t="s">
        <v>42</v>
      </c>
      <c r="D133" s="13" t="s">
        <v>33</v>
      </c>
      <c r="E133" s="13" t="s">
        <v>360</v>
      </c>
      <c r="F133" s="14">
        <v>46301.846875000003</v>
      </c>
      <c r="G133" s="13" t="s">
        <v>21</v>
      </c>
      <c r="H133" s="13" t="s">
        <v>2561</v>
      </c>
      <c r="I133" s="15">
        <v>360</v>
      </c>
      <c r="J133" s="13" t="s">
        <v>22</v>
      </c>
      <c r="K133" s="13" t="s">
        <v>23</v>
      </c>
      <c r="L133" s="15">
        <v>864</v>
      </c>
      <c r="M133" s="13" t="s">
        <v>45</v>
      </c>
      <c r="N133" s="14">
        <v>46301.892511574071</v>
      </c>
      <c r="O133" s="15">
        <v>360</v>
      </c>
      <c r="P133" s="13" t="s">
        <v>25</v>
      </c>
      <c r="Q133" s="15">
        <v>190</v>
      </c>
      <c r="R133" s="3" t="str">
        <f>IF(OR(G133="12R",G133="12L"),_xlfn.XLOOKUP(C133,Tabla42[ADEP],Tabla42[SID 12R],""),IF(OR(G133="30L",G133="30R"),_xlfn.XLOOKUP(C133,Tabla42[ADEP],Tabla42[SID 30L],""),""))</f>
        <v>UDGUV</v>
      </c>
      <c r="S133" s="3">
        <f t="shared" si="2"/>
        <v>20</v>
      </c>
      <c r="T133" s="3" t="str">
        <f>_xlfn.XLOOKUP(C133,Tabla42[ADEP],Tabla42[Sector],"")</f>
        <v>Sector 2</v>
      </c>
    </row>
    <row r="134" spans="1:20" x14ac:dyDescent="0.2">
      <c r="A134" s="13" t="s">
        <v>307</v>
      </c>
      <c r="B134" s="13" t="s">
        <v>18</v>
      </c>
      <c r="C134" s="13" t="s">
        <v>190</v>
      </c>
      <c r="D134" s="13" t="s">
        <v>33</v>
      </c>
      <c r="E134" s="13" t="s">
        <v>2562</v>
      </c>
      <c r="F134" s="14">
        <v>46301.850405092591</v>
      </c>
      <c r="G134" s="13" t="s">
        <v>21</v>
      </c>
      <c r="H134" s="13" t="s">
        <v>2563</v>
      </c>
      <c r="I134" s="15">
        <v>350</v>
      </c>
      <c r="J134" s="13" t="s">
        <v>22</v>
      </c>
      <c r="K134" s="13" t="s">
        <v>23</v>
      </c>
      <c r="L134" s="15">
        <v>133</v>
      </c>
      <c r="M134" s="13" t="s">
        <v>39</v>
      </c>
      <c r="N134" s="14">
        <v>46301.859594907408</v>
      </c>
      <c r="O134" s="15">
        <v>242</v>
      </c>
      <c r="P134" s="13" t="s">
        <v>25</v>
      </c>
      <c r="Q134" s="15">
        <v>190</v>
      </c>
      <c r="R134" s="3" t="str">
        <f>IF(OR(G134="12R",G134="12L"),_xlfn.XLOOKUP(C134,Tabla42[ADEP],Tabla42[SID 12R],""),IF(OR(G134="30L",G134="30R"),_xlfn.XLOOKUP(C134,Tabla42[ADEP],Tabla42[SID 30L],""),""))</f>
        <v>NUDAL</v>
      </c>
      <c r="S134" s="3">
        <f t="shared" si="2"/>
        <v>20</v>
      </c>
      <c r="T134" s="3" t="str">
        <f>_xlfn.XLOOKUP(C134,Tabla42[ADEP],Tabla42[Sector],"")</f>
        <v>Sector 3</v>
      </c>
    </row>
    <row r="135" spans="1:20" x14ac:dyDescent="0.2">
      <c r="A135" s="13" t="s">
        <v>280</v>
      </c>
      <c r="B135" s="13" t="s">
        <v>18</v>
      </c>
      <c r="C135" s="13" t="s">
        <v>49</v>
      </c>
      <c r="D135" s="13" t="s">
        <v>53</v>
      </c>
      <c r="E135" s="13" t="s">
        <v>2564</v>
      </c>
      <c r="F135" s="14">
        <v>46301.851574074077</v>
      </c>
      <c r="G135" s="13" t="s">
        <v>21</v>
      </c>
      <c r="H135" s="13" t="s">
        <v>2565</v>
      </c>
      <c r="I135" s="15">
        <v>360</v>
      </c>
      <c r="J135" s="13" t="s">
        <v>22</v>
      </c>
      <c r="K135" s="13" t="s">
        <v>23</v>
      </c>
      <c r="L135" s="15">
        <v>867</v>
      </c>
      <c r="M135" s="13" t="s">
        <v>45</v>
      </c>
      <c r="N135" s="14">
        <v>46301.898287037038</v>
      </c>
      <c r="O135" s="15">
        <v>360</v>
      </c>
      <c r="P135" s="13" t="s">
        <v>25</v>
      </c>
      <c r="Q135" s="15">
        <v>190</v>
      </c>
      <c r="R135" s="3" t="str">
        <f>IF(OR(G135="12R",G135="12L"),_xlfn.XLOOKUP(C135,Tabla42[ADEP],Tabla42[SID 12R],""),IF(OR(G135="30L",G135="30R"),_xlfn.XLOOKUP(C135,Tabla42[ADEP],Tabla42[SID 30L],""),""))</f>
        <v>UDGUV</v>
      </c>
      <c r="S135" s="3">
        <f t="shared" si="2"/>
        <v>20</v>
      </c>
      <c r="T135" s="3" t="str">
        <f>_xlfn.XLOOKUP(C135,Tabla42[ADEP],Tabla42[Sector],"")</f>
        <v>Sector 2</v>
      </c>
    </row>
    <row r="136" spans="1:20" x14ac:dyDescent="0.2">
      <c r="A136" s="13" t="s">
        <v>282</v>
      </c>
      <c r="B136" s="13" t="s">
        <v>18</v>
      </c>
      <c r="C136" s="13" t="s">
        <v>42</v>
      </c>
      <c r="D136" s="13" t="s">
        <v>20</v>
      </c>
      <c r="E136" s="13" t="s">
        <v>2566</v>
      </c>
      <c r="F136" s="14">
        <v>46301.854016203702</v>
      </c>
      <c r="G136" s="13" t="s">
        <v>21</v>
      </c>
      <c r="H136" s="13" t="s">
        <v>2567</v>
      </c>
      <c r="I136" s="15">
        <v>360</v>
      </c>
      <c r="J136" s="13" t="s">
        <v>22</v>
      </c>
      <c r="K136" s="13" t="s">
        <v>23</v>
      </c>
      <c r="L136" s="15">
        <v>915</v>
      </c>
      <c r="M136" s="13" t="s">
        <v>2568</v>
      </c>
      <c r="N136" s="14">
        <v>46301.902013888888</v>
      </c>
      <c r="O136" s="15">
        <v>360</v>
      </c>
      <c r="P136" s="13" t="s">
        <v>25</v>
      </c>
      <c r="Q136" s="15">
        <v>190</v>
      </c>
      <c r="R136" s="3" t="str">
        <f>IF(OR(G136="12R",G136="12L"),_xlfn.XLOOKUP(C136,Tabla42[ADEP],Tabla42[SID 12R],""),IF(OR(G136="30L",G136="30R"),_xlfn.XLOOKUP(C136,Tabla42[ADEP],Tabla42[SID 30L],""),""))</f>
        <v>UDGUV</v>
      </c>
      <c r="S136" s="3">
        <f t="shared" si="2"/>
        <v>20</v>
      </c>
      <c r="T136" s="3" t="str">
        <f>_xlfn.XLOOKUP(C136,Tabla42[ADEP],Tabla42[Sector],"")</f>
        <v>Sector 2</v>
      </c>
    </row>
    <row r="137" spans="1:20" x14ac:dyDescent="0.2">
      <c r="A137" s="13" t="s">
        <v>270</v>
      </c>
      <c r="B137" s="13" t="s">
        <v>18</v>
      </c>
      <c r="C137" s="13" t="s">
        <v>93</v>
      </c>
      <c r="D137" s="13" t="s">
        <v>20</v>
      </c>
      <c r="E137" s="13" t="s">
        <v>169</v>
      </c>
      <c r="F137" s="14">
        <v>46301.856689814813</v>
      </c>
      <c r="G137" s="13" t="s">
        <v>21</v>
      </c>
      <c r="H137" s="13" t="s">
        <v>2569</v>
      </c>
      <c r="I137" s="15">
        <v>360</v>
      </c>
      <c r="J137" s="13" t="s">
        <v>22</v>
      </c>
      <c r="K137" s="13" t="s">
        <v>23</v>
      </c>
      <c r="L137" s="15">
        <v>891</v>
      </c>
      <c r="M137" s="13" t="s">
        <v>668</v>
      </c>
      <c r="N137" s="14">
        <v>46301.903900462959</v>
      </c>
      <c r="O137" s="15">
        <v>187</v>
      </c>
      <c r="P137" s="13" t="s">
        <v>25</v>
      </c>
      <c r="Q137" s="15">
        <v>190</v>
      </c>
      <c r="R137" s="3" t="str">
        <f>IF(OR(G137="12R",G137="12L"),_xlfn.XLOOKUP(C137,Tabla42[ADEP],Tabla42[SID 12R],""),IF(OR(G137="30L",G137="30R"),_xlfn.XLOOKUP(C137,Tabla42[ADEP],Tabla42[SID 30L],""),""))</f>
        <v>UDGUV</v>
      </c>
      <c r="S137" s="3">
        <f t="shared" si="2"/>
        <v>20</v>
      </c>
      <c r="T137" s="3" t="str">
        <f>_xlfn.XLOOKUP(C137,Tabla42[ADEP],Tabla42[Sector],"")</f>
        <v>Sector 2</v>
      </c>
    </row>
    <row r="138" spans="1:20" x14ac:dyDescent="0.2">
      <c r="A138" s="13" t="s">
        <v>262</v>
      </c>
      <c r="B138" s="13" t="s">
        <v>18</v>
      </c>
      <c r="C138" s="13" t="s">
        <v>263</v>
      </c>
      <c r="D138" s="13" t="s">
        <v>33</v>
      </c>
      <c r="E138" s="13" t="s">
        <v>2570</v>
      </c>
      <c r="F138" s="14">
        <v>46301.857708333337</v>
      </c>
      <c r="G138" s="13" t="s">
        <v>21</v>
      </c>
      <c r="H138" s="13" t="s">
        <v>2571</v>
      </c>
      <c r="I138" s="15">
        <v>350</v>
      </c>
      <c r="J138" s="13" t="s">
        <v>22</v>
      </c>
      <c r="K138" s="13" t="s">
        <v>23</v>
      </c>
      <c r="L138" s="15">
        <v>134</v>
      </c>
      <c r="M138" s="13" t="s">
        <v>39</v>
      </c>
      <c r="N138" s="14">
        <v>46301.867523148147</v>
      </c>
      <c r="O138" s="15">
        <v>255</v>
      </c>
      <c r="P138" s="13" t="s">
        <v>25</v>
      </c>
      <c r="Q138" s="15">
        <v>190</v>
      </c>
      <c r="R138" s="3" t="str">
        <f>IF(OR(G138="12R",G138="12L"),_xlfn.XLOOKUP(C138,Tabla42[ADEP],Tabla42[SID 12R],""),IF(OR(G138="30L",G138="30R"),_xlfn.XLOOKUP(C138,Tabla42[ADEP],Tabla42[SID 30L],""),""))</f>
        <v>OMSUK</v>
      </c>
      <c r="S138" s="3">
        <f t="shared" si="2"/>
        <v>20</v>
      </c>
      <c r="T138" s="3" t="str">
        <f>_xlfn.XLOOKUP(C138,Tabla42[ADEP],Tabla42[Sector],"")</f>
        <v>Sector 3</v>
      </c>
    </row>
    <row r="139" spans="1:20" x14ac:dyDescent="0.2">
      <c r="A139" s="13" t="s">
        <v>475</v>
      </c>
      <c r="B139" s="13" t="s">
        <v>18</v>
      </c>
      <c r="C139" s="13" t="s">
        <v>293</v>
      </c>
      <c r="D139" s="13" t="s">
        <v>28</v>
      </c>
      <c r="E139" s="13" t="s">
        <v>2572</v>
      </c>
      <c r="F139" s="14">
        <v>46301.858935185184</v>
      </c>
      <c r="G139" s="13" t="s">
        <v>21</v>
      </c>
      <c r="H139" s="13" t="s">
        <v>2573</v>
      </c>
      <c r="I139" s="15">
        <v>360</v>
      </c>
      <c r="J139" s="13" t="s">
        <v>22</v>
      </c>
      <c r="K139" s="13" t="s">
        <v>23</v>
      </c>
      <c r="L139" s="15">
        <v>576</v>
      </c>
      <c r="M139" s="13" t="s">
        <v>123</v>
      </c>
      <c r="N139" s="14">
        <v>46301.888761574075</v>
      </c>
      <c r="O139" s="15">
        <v>340</v>
      </c>
      <c r="P139" s="13" t="s">
        <v>25</v>
      </c>
      <c r="Q139" s="15">
        <v>40</v>
      </c>
      <c r="R139" s="3" t="str">
        <f>IF(OR(G139="12R",G139="12L"),_xlfn.XLOOKUP(C139,Tabla42[ADEP],Tabla42[SID 12R],""),IF(OR(G139="30L",G139="30R"),_xlfn.XLOOKUP(C139,Tabla42[ADEP],Tabla42[SID 30L],""),""))</f>
        <v>UDGUV</v>
      </c>
      <c r="S139" s="3">
        <f t="shared" si="2"/>
        <v>20</v>
      </c>
      <c r="T139" s="3" t="str">
        <f>_xlfn.XLOOKUP(C139,Tabla42[ADEP],Tabla42[Sector],"")</f>
        <v>Sector 2</v>
      </c>
    </row>
    <row r="140" spans="1:20" x14ac:dyDescent="0.2">
      <c r="A140" s="13" t="s">
        <v>978</v>
      </c>
      <c r="B140" s="13" t="s">
        <v>18</v>
      </c>
      <c r="C140" s="13" t="s">
        <v>286</v>
      </c>
      <c r="D140" s="13" t="s">
        <v>33</v>
      </c>
      <c r="E140" s="13" t="s">
        <v>465</v>
      </c>
      <c r="F140" s="14">
        <v>46301.861956018518</v>
      </c>
      <c r="G140" s="13" t="s">
        <v>21</v>
      </c>
      <c r="H140" s="13" t="s">
        <v>2574</v>
      </c>
      <c r="I140" s="15">
        <v>280</v>
      </c>
      <c r="J140" s="13" t="s">
        <v>22</v>
      </c>
      <c r="K140" s="13" t="s">
        <v>23</v>
      </c>
      <c r="L140" s="15">
        <v>275</v>
      </c>
      <c r="M140" s="13" t="s">
        <v>2575</v>
      </c>
      <c r="N140" s="14">
        <v>46301.877905092595</v>
      </c>
      <c r="O140" s="15">
        <v>340</v>
      </c>
      <c r="P140" s="13" t="s">
        <v>25</v>
      </c>
      <c r="Q140" s="15">
        <v>190</v>
      </c>
      <c r="R140" s="3" t="str">
        <f>IF(OR(G140="12R",G140="12L"),_xlfn.XLOOKUP(C140,Tabla42[ADEP],Tabla42[SID 12R],""),IF(OR(G140="30L",G140="30R"),_xlfn.XLOOKUP(C140,Tabla42[ADEP],Tabla42[SID 30L],""),""))</f>
        <v>CZM</v>
      </c>
      <c r="S140" s="3">
        <f t="shared" si="2"/>
        <v>20</v>
      </c>
      <c r="T140" s="3" t="str">
        <f>_xlfn.XLOOKUP(C140,Tabla42[ADEP],Tabla42[Sector],"")</f>
        <v>Sector 7</v>
      </c>
    </row>
    <row r="141" spans="1:20" x14ac:dyDescent="0.2">
      <c r="A141" s="13" t="s">
        <v>476</v>
      </c>
      <c r="B141" s="13" t="s">
        <v>18</v>
      </c>
      <c r="C141" s="13" t="s">
        <v>188</v>
      </c>
      <c r="D141" s="13" t="s">
        <v>117</v>
      </c>
      <c r="E141" s="13" t="s">
        <v>2576</v>
      </c>
      <c r="F141" s="14">
        <v>46301.863113425927</v>
      </c>
      <c r="G141" s="13" t="s">
        <v>21</v>
      </c>
      <c r="H141" s="13" t="s">
        <v>2577</v>
      </c>
      <c r="I141" s="15">
        <v>340</v>
      </c>
      <c r="J141" s="13" t="s">
        <v>22</v>
      </c>
      <c r="K141" s="13" t="s">
        <v>23</v>
      </c>
      <c r="L141" s="15">
        <v>383</v>
      </c>
      <c r="M141" s="13" t="s">
        <v>250</v>
      </c>
      <c r="N141" s="14">
        <v>46301.883958333332</v>
      </c>
      <c r="O141" s="15">
        <v>340</v>
      </c>
      <c r="P141" s="13" t="s">
        <v>25</v>
      </c>
      <c r="Q141" s="15">
        <v>40</v>
      </c>
      <c r="R141" s="3" t="str">
        <f>IF(OR(G141="12R",G141="12L"),_xlfn.XLOOKUP(C141,Tabla42[ADEP],Tabla42[SID 12R],""),IF(OR(G141="30L",G141="30R"),_xlfn.XLOOKUP(C141,Tabla42[ADEP],Tabla42[SID 30L],""),""))</f>
        <v>ENEBA</v>
      </c>
      <c r="S141" s="3">
        <f t="shared" si="2"/>
        <v>20</v>
      </c>
      <c r="T141" s="3" t="str">
        <f>_xlfn.XLOOKUP(C141,Tabla42[ADEP],Tabla42[Sector],"")</f>
        <v>Sector 3</v>
      </c>
    </row>
    <row r="142" spans="1:20" x14ac:dyDescent="0.2">
      <c r="A142" s="13" t="s">
        <v>467</v>
      </c>
      <c r="B142" s="13" t="s">
        <v>18</v>
      </c>
      <c r="C142" s="13" t="s">
        <v>184</v>
      </c>
      <c r="D142" s="13" t="s">
        <v>20</v>
      </c>
      <c r="E142" s="13" t="s">
        <v>2578</v>
      </c>
      <c r="F142" s="14">
        <v>46301.864305555559</v>
      </c>
      <c r="G142" s="13" t="s">
        <v>21</v>
      </c>
      <c r="H142" s="13" t="s">
        <v>2579</v>
      </c>
      <c r="I142" s="15">
        <v>350</v>
      </c>
      <c r="J142" s="13" t="s">
        <v>22</v>
      </c>
      <c r="K142" s="13" t="s">
        <v>23</v>
      </c>
      <c r="L142" s="15">
        <v>133</v>
      </c>
      <c r="M142" s="13" t="s">
        <v>39</v>
      </c>
      <c r="N142" s="14">
        <v>46301.873124999998</v>
      </c>
      <c r="O142" s="15">
        <v>239</v>
      </c>
      <c r="P142" s="13" t="s">
        <v>25</v>
      </c>
      <c r="Q142" s="15">
        <v>190</v>
      </c>
      <c r="R142" s="3" t="str">
        <f>IF(OR(G142="12R",G142="12L"),_xlfn.XLOOKUP(C142,Tabla42[ADEP],Tabla42[SID 12R],""),IF(OR(G142="30L",G142="30R"),_xlfn.XLOOKUP(C142,Tabla42[ADEP],Tabla42[SID 30L],""),""))</f>
        <v>OMSUK</v>
      </c>
      <c r="S142" s="3">
        <f t="shared" si="2"/>
        <v>20</v>
      </c>
      <c r="T142" s="3" t="str">
        <f>_xlfn.XLOOKUP(C142,Tabla42[ADEP],Tabla42[Sector],"")</f>
        <v>Sector 3</v>
      </c>
    </row>
    <row r="143" spans="1:20" x14ac:dyDescent="0.2">
      <c r="A143" s="13" t="s">
        <v>2580</v>
      </c>
      <c r="B143" s="13" t="s">
        <v>18</v>
      </c>
      <c r="C143" s="13" t="s">
        <v>116</v>
      </c>
      <c r="D143" s="13" t="s">
        <v>520</v>
      </c>
      <c r="E143" s="13"/>
      <c r="F143" s="14">
        <v>46301.865983796299</v>
      </c>
      <c r="G143" s="13" t="s">
        <v>21</v>
      </c>
      <c r="H143" s="13" t="s">
        <v>2581</v>
      </c>
      <c r="I143" s="15">
        <v>430</v>
      </c>
      <c r="J143" s="13" t="s">
        <v>22</v>
      </c>
      <c r="K143" s="13" t="s">
        <v>50</v>
      </c>
      <c r="L143" s="15">
        <v>531</v>
      </c>
      <c r="M143" s="13" t="s">
        <v>123</v>
      </c>
      <c r="N143" s="14">
        <v>46301.896099537036</v>
      </c>
      <c r="O143" s="15">
        <v>430</v>
      </c>
      <c r="P143" s="13" t="s">
        <v>25</v>
      </c>
      <c r="Q143" s="15">
        <v>40</v>
      </c>
      <c r="R143" s="3" t="str">
        <f>IF(OR(G143="12R",G143="12L"),_xlfn.XLOOKUP(C143,Tabla42[ADEP],Tabla42[SID 12R],""),IF(OR(G143="30L",G143="30R"),_xlfn.XLOOKUP(C143,Tabla42[ADEP],Tabla42[SID 30L],""),""))</f>
        <v>ENEBA</v>
      </c>
      <c r="S143" s="3">
        <f t="shared" si="2"/>
        <v>20</v>
      </c>
      <c r="T143" s="3" t="str">
        <f>_xlfn.XLOOKUP(C143,Tabla42[ADEP],Tabla42[Sector],"")</f>
        <v>Sector 3</v>
      </c>
    </row>
    <row r="144" spans="1:20" x14ac:dyDescent="0.2">
      <c r="A144" s="13" t="s">
        <v>292</v>
      </c>
      <c r="B144" s="13" t="s">
        <v>18</v>
      </c>
      <c r="C144" s="13" t="s">
        <v>293</v>
      </c>
      <c r="D144" s="13" t="s">
        <v>43</v>
      </c>
      <c r="E144" s="13" t="s">
        <v>788</v>
      </c>
      <c r="F144" s="14">
        <v>46301.869479166664</v>
      </c>
      <c r="G144" s="13" t="s">
        <v>21</v>
      </c>
      <c r="H144" s="13" t="s">
        <v>2582</v>
      </c>
      <c r="I144" s="15">
        <v>340</v>
      </c>
      <c r="J144" s="13" t="s">
        <v>22</v>
      </c>
      <c r="K144" s="13" t="s">
        <v>23</v>
      </c>
      <c r="L144" s="15">
        <v>396</v>
      </c>
      <c r="M144" s="13" t="s">
        <v>250</v>
      </c>
      <c r="N144" s="14">
        <v>46301.89162037037</v>
      </c>
      <c r="O144" s="15">
        <v>340</v>
      </c>
      <c r="P144" s="13" t="s">
        <v>25</v>
      </c>
      <c r="Q144" s="15">
        <v>40</v>
      </c>
      <c r="R144" s="3" t="str">
        <f>IF(OR(G144="12R",G144="12L"),_xlfn.XLOOKUP(C144,Tabla42[ADEP],Tabla42[SID 12R],""),IF(OR(G144="30L",G144="30R"),_xlfn.XLOOKUP(C144,Tabla42[ADEP],Tabla42[SID 30L],""),""))</f>
        <v>UDGUV</v>
      </c>
      <c r="S144" s="3">
        <f t="shared" si="2"/>
        <v>20</v>
      </c>
      <c r="T144" s="3" t="str">
        <f>_xlfn.XLOOKUP(C144,Tabla42[ADEP],Tabla42[Sector],"")</f>
        <v>Sector 2</v>
      </c>
    </row>
    <row r="145" spans="1:20" x14ac:dyDescent="0.2">
      <c r="A145" s="13" t="s">
        <v>283</v>
      </c>
      <c r="B145" s="13" t="s">
        <v>18</v>
      </c>
      <c r="C145" s="13" t="s">
        <v>126</v>
      </c>
      <c r="D145" s="13" t="s">
        <v>117</v>
      </c>
      <c r="E145" s="13" t="s">
        <v>2583</v>
      </c>
      <c r="F145" s="14">
        <v>46301.870810185188</v>
      </c>
      <c r="G145" s="13" t="s">
        <v>21</v>
      </c>
      <c r="H145" s="13" t="s">
        <v>2584</v>
      </c>
      <c r="I145" s="15">
        <v>320</v>
      </c>
      <c r="J145" s="13" t="s">
        <v>22</v>
      </c>
      <c r="K145" s="13" t="s">
        <v>23</v>
      </c>
      <c r="L145" s="15">
        <v>433</v>
      </c>
      <c r="M145" s="13" t="s">
        <v>189</v>
      </c>
      <c r="N145" s="14">
        <v>46301.894212962965</v>
      </c>
      <c r="O145" s="15">
        <v>320</v>
      </c>
      <c r="P145" s="13" t="s">
        <v>25</v>
      </c>
      <c r="Q145" s="15">
        <v>40</v>
      </c>
      <c r="R145" s="3" t="str">
        <f>IF(OR(G145="12R",G145="12L"),_xlfn.XLOOKUP(C145,Tabla42[ADEP],Tabla42[SID 12R],""),IF(OR(G145="30L",G145="30R"),_xlfn.XLOOKUP(C145,Tabla42[ADEP],Tabla42[SID 30L],""),""))</f>
        <v>ENEBA</v>
      </c>
      <c r="S145" s="3">
        <f t="shared" si="2"/>
        <v>20</v>
      </c>
      <c r="T145" s="3" t="str">
        <f>_xlfn.XLOOKUP(C145,Tabla42[ADEP],Tabla42[Sector],"")</f>
        <v>Sector 3</v>
      </c>
    </row>
    <row r="146" spans="1:20" x14ac:dyDescent="0.2">
      <c r="A146" s="13" t="s">
        <v>302</v>
      </c>
      <c r="B146" s="13" t="s">
        <v>18</v>
      </c>
      <c r="C146" s="13" t="s">
        <v>303</v>
      </c>
      <c r="D146" s="13" t="s">
        <v>28</v>
      </c>
      <c r="E146" s="13" t="s">
        <v>2268</v>
      </c>
      <c r="F146" s="14">
        <v>46301.876331018517</v>
      </c>
      <c r="G146" s="13" t="s">
        <v>21</v>
      </c>
      <c r="H146" s="13" t="s">
        <v>2585</v>
      </c>
      <c r="I146" s="15">
        <v>340</v>
      </c>
      <c r="J146" s="13" t="s">
        <v>22</v>
      </c>
      <c r="K146" s="13" t="s">
        <v>23</v>
      </c>
      <c r="L146" s="15">
        <v>426</v>
      </c>
      <c r="M146" s="13" t="s">
        <v>189</v>
      </c>
      <c r="N146" s="14">
        <v>46301.900972222225</v>
      </c>
      <c r="O146" s="15">
        <v>340</v>
      </c>
      <c r="P146" s="13" t="s">
        <v>25</v>
      </c>
      <c r="Q146" s="15">
        <v>40</v>
      </c>
      <c r="R146" s="3" t="str">
        <f>IF(OR(G146="12R",G146="12L"),_xlfn.XLOOKUP(C146,Tabla42[ADEP],Tabla42[SID 12R],""),IF(OR(G146="30L",G146="30R"),_xlfn.XLOOKUP(C146,Tabla42[ADEP],Tabla42[SID 30L],""),""))</f>
        <v>OMSUK</v>
      </c>
      <c r="S146" s="3">
        <f t="shared" si="2"/>
        <v>21</v>
      </c>
      <c r="T146" s="3" t="str">
        <f>_xlfn.XLOOKUP(C146,Tabla42[ADEP],Tabla42[Sector],"")</f>
        <v>Sector 3</v>
      </c>
    </row>
    <row r="147" spans="1:20" x14ac:dyDescent="0.2">
      <c r="A147" s="13" t="s">
        <v>294</v>
      </c>
      <c r="B147" s="13" t="s">
        <v>18</v>
      </c>
      <c r="C147" s="13" t="s">
        <v>128</v>
      </c>
      <c r="D147" s="13" t="s">
        <v>43</v>
      </c>
      <c r="E147" s="13" t="s">
        <v>832</v>
      </c>
      <c r="F147" s="14">
        <v>46301.880208333336</v>
      </c>
      <c r="G147" s="13" t="s">
        <v>21</v>
      </c>
      <c r="H147" s="13" t="s">
        <v>2586</v>
      </c>
      <c r="I147" s="15">
        <v>320</v>
      </c>
      <c r="J147" s="13" t="s">
        <v>22</v>
      </c>
      <c r="K147" s="13" t="s">
        <v>23</v>
      </c>
      <c r="L147" s="15">
        <v>372</v>
      </c>
      <c r="M147" s="13" t="s">
        <v>250</v>
      </c>
      <c r="N147" s="14">
        <v>46301.900914351849</v>
      </c>
      <c r="O147" s="15">
        <v>320</v>
      </c>
      <c r="P147" s="13" t="s">
        <v>25</v>
      </c>
      <c r="Q147" s="15">
        <v>40</v>
      </c>
      <c r="R147" s="3" t="str">
        <f>IF(OR(G147="12R",G147="12L"),_xlfn.XLOOKUP(C147,Tabla42[ADEP],Tabla42[SID 12R],""),IF(OR(G147="30L",G147="30R"),_xlfn.XLOOKUP(C147,Tabla42[ADEP],Tabla42[SID 30L],""),""))</f>
        <v>OMSUK</v>
      </c>
      <c r="S147" s="3">
        <f t="shared" si="2"/>
        <v>21</v>
      </c>
      <c r="T147" s="3" t="str">
        <f>_xlfn.XLOOKUP(C147,Tabla42[ADEP],Tabla42[Sector],"")</f>
        <v>Sector 3</v>
      </c>
    </row>
    <row r="148" spans="1:20" x14ac:dyDescent="0.2">
      <c r="A148" s="13" t="s">
        <v>2587</v>
      </c>
      <c r="B148" s="13" t="s">
        <v>18</v>
      </c>
      <c r="C148" s="13" t="s">
        <v>297</v>
      </c>
      <c r="D148" s="13" t="s">
        <v>243</v>
      </c>
      <c r="E148" s="13" t="s">
        <v>298</v>
      </c>
      <c r="F148" s="14">
        <v>46301.881863425922</v>
      </c>
      <c r="G148" s="13" t="s">
        <v>21</v>
      </c>
      <c r="H148" s="13" t="s">
        <v>2588</v>
      </c>
      <c r="I148" s="15">
        <v>390</v>
      </c>
      <c r="J148" s="13" t="s">
        <v>22</v>
      </c>
      <c r="K148" s="13" t="s">
        <v>23</v>
      </c>
      <c r="L148" s="15">
        <v>353</v>
      </c>
      <c r="M148" s="13" t="s">
        <v>30</v>
      </c>
      <c r="N148" s="14">
        <v>46301.90215277778</v>
      </c>
      <c r="O148" s="15">
        <v>390</v>
      </c>
      <c r="P148" s="13" t="s">
        <v>40</v>
      </c>
      <c r="Q148" s="15">
        <v>40</v>
      </c>
      <c r="R148" s="3" t="str">
        <f>IF(OR(G148="12R",G148="12L"),_xlfn.XLOOKUP(C148,Tabla42[ADEP],Tabla42[SID 12R],""),IF(OR(G148="30L",G148="30R"),_xlfn.XLOOKUP(C148,Tabla42[ADEP],Tabla42[SID 30L],""),""))</f>
        <v>NUDAL</v>
      </c>
      <c r="S148" s="3">
        <f t="shared" si="2"/>
        <v>21</v>
      </c>
      <c r="T148" s="3" t="str">
        <f>_xlfn.XLOOKUP(C148,Tabla42[ADEP],Tabla42[Sector],"")</f>
        <v>Sector 3</v>
      </c>
    </row>
    <row r="149" spans="1:20" x14ac:dyDescent="0.2">
      <c r="A149" s="13" t="s">
        <v>289</v>
      </c>
      <c r="B149" s="13" t="s">
        <v>18</v>
      </c>
      <c r="C149" s="13" t="s">
        <v>290</v>
      </c>
      <c r="D149" s="13" t="s">
        <v>33</v>
      </c>
      <c r="E149" s="13" t="s">
        <v>2589</v>
      </c>
      <c r="F149" s="14">
        <v>46301.884699074071</v>
      </c>
      <c r="G149" s="13" t="s">
        <v>21</v>
      </c>
      <c r="H149" s="13" t="s">
        <v>2590</v>
      </c>
      <c r="I149" s="15">
        <v>330</v>
      </c>
      <c r="J149" s="13" t="s">
        <v>22</v>
      </c>
      <c r="K149" s="13" t="s">
        <v>23</v>
      </c>
      <c r="L149" s="15">
        <v>219</v>
      </c>
      <c r="M149" s="13" t="s">
        <v>55</v>
      </c>
      <c r="N149" s="14">
        <v>46301.898634259262</v>
      </c>
      <c r="O149" s="15">
        <v>288</v>
      </c>
      <c r="P149" s="13" t="s">
        <v>25</v>
      </c>
      <c r="Q149" s="15">
        <v>190</v>
      </c>
      <c r="R149" s="3" t="str">
        <f>IF(OR(G149="12R",G149="12L"),_xlfn.XLOOKUP(C149,Tabla42[ADEP],Tabla42[SID 12R],""),IF(OR(G149="30L",G149="30R"),_xlfn.XLOOKUP(C149,Tabla42[ADEP],Tabla42[SID 30L],""),""))</f>
        <v>CZM</v>
      </c>
      <c r="S149" s="3">
        <f t="shared" si="2"/>
        <v>21</v>
      </c>
      <c r="T149" s="3" t="str">
        <f>_xlfn.XLOOKUP(C149,Tabla42[ADEP],Tabla42[Sector],"")</f>
        <v>Sector 7</v>
      </c>
    </row>
    <row r="150" spans="1:20" x14ac:dyDescent="0.2">
      <c r="A150" s="13" t="s">
        <v>301</v>
      </c>
      <c r="B150" s="13" t="s">
        <v>18</v>
      </c>
      <c r="C150" s="13" t="s">
        <v>32</v>
      </c>
      <c r="D150" s="13" t="s">
        <v>53</v>
      </c>
      <c r="E150" s="13" t="s">
        <v>463</v>
      </c>
      <c r="F150" s="14">
        <v>46301.886273148149</v>
      </c>
      <c r="G150" s="13" t="s">
        <v>21</v>
      </c>
      <c r="H150" s="13" t="s">
        <v>2591</v>
      </c>
      <c r="I150" s="15">
        <v>380</v>
      </c>
      <c r="J150" s="13" t="s">
        <v>22</v>
      </c>
      <c r="K150" s="13" t="s">
        <v>23</v>
      </c>
      <c r="L150" s="15">
        <v>880</v>
      </c>
      <c r="M150" s="13" t="s">
        <v>2592</v>
      </c>
      <c r="N150" s="14">
        <v>46301.93273148148</v>
      </c>
      <c r="O150" s="15">
        <v>380</v>
      </c>
      <c r="P150" s="13" t="s">
        <v>25</v>
      </c>
      <c r="Q150" s="15">
        <v>190</v>
      </c>
      <c r="R150" s="3" t="str">
        <f>IF(OR(G150="12R",G150="12L"),_xlfn.XLOOKUP(C150,Tabla42[ADEP],Tabla42[SID 12R],""),IF(OR(G150="30L",G150="30R"),_xlfn.XLOOKUP(C150,Tabla42[ADEP],Tabla42[SID 30L],""),""))</f>
        <v>UDGUV</v>
      </c>
      <c r="S150" s="3">
        <f t="shared" si="2"/>
        <v>21</v>
      </c>
      <c r="T150" s="3" t="str">
        <f>_xlfn.XLOOKUP(C150,Tabla42[ADEP],Tabla42[Sector],"")</f>
        <v>Sector 2</v>
      </c>
    </row>
    <row r="151" spans="1:20" x14ac:dyDescent="0.2">
      <c r="A151" s="13" t="s">
        <v>2593</v>
      </c>
      <c r="B151" s="13" t="s">
        <v>18</v>
      </c>
      <c r="C151" s="13" t="s">
        <v>47</v>
      </c>
      <c r="D151" s="13" t="s">
        <v>243</v>
      </c>
      <c r="E151" s="13" t="s">
        <v>2594</v>
      </c>
      <c r="F151" s="14">
        <v>46301.887662037036</v>
      </c>
      <c r="G151" s="13" t="s">
        <v>21</v>
      </c>
      <c r="H151" s="13" t="s">
        <v>2595</v>
      </c>
      <c r="I151" s="15">
        <v>390</v>
      </c>
      <c r="J151" s="13" t="s">
        <v>22</v>
      </c>
      <c r="K151" s="13" t="s">
        <v>23</v>
      </c>
      <c r="L151" s="15">
        <v>356</v>
      </c>
      <c r="M151" s="13" t="s">
        <v>30</v>
      </c>
      <c r="N151" s="14">
        <v>46301.907638888886</v>
      </c>
      <c r="O151" s="15">
        <v>370</v>
      </c>
      <c r="P151" s="13" t="s">
        <v>40</v>
      </c>
      <c r="Q151" s="15">
        <v>40</v>
      </c>
      <c r="R151" s="3" t="str">
        <f>IF(OR(G151="12R",G151="12L"),_xlfn.XLOOKUP(C151,Tabla42[ADEP],Tabla42[SID 12R],""),IF(OR(G151="30L",G151="30R"),_xlfn.XLOOKUP(C151,Tabla42[ADEP],Tabla42[SID 30L],""),""))</f>
        <v>NUDAL</v>
      </c>
      <c r="S151" s="3">
        <f t="shared" si="2"/>
        <v>21</v>
      </c>
      <c r="T151" s="3" t="str">
        <f>_xlfn.XLOOKUP(C151,Tabla42[ADEP],Tabla42[Sector],"")</f>
        <v>Sector 3</v>
      </c>
    </row>
    <row r="152" spans="1:20" x14ac:dyDescent="0.2">
      <c r="A152" s="13" t="s">
        <v>315</v>
      </c>
      <c r="B152" s="13" t="s">
        <v>18</v>
      </c>
      <c r="C152" s="13" t="s">
        <v>96</v>
      </c>
      <c r="D152" s="13" t="s">
        <v>60</v>
      </c>
      <c r="E152" s="13" t="s">
        <v>543</v>
      </c>
      <c r="F152" s="14">
        <v>46301.895925925928</v>
      </c>
      <c r="G152" s="13" t="s">
        <v>21</v>
      </c>
      <c r="H152" s="13" t="s">
        <v>2596</v>
      </c>
      <c r="I152" s="15">
        <v>340</v>
      </c>
      <c r="J152" s="13" t="s">
        <v>22</v>
      </c>
      <c r="K152" s="13" t="s">
        <v>141</v>
      </c>
      <c r="L152" s="15">
        <v>878</v>
      </c>
      <c r="M152" s="13" t="s">
        <v>94</v>
      </c>
      <c r="N152" s="14">
        <v>46301.941932870373</v>
      </c>
      <c r="O152" s="15">
        <v>340</v>
      </c>
      <c r="P152" s="13" t="s">
        <v>25</v>
      </c>
      <c r="Q152" s="15">
        <v>190</v>
      </c>
      <c r="R152" s="3" t="str">
        <f>IF(OR(G152="12R",G152="12L"),_xlfn.XLOOKUP(C152,Tabla42[ADEP],Tabla42[SID 12R],""),IF(OR(G152="30L",G152="30R"),_xlfn.XLOOKUP(C152,Tabla42[ADEP],Tabla42[SID 30L],""),""))</f>
        <v>UDGUV</v>
      </c>
      <c r="S152" s="3">
        <f t="shared" si="2"/>
        <v>21</v>
      </c>
      <c r="T152" s="3" t="str">
        <f>_xlfn.XLOOKUP(C152,Tabla42[ADEP],Tabla42[Sector],"")</f>
        <v>Sector 2</v>
      </c>
    </row>
    <row r="153" spans="1:20" x14ac:dyDescent="0.2">
      <c r="A153" s="13" t="s">
        <v>308</v>
      </c>
      <c r="B153" s="13" t="s">
        <v>18</v>
      </c>
      <c r="C153" s="13" t="s">
        <v>137</v>
      </c>
      <c r="D153" s="13" t="s">
        <v>122</v>
      </c>
      <c r="E153" s="13" t="s">
        <v>2597</v>
      </c>
      <c r="F153" s="14">
        <v>46301.89739583333</v>
      </c>
      <c r="G153" s="13" t="s">
        <v>21</v>
      </c>
      <c r="H153" s="13" t="s">
        <v>386</v>
      </c>
      <c r="I153" s="15">
        <v>370</v>
      </c>
      <c r="J153" s="13" t="s">
        <v>22</v>
      </c>
      <c r="K153" s="13" t="s">
        <v>23</v>
      </c>
      <c r="L153" s="15">
        <v>136</v>
      </c>
      <c r="M153" s="13" t="s">
        <v>39</v>
      </c>
      <c r="N153" s="14">
        <v>46301.906793981485</v>
      </c>
      <c r="O153" s="15">
        <v>272</v>
      </c>
      <c r="P153" s="13" t="s">
        <v>25</v>
      </c>
      <c r="Q153" s="15">
        <v>190</v>
      </c>
      <c r="R153" s="3" t="str">
        <f>IF(OR(G153="12R",G153="12L"),_xlfn.XLOOKUP(C153,Tabla42[ADEP],Tabla42[SID 12R],""),IF(OR(G153="30L",G153="30R"),_xlfn.XLOOKUP(C153,Tabla42[ADEP],Tabla42[SID 30L],""),""))</f>
        <v>NUDAL</v>
      </c>
      <c r="S153" s="3">
        <f t="shared" si="2"/>
        <v>21</v>
      </c>
      <c r="T153" s="3" t="str">
        <f>_xlfn.XLOOKUP(C153,Tabla42[ADEP],Tabla42[Sector],"")</f>
        <v>Sector 3</v>
      </c>
    </row>
    <row r="154" spans="1:20" x14ac:dyDescent="0.2">
      <c r="A154" s="13" t="s">
        <v>309</v>
      </c>
      <c r="B154" s="13" t="s">
        <v>18</v>
      </c>
      <c r="C154" s="13" t="s">
        <v>19</v>
      </c>
      <c r="D154" s="13" t="s">
        <v>53</v>
      </c>
      <c r="E154" s="13" t="s">
        <v>802</v>
      </c>
      <c r="F154" s="14">
        <v>46301.898611111108</v>
      </c>
      <c r="G154" s="13" t="s">
        <v>21</v>
      </c>
      <c r="H154" s="13" t="s">
        <v>2598</v>
      </c>
      <c r="I154" s="15">
        <v>380</v>
      </c>
      <c r="J154" s="13" t="s">
        <v>22</v>
      </c>
      <c r="K154" s="13" t="s">
        <v>23</v>
      </c>
      <c r="L154" s="15">
        <v>861</v>
      </c>
      <c r="M154" s="13" t="s">
        <v>24</v>
      </c>
      <c r="N154" s="14">
        <v>46301.944560185184</v>
      </c>
      <c r="O154" s="15">
        <v>380</v>
      </c>
      <c r="P154" s="13" t="s">
        <v>25</v>
      </c>
      <c r="Q154" s="15">
        <v>190</v>
      </c>
      <c r="R154" s="3" t="str">
        <f>IF(OR(G154="12R",G154="12L"),_xlfn.XLOOKUP(C154,Tabla42[ADEP],Tabla42[SID 12R],""),IF(OR(G154="30L",G154="30R"),_xlfn.XLOOKUP(C154,Tabla42[ADEP],Tabla42[SID 30L],""),""))</f>
        <v>UDGUV</v>
      </c>
      <c r="S154" s="3">
        <f t="shared" si="2"/>
        <v>21</v>
      </c>
      <c r="T154" s="3" t="str">
        <f>_xlfn.XLOOKUP(C154,Tabla42[ADEP],Tabla42[Sector],"")</f>
        <v>Sector 2</v>
      </c>
    </row>
    <row r="155" spans="1:20" x14ac:dyDescent="0.2">
      <c r="A155" s="13" t="s">
        <v>291</v>
      </c>
      <c r="B155" s="13" t="s">
        <v>18</v>
      </c>
      <c r="C155" s="13" t="s">
        <v>209</v>
      </c>
      <c r="D155" s="13" t="s">
        <v>110</v>
      </c>
      <c r="E155" s="13" t="s">
        <v>381</v>
      </c>
      <c r="F155" s="14">
        <v>46301.899629629632</v>
      </c>
      <c r="G155" s="13" t="s">
        <v>21</v>
      </c>
      <c r="H155" s="13" t="s">
        <v>2599</v>
      </c>
      <c r="I155" s="15">
        <v>380</v>
      </c>
      <c r="J155" s="13" t="s">
        <v>22</v>
      </c>
      <c r="K155" s="13" t="s">
        <v>23</v>
      </c>
      <c r="L155" s="15">
        <v>534</v>
      </c>
      <c r="M155" s="13" t="s">
        <v>123</v>
      </c>
      <c r="N155" s="14">
        <v>46301.928333333337</v>
      </c>
      <c r="O155" s="15">
        <v>380</v>
      </c>
      <c r="P155" s="13" t="s">
        <v>25</v>
      </c>
      <c r="Q155" s="15">
        <v>40</v>
      </c>
      <c r="R155" s="3" t="str">
        <f>IF(OR(G155="12R",G155="12L"),_xlfn.XLOOKUP(C155,Tabla42[ADEP],Tabla42[SID 12R],""),IF(OR(G155="30L",G155="30R"),_xlfn.XLOOKUP(C155,Tabla42[ADEP],Tabla42[SID 30L],""),""))</f>
        <v>ENEBA</v>
      </c>
      <c r="S155" s="3">
        <f t="shared" si="2"/>
        <v>21</v>
      </c>
      <c r="T155" s="3" t="str">
        <f>_xlfn.XLOOKUP(C155,Tabla42[ADEP],Tabla42[Sector],"")</f>
        <v>Sector 3</v>
      </c>
    </row>
    <row r="156" spans="1:20" x14ac:dyDescent="0.2">
      <c r="A156" t="s">
        <v>299</v>
      </c>
      <c r="B156" t="s">
        <v>18</v>
      </c>
      <c r="C156" t="s">
        <v>300</v>
      </c>
      <c r="D156" t="s">
        <v>117</v>
      </c>
      <c r="E156" t="s">
        <v>2600</v>
      </c>
      <c r="F156" s="2">
        <v>46301.90115740741</v>
      </c>
      <c r="G156" t="s">
        <v>21</v>
      </c>
      <c r="H156" t="s">
        <v>2601</v>
      </c>
      <c r="I156" s="3">
        <v>340</v>
      </c>
      <c r="J156" t="s">
        <v>22</v>
      </c>
      <c r="K156" t="s">
        <v>23</v>
      </c>
      <c r="L156" s="3">
        <v>539</v>
      </c>
      <c r="M156" t="s">
        <v>123</v>
      </c>
      <c r="N156" s="2">
        <v>46301.929699074077</v>
      </c>
      <c r="O156" s="3">
        <v>340</v>
      </c>
      <c r="P156" t="s">
        <v>25</v>
      </c>
      <c r="Q156" s="3">
        <v>40</v>
      </c>
      <c r="R156" s="3" t="str">
        <f>IF(OR(G156="12R",G156="12L"),_xlfn.XLOOKUP(C156,Tabla42[ADEP],Tabla42[SID 12R],""),IF(OR(G156="30L",G156="30R"),_xlfn.XLOOKUP(C156,Tabla42[ADEP],Tabla42[SID 30L],""),""))</f>
        <v>OMSUK</v>
      </c>
      <c r="S156" s="3">
        <f t="shared" si="2"/>
        <v>21</v>
      </c>
      <c r="T156" s="3" t="str">
        <f>_xlfn.XLOOKUP(C156,Tabla42[ADEP],Tabla42[Sector],"")</f>
        <v>Sector 3</v>
      </c>
    </row>
    <row r="157" spans="1:20" x14ac:dyDescent="0.2">
      <c r="A157" t="s">
        <v>313</v>
      </c>
      <c r="B157" t="s">
        <v>18</v>
      </c>
      <c r="C157" t="s">
        <v>73</v>
      </c>
      <c r="D157" t="s">
        <v>33</v>
      </c>
      <c r="E157" t="s">
        <v>368</v>
      </c>
      <c r="F157" s="2">
        <v>46301.907800925925</v>
      </c>
      <c r="G157" t="s">
        <v>21</v>
      </c>
      <c r="H157" t="s">
        <v>2602</v>
      </c>
      <c r="I157" s="3">
        <v>380</v>
      </c>
      <c r="J157" t="s">
        <v>22</v>
      </c>
      <c r="K157" t="s">
        <v>23</v>
      </c>
      <c r="L157" s="3">
        <v>739</v>
      </c>
      <c r="M157" t="s">
        <v>73</v>
      </c>
      <c r="N157" s="2">
        <v>46301.952708333331</v>
      </c>
      <c r="O157" s="3">
        <v>0</v>
      </c>
      <c r="P157" t="s">
        <v>25</v>
      </c>
      <c r="Q157" s="3">
        <v>190</v>
      </c>
      <c r="R157" s="3" t="str">
        <f>IF(OR(G157="12R",G157="12L"),_xlfn.XLOOKUP(C157,Tabla42[ADEP],Tabla42[SID 12R],""),IF(OR(G157="30L",G157="30R"),_xlfn.XLOOKUP(C157,Tabla42[ADEP],Tabla42[SID 30L],""),""))</f>
        <v>UDGUV</v>
      </c>
      <c r="S157" s="3">
        <f t="shared" si="2"/>
        <v>21</v>
      </c>
      <c r="T157" s="3" t="str">
        <f>_xlfn.XLOOKUP(C157,Tabla42[ADEP],Tabla42[Sector],"")</f>
        <v>Sector 2</v>
      </c>
    </row>
    <row r="158" spans="1:20" x14ac:dyDescent="0.2">
      <c r="A158" t="s">
        <v>232</v>
      </c>
      <c r="B158" t="s">
        <v>18</v>
      </c>
      <c r="C158" t="s">
        <v>233</v>
      </c>
      <c r="D158" t="s">
        <v>110</v>
      </c>
      <c r="E158" t="s">
        <v>2603</v>
      </c>
      <c r="F158" s="2">
        <v>46301.911562499998</v>
      </c>
      <c r="G158" t="s">
        <v>21</v>
      </c>
      <c r="H158" t="s">
        <v>2604</v>
      </c>
      <c r="I158" s="3">
        <v>400</v>
      </c>
      <c r="J158" t="s">
        <v>22</v>
      </c>
      <c r="K158" t="s">
        <v>23</v>
      </c>
      <c r="L158" s="3">
        <v>537</v>
      </c>
      <c r="M158" t="s">
        <v>123</v>
      </c>
      <c r="N158" s="2">
        <v>46301.940243055556</v>
      </c>
      <c r="O158" s="3">
        <v>400</v>
      </c>
      <c r="P158" t="s">
        <v>25</v>
      </c>
      <c r="Q158" s="3">
        <v>40</v>
      </c>
      <c r="R158" s="3" t="str">
        <f>IF(OR(G158="12R",G158="12L"),_xlfn.XLOOKUP(C158,Tabla42[ADEP],Tabla42[SID 12R],""),IF(OR(G158="30L",G158="30R"),_xlfn.XLOOKUP(C158,Tabla42[ADEP],Tabla42[SID 30L],""),""))</f>
        <v>UDGUV</v>
      </c>
      <c r="S158" s="3">
        <f t="shared" si="2"/>
        <v>21</v>
      </c>
      <c r="T158" s="3" t="str">
        <f>_xlfn.XLOOKUP(C158,Tabla42[ADEP],Tabla42[Sector],"")</f>
        <v>Sector 2</v>
      </c>
    </row>
    <row r="159" spans="1:20" x14ac:dyDescent="0.2">
      <c r="A159" t="s">
        <v>312</v>
      </c>
      <c r="B159" t="s">
        <v>18</v>
      </c>
      <c r="C159" t="s">
        <v>204</v>
      </c>
      <c r="D159" t="s">
        <v>33</v>
      </c>
      <c r="E159" t="s">
        <v>2605</v>
      </c>
      <c r="F159" s="2">
        <v>46301.918055555558</v>
      </c>
      <c r="G159" t="s">
        <v>21</v>
      </c>
      <c r="H159" t="s">
        <v>2606</v>
      </c>
      <c r="I159" s="3">
        <v>330</v>
      </c>
      <c r="J159" t="s">
        <v>22</v>
      </c>
      <c r="K159" t="s">
        <v>23</v>
      </c>
      <c r="L159" s="3">
        <v>150</v>
      </c>
      <c r="M159" t="s">
        <v>111</v>
      </c>
      <c r="N159" s="2">
        <v>46301.928113425929</v>
      </c>
      <c r="O159" s="3">
        <v>242</v>
      </c>
      <c r="P159" t="s">
        <v>25</v>
      </c>
      <c r="Q159" s="3">
        <v>190</v>
      </c>
      <c r="R159" s="3" t="str">
        <f>IF(OR(G159="12R",G159="12L"),_xlfn.XLOOKUP(C159,Tabla42[ADEP],Tabla42[SID 12R],""),IF(OR(G159="30L",G159="30R"),_xlfn.XLOOKUP(C159,Tabla42[ADEP],Tabla42[SID 30L],""),""))</f>
        <v>TAKUX</v>
      </c>
      <c r="S159" s="3">
        <f t="shared" si="2"/>
        <v>22</v>
      </c>
      <c r="T159" s="3" t="str">
        <f>_xlfn.XLOOKUP(C159,Tabla42[ADEP],Tabla42[Sector],"")</f>
        <v>Sector 7</v>
      </c>
    </row>
    <row r="160" spans="1:20" x14ac:dyDescent="0.2">
      <c r="A160" t="s">
        <v>311</v>
      </c>
      <c r="B160" t="s">
        <v>18</v>
      </c>
      <c r="C160" t="s">
        <v>109</v>
      </c>
      <c r="D160" t="s">
        <v>28</v>
      </c>
      <c r="E160" t="s">
        <v>2607</v>
      </c>
      <c r="F160" s="2">
        <v>46301.922037037039</v>
      </c>
      <c r="G160" t="s">
        <v>21</v>
      </c>
      <c r="H160" t="s">
        <v>2608</v>
      </c>
      <c r="I160" s="3">
        <v>370</v>
      </c>
      <c r="J160" t="s">
        <v>22</v>
      </c>
      <c r="K160" t="s">
        <v>23</v>
      </c>
      <c r="L160" s="3">
        <v>182</v>
      </c>
      <c r="M160" t="s">
        <v>2609</v>
      </c>
      <c r="N160" s="2">
        <v>46301.93414351852</v>
      </c>
      <c r="O160" s="3">
        <v>295</v>
      </c>
      <c r="P160" t="s">
        <v>25</v>
      </c>
      <c r="Q160" s="3">
        <v>190</v>
      </c>
      <c r="R160" s="3" t="str">
        <f>IF(OR(G160="12R",G160="12L"),_xlfn.XLOOKUP(C160,Tabla42[ADEP],Tabla42[SID 12R],""),IF(OR(G160="30L",G160="30R"),_xlfn.XLOOKUP(C160,Tabla42[ADEP],Tabla42[SID 30L],""),""))</f>
        <v>TAKUX</v>
      </c>
      <c r="S160" s="3">
        <f t="shared" si="2"/>
        <v>22</v>
      </c>
      <c r="T160" s="3" t="str">
        <f>_xlfn.XLOOKUP(C160,Tabla42[ADEP],Tabla42[Sector],"")</f>
        <v>Sector 7</v>
      </c>
    </row>
    <row r="161" spans="1:20" x14ac:dyDescent="0.2">
      <c r="A161" t="s">
        <v>317</v>
      </c>
      <c r="B161" t="s">
        <v>18</v>
      </c>
      <c r="C161" t="s">
        <v>32</v>
      </c>
      <c r="D161" t="s">
        <v>20</v>
      </c>
      <c r="E161" t="s">
        <v>57</v>
      </c>
      <c r="F161" s="2">
        <v>46301.92559027778</v>
      </c>
      <c r="G161" t="s">
        <v>21</v>
      </c>
      <c r="H161" t="s">
        <v>2610</v>
      </c>
      <c r="I161" s="3">
        <v>340</v>
      </c>
      <c r="J161" t="s">
        <v>22</v>
      </c>
      <c r="K161" t="s">
        <v>23</v>
      </c>
      <c r="L161" s="3">
        <v>892</v>
      </c>
      <c r="M161" t="s">
        <v>2611</v>
      </c>
      <c r="N161" s="2">
        <v>46301.972268518519</v>
      </c>
      <c r="O161" s="3">
        <v>340</v>
      </c>
      <c r="P161" t="s">
        <v>25</v>
      </c>
      <c r="Q161" s="3">
        <v>190</v>
      </c>
      <c r="R161" s="3" t="str">
        <f>IF(OR(G161="12R",G161="12L"),_xlfn.XLOOKUP(C161,Tabla42[ADEP],Tabla42[SID 12R],""),IF(OR(G161="30L",G161="30R"),_xlfn.XLOOKUP(C161,Tabla42[ADEP],Tabla42[SID 30L],""),""))</f>
        <v>UDGUV</v>
      </c>
      <c r="S161" s="3">
        <f t="shared" si="2"/>
        <v>22</v>
      </c>
      <c r="T161" s="3" t="str">
        <f>_xlfn.XLOOKUP(C161,Tabla42[ADEP],Tabla42[Sector],"")</f>
        <v>Sector 2</v>
      </c>
    </row>
    <row r="162" spans="1:20" x14ac:dyDescent="0.2">
      <c r="A162" t="s">
        <v>199</v>
      </c>
      <c r="B162" t="s">
        <v>18</v>
      </c>
      <c r="C162" t="s">
        <v>200</v>
      </c>
      <c r="D162" t="s">
        <v>28</v>
      </c>
      <c r="E162" t="s">
        <v>2612</v>
      </c>
      <c r="F162" s="2">
        <v>46301.939976851849</v>
      </c>
      <c r="G162" t="s">
        <v>21</v>
      </c>
      <c r="H162" t="s">
        <v>2613</v>
      </c>
      <c r="I162" s="3">
        <v>360</v>
      </c>
      <c r="J162" t="s">
        <v>22</v>
      </c>
      <c r="K162" t="s">
        <v>23</v>
      </c>
      <c r="L162" s="3">
        <v>438</v>
      </c>
      <c r="M162" t="s">
        <v>189</v>
      </c>
      <c r="N162" s="2">
        <v>46301.965416666666</v>
      </c>
      <c r="O162" s="3">
        <v>380</v>
      </c>
      <c r="P162" t="s">
        <v>25</v>
      </c>
      <c r="Q162" s="3">
        <v>40</v>
      </c>
      <c r="R162" s="3" t="str">
        <f>IF(OR(G162="12R",G162="12L"),_xlfn.XLOOKUP(C162,Tabla42[ADEP],Tabla42[SID 12R],""),IF(OR(G162="30L",G162="30R"),_xlfn.XLOOKUP(C162,Tabla42[ADEP],Tabla42[SID 30L],""),""))</f>
        <v>OMSUK</v>
      </c>
      <c r="S162" s="3">
        <f t="shared" si="2"/>
        <v>22</v>
      </c>
      <c r="T162" s="3" t="str">
        <f>_xlfn.XLOOKUP(C162,Tabla42[ADEP],Tabla42[Sector],"")</f>
        <v>Sector 3</v>
      </c>
    </row>
    <row r="163" spans="1:20" x14ac:dyDescent="0.2">
      <c r="A163" t="s">
        <v>318</v>
      </c>
      <c r="B163" t="s">
        <v>18</v>
      </c>
      <c r="C163" t="s">
        <v>116</v>
      </c>
      <c r="D163" t="s">
        <v>43</v>
      </c>
      <c r="E163" t="s">
        <v>1605</v>
      </c>
      <c r="F163" s="2">
        <v>46301.942430555559</v>
      </c>
      <c r="G163" t="s">
        <v>21</v>
      </c>
      <c r="H163" t="s">
        <v>2614</v>
      </c>
      <c r="I163" s="3">
        <v>320</v>
      </c>
      <c r="J163" t="s">
        <v>22</v>
      </c>
      <c r="K163" t="s">
        <v>23</v>
      </c>
      <c r="L163" s="3">
        <v>546</v>
      </c>
      <c r="M163" t="s">
        <v>123</v>
      </c>
      <c r="N163" s="2">
        <v>46301.970763888887</v>
      </c>
      <c r="O163" s="3">
        <v>320</v>
      </c>
      <c r="P163" t="s">
        <v>25</v>
      </c>
      <c r="Q163" s="3">
        <v>40</v>
      </c>
      <c r="R163" s="3" t="str">
        <f>IF(OR(G163="12R",G163="12L"),_xlfn.XLOOKUP(C163,Tabla42[ADEP],Tabla42[SID 12R],""),IF(OR(G163="30L",G163="30R"),_xlfn.XLOOKUP(C163,Tabla42[ADEP],Tabla42[SID 30L],""),""))</f>
        <v>ENEBA</v>
      </c>
      <c r="S163" s="3">
        <f t="shared" si="2"/>
        <v>22</v>
      </c>
      <c r="T163" s="3" t="str">
        <f>_xlfn.XLOOKUP(C163,Tabla42[ADEP],Tabla42[Sector],"")</f>
        <v>Sector 3</v>
      </c>
    </row>
    <row r="164" spans="1:20" x14ac:dyDescent="0.2">
      <c r="A164" t="s">
        <v>324</v>
      </c>
      <c r="B164" t="s">
        <v>18</v>
      </c>
      <c r="C164" t="s">
        <v>206</v>
      </c>
      <c r="D164" t="s">
        <v>53</v>
      </c>
      <c r="E164" t="s">
        <v>392</v>
      </c>
      <c r="F164" s="2">
        <v>46301.948564814818</v>
      </c>
      <c r="G164" t="s">
        <v>21</v>
      </c>
      <c r="H164" t="s">
        <v>2615</v>
      </c>
      <c r="I164" s="3">
        <v>380</v>
      </c>
      <c r="J164" t="s">
        <v>22</v>
      </c>
      <c r="K164" t="s">
        <v>23</v>
      </c>
      <c r="L164" s="3">
        <v>899</v>
      </c>
      <c r="M164" t="s">
        <v>2330</v>
      </c>
      <c r="N164" s="2">
        <v>46301.995821759258</v>
      </c>
      <c r="O164" s="3">
        <v>380</v>
      </c>
      <c r="P164" t="s">
        <v>25</v>
      </c>
      <c r="Q164" s="3">
        <v>190</v>
      </c>
      <c r="R164" s="3" t="str">
        <f>IF(OR(G164="12R",G164="12L"),_xlfn.XLOOKUP(C164,Tabla42[ADEP],Tabla42[SID 12R],""),IF(OR(G164="30L",G164="30R"),_xlfn.XLOOKUP(C164,Tabla42[ADEP],Tabla42[SID 30L],""),""))</f>
        <v>UDGUV</v>
      </c>
      <c r="S164" s="3">
        <f t="shared" si="2"/>
        <v>22</v>
      </c>
      <c r="T164" s="3" t="str">
        <f>_xlfn.XLOOKUP(C164,Tabla42[ADEP],Tabla42[Sector],"")</f>
        <v>Sector 2</v>
      </c>
    </row>
    <row r="165" spans="1:20" x14ac:dyDescent="0.2">
      <c r="A165" t="s">
        <v>327</v>
      </c>
      <c r="B165" t="s">
        <v>18</v>
      </c>
      <c r="C165" t="s">
        <v>84</v>
      </c>
      <c r="D165" t="s">
        <v>85</v>
      </c>
      <c r="E165" t="s">
        <v>2616</v>
      </c>
      <c r="F165" s="2">
        <v>46301.95008101852</v>
      </c>
      <c r="G165" t="s">
        <v>21</v>
      </c>
      <c r="H165" t="s">
        <v>2617</v>
      </c>
      <c r="I165" s="3">
        <v>350</v>
      </c>
      <c r="J165" t="s">
        <v>22</v>
      </c>
      <c r="K165" t="s">
        <v>23</v>
      </c>
      <c r="L165" s="3">
        <v>136</v>
      </c>
      <c r="M165" t="s">
        <v>39</v>
      </c>
      <c r="N165" s="2">
        <v>46301.959872685184</v>
      </c>
      <c r="O165" s="3">
        <v>191</v>
      </c>
      <c r="P165" t="s">
        <v>40</v>
      </c>
      <c r="Q165" s="3">
        <v>190</v>
      </c>
      <c r="R165" s="3" t="str">
        <f>IF(OR(G165="12R",G165="12L"),_xlfn.XLOOKUP(C165,Tabla42[ADEP],Tabla42[SID 12R],""),IF(OR(G165="30L",G165="30R"),_xlfn.XLOOKUP(C165,Tabla42[ADEP],Tabla42[SID 30L],""),""))</f>
        <v>NUDAL</v>
      </c>
      <c r="S165" s="3">
        <f t="shared" si="2"/>
        <v>22</v>
      </c>
      <c r="T165" s="3" t="str">
        <f>_xlfn.XLOOKUP(C165,Tabla42[ADEP],Tabla42[Sector],"")</f>
        <v>Sector 3</v>
      </c>
    </row>
    <row r="166" spans="1:20" x14ac:dyDescent="0.2">
      <c r="A166" t="s">
        <v>2618</v>
      </c>
      <c r="B166" t="s">
        <v>18</v>
      </c>
      <c r="C166" t="s">
        <v>65</v>
      </c>
      <c r="D166" t="s">
        <v>626</v>
      </c>
      <c r="F166" s="2">
        <v>46301.954583333332</v>
      </c>
      <c r="G166" t="s">
        <v>21</v>
      </c>
      <c r="H166" t="s">
        <v>2619</v>
      </c>
      <c r="I166" s="3">
        <v>220</v>
      </c>
      <c r="J166" t="s">
        <v>22</v>
      </c>
      <c r="K166" t="s">
        <v>50</v>
      </c>
      <c r="L166" s="3">
        <v>382</v>
      </c>
      <c r="M166" t="s">
        <v>65</v>
      </c>
      <c r="N166" s="2">
        <v>46301.985358796293</v>
      </c>
      <c r="O166" s="3">
        <v>0</v>
      </c>
      <c r="P166" t="s">
        <v>129</v>
      </c>
      <c r="Q166" s="3">
        <v>30</v>
      </c>
      <c r="R166" s="3" t="str">
        <f>IF(OR(G166="12R",G166="12L"),_xlfn.XLOOKUP(C166,Tabla42[ADEP],Tabla42[SID 12R],""),IF(OR(G166="30L",G166="30R"),_xlfn.XLOOKUP(C166,Tabla42[ADEP],Tabla42[SID 30L],""),""))</f>
        <v>UDGUV</v>
      </c>
      <c r="S166" s="3">
        <f t="shared" si="2"/>
        <v>22</v>
      </c>
      <c r="T166" s="3" t="str">
        <f>_xlfn.XLOOKUP(C166,Tabla42[ADEP],Tabla42[Sector],"")</f>
        <v>Sector 2</v>
      </c>
    </row>
    <row r="167" spans="1:20" x14ac:dyDescent="0.2">
      <c r="F167" s="2"/>
      <c r="I167" s="3"/>
      <c r="L167" s="3"/>
      <c r="N167" s="2"/>
      <c r="O167" s="3"/>
      <c r="Q167" s="3"/>
      <c r="R167" s="3" t="str">
        <f>IF(OR(G167="12R",G167="12L"),_xlfn.XLOOKUP(C167,Tabla42[ADEP],Tabla42[SID 12R],""),IF(OR(G167="30L",G167="30R"),_xlfn.XLOOKUP(C167,Tabla42[ADEP],Tabla42[SID 30L],""),""))</f>
        <v/>
      </c>
      <c r="S167" s="3">
        <f t="shared" si="2"/>
        <v>0</v>
      </c>
      <c r="T167" s="3" t="str">
        <f>_xlfn.XLOOKUP(C167,Tabla42[ADEP],Tabla42[Sector],"")</f>
        <v/>
      </c>
    </row>
    <row r="168" spans="1:20" x14ac:dyDescent="0.2">
      <c r="F168" s="2"/>
      <c r="I168" s="3"/>
      <c r="L168" s="3"/>
      <c r="N168" s="2"/>
      <c r="O168" s="3"/>
      <c r="Q168" s="3"/>
      <c r="R168" s="3" t="str">
        <f>IF(OR(G168="12R",G168="12L"),_xlfn.XLOOKUP(C168,Tabla42[ADEP],Tabla42[SID 12R],""),IF(OR(G168="30L",G168="30R"),_xlfn.XLOOKUP(C168,Tabla42[ADEP],Tabla42[SID 30L],""),""))</f>
        <v/>
      </c>
      <c r="S168" s="3">
        <f t="shared" si="2"/>
        <v>0</v>
      </c>
      <c r="T168" s="3" t="str">
        <f>_xlfn.XLOOKUP(C168,Tabla42[ADEP],Tabla42[Sector],"")</f>
        <v/>
      </c>
    </row>
    <row r="169" spans="1:20" x14ac:dyDescent="0.2">
      <c r="F169" s="2"/>
      <c r="I169" s="3"/>
      <c r="L169" s="3"/>
      <c r="N169" s="2"/>
      <c r="O169" s="3"/>
      <c r="Q169" s="3"/>
      <c r="R169" s="3" t="str">
        <f>IF(OR(G169="12R",G169="12L"),_xlfn.XLOOKUP(C169,Tabla42[ADEP],Tabla42[SID 12R],""),IF(OR(G169="30L",G169="30R"),_xlfn.XLOOKUP(C169,Tabla42[ADEP],Tabla42[SID 30L],""),""))</f>
        <v/>
      </c>
      <c r="S169" s="3">
        <f t="shared" si="2"/>
        <v>0</v>
      </c>
      <c r="T169" s="3" t="str">
        <f>_xlfn.XLOOKUP(C169,Tabla42[ADEP],Tabla42[Sector],"")</f>
        <v/>
      </c>
    </row>
    <row r="170" spans="1:20" x14ac:dyDescent="0.2">
      <c r="F170" s="2"/>
      <c r="I170" s="3"/>
      <c r="L170" s="3"/>
      <c r="N170" s="2"/>
      <c r="O170" s="3"/>
      <c r="Q170" s="3"/>
      <c r="R170" s="3" t="str">
        <f>IF(OR(G170="12R",G170="12L"),_xlfn.XLOOKUP(C170,Tabla42[ADEP],Tabla42[SID 12R],""),IF(OR(G170="30L",G170="30R"),_xlfn.XLOOKUP(C170,Tabla42[ADEP],Tabla42[SID 30L],""),""))</f>
        <v/>
      </c>
      <c r="S170" s="3">
        <f t="shared" si="2"/>
        <v>0</v>
      </c>
      <c r="T170" s="3" t="str">
        <f>_xlfn.XLOOKUP(C170,Tabla42[ADEP],Tabla42[Sector],"")</f>
        <v/>
      </c>
    </row>
    <row r="171" spans="1:20" x14ac:dyDescent="0.2">
      <c r="F171" s="2"/>
      <c r="I171" s="3"/>
      <c r="L171" s="3"/>
      <c r="N171" s="2"/>
      <c r="O171" s="3"/>
      <c r="Q171" s="3"/>
      <c r="R171" s="3" t="str">
        <f>IF(OR(G171="12R",G171="12L"),_xlfn.XLOOKUP(C171,Tabla42[ADEP],Tabla42[SID 12R],""),IF(OR(G171="30L",G171="30R"),_xlfn.XLOOKUP(C171,Tabla42[ADEP],Tabla42[SID 30L],""),""))</f>
        <v/>
      </c>
      <c r="S171" s="3">
        <f t="shared" si="2"/>
        <v>0</v>
      </c>
      <c r="T171" s="3" t="str">
        <f>_xlfn.XLOOKUP(C171,Tabla42[ADEP],Tabla42[Sector],"")</f>
        <v/>
      </c>
    </row>
    <row r="172" spans="1:20" x14ac:dyDescent="0.2">
      <c r="F172" s="2"/>
      <c r="I172" s="3"/>
      <c r="L172" s="3"/>
      <c r="N172" s="2"/>
      <c r="O172" s="3"/>
      <c r="Q172" s="3"/>
      <c r="R172" s="3" t="str">
        <f>IF(OR(G172="12R",G172="12L"),_xlfn.XLOOKUP(C172,Tabla42[ADEP],Tabla42[SID 12R],""),IF(OR(G172="30L",G172="30R"),_xlfn.XLOOKUP(C172,Tabla42[ADEP],Tabla42[SID 30L],""),""))</f>
        <v/>
      </c>
      <c r="S172" s="3">
        <f t="shared" si="2"/>
        <v>0</v>
      </c>
      <c r="T172" s="3" t="str">
        <f>_xlfn.XLOOKUP(C172,Tabla42[ADEP],Tabla42[Sector],"")</f>
        <v/>
      </c>
    </row>
    <row r="173" spans="1:20" x14ac:dyDescent="0.2">
      <c r="F173" s="2"/>
      <c r="I173" s="3"/>
      <c r="L173" s="3"/>
      <c r="N173" s="2"/>
      <c r="O173" s="3"/>
      <c r="Q173" s="3"/>
      <c r="R173" s="3" t="str">
        <f>IF(OR(G173="12R",G173="12L"),_xlfn.XLOOKUP(C173,Tabla42[ADEP],Tabla42[SID 12R],""),IF(OR(G173="30L",G173="30R"),_xlfn.XLOOKUP(C173,Tabla42[ADEP],Tabla42[SID 30L],""),""))</f>
        <v/>
      </c>
      <c r="S173" s="3">
        <f t="shared" si="2"/>
        <v>0</v>
      </c>
      <c r="T173" s="3" t="str">
        <f>_xlfn.XLOOKUP(C173,Tabla42[ADEP],Tabla42[Sector],"")</f>
        <v/>
      </c>
    </row>
    <row r="174" spans="1:20" x14ac:dyDescent="0.2">
      <c r="F174" s="2"/>
      <c r="I174" s="3"/>
      <c r="L174" s="3"/>
      <c r="N174" s="2"/>
      <c r="O174" s="3"/>
      <c r="Q174" s="3"/>
      <c r="R174" s="3" t="str">
        <f>IF(OR(G174="12R",G174="12L"),_xlfn.XLOOKUP(C174,Tabla42[ADEP],Tabla42[SID 12R],""),IF(OR(G174="30L",G174="30R"),_xlfn.XLOOKUP(C174,Tabla42[ADEP],Tabla42[SID 30L],""),""))</f>
        <v/>
      </c>
      <c r="S174" s="3">
        <f t="shared" si="2"/>
        <v>0</v>
      </c>
      <c r="T174" s="3" t="str">
        <f>_xlfn.XLOOKUP(C174,Tabla42[ADEP],Tabla42[Sector],"")</f>
        <v/>
      </c>
    </row>
    <row r="175" spans="1:20" x14ac:dyDescent="0.2">
      <c r="F175" s="2"/>
      <c r="I175" s="3"/>
      <c r="L175" s="3"/>
      <c r="N175" s="2"/>
      <c r="O175" s="3"/>
      <c r="Q175" s="3"/>
      <c r="R175" s="3" t="str">
        <f>IF(OR(G175="12R",G175="12L"),_xlfn.XLOOKUP(C175,Tabla42[ADEP],Tabla42[SID 12R],""),IF(OR(G175="30L",G175="30R"),_xlfn.XLOOKUP(C175,Tabla42[ADEP],Tabla42[SID 30L],""),""))</f>
        <v/>
      </c>
      <c r="S175" s="3">
        <f t="shared" si="2"/>
        <v>0</v>
      </c>
      <c r="T175" s="3" t="str">
        <f>_xlfn.XLOOKUP(C175,Tabla42[ADEP],Tabla42[Sector],"")</f>
        <v/>
      </c>
    </row>
    <row r="176" spans="1:20" x14ac:dyDescent="0.2">
      <c r="F176" s="2"/>
      <c r="I176" s="3"/>
      <c r="L176" s="3"/>
      <c r="N176" s="2"/>
      <c r="O176" s="3"/>
      <c r="Q176" s="3"/>
      <c r="R176" s="3" t="str">
        <f>IF(OR(G176="12R",G176="12L"),_xlfn.XLOOKUP(C176,Tabla42[ADEP],Tabla42[SID 12R],""),IF(OR(G176="30L",G176="30R"),_xlfn.XLOOKUP(C176,Tabla42[ADEP],Tabla42[SID 30L],""),""))</f>
        <v/>
      </c>
      <c r="S176" s="3">
        <f t="shared" si="2"/>
        <v>0</v>
      </c>
      <c r="T176" s="3" t="str">
        <f>_xlfn.XLOOKUP(C176,Tabla42[ADEP],Tabla42[Sector],"")</f>
        <v/>
      </c>
    </row>
    <row r="177" spans="6:20" x14ac:dyDescent="0.2">
      <c r="F177" s="2"/>
      <c r="I177" s="3"/>
      <c r="L177" s="3"/>
      <c r="N177" s="2"/>
      <c r="O177" s="3"/>
      <c r="Q177" s="3"/>
      <c r="R177" s="3" t="str">
        <f>IF(OR(G177="12R",G177="12L"),_xlfn.XLOOKUP(C177,Tabla42[ADEP],Tabla42[SID 12R],""),IF(OR(G177="30L",G177="30R"),_xlfn.XLOOKUP(C177,Tabla42[ADEP],Tabla42[SID 30L],""),""))</f>
        <v/>
      </c>
      <c r="S177" s="3">
        <f t="shared" si="2"/>
        <v>0</v>
      </c>
      <c r="T177" s="3" t="str">
        <f>_xlfn.XLOOKUP(C177,Tabla42[ADEP],Tabla42[Sector],"")</f>
        <v/>
      </c>
    </row>
    <row r="178" spans="6:20" x14ac:dyDescent="0.2">
      <c r="F178" s="2"/>
      <c r="I178" s="3"/>
      <c r="L178" s="3"/>
      <c r="N178" s="2"/>
      <c r="O178" s="3"/>
      <c r="Q178" s="3"/>
      <c r="R178" s="3" t="str">
        <f>IF(OR(G178="12R",G178="12L"),_xlfn.XLOOKUP(C178,Tabla42[ADEP],Tabla42[SID 12R],""),IF(OR(G178="30L",G178="30R"),_xlfn.XLOOKUP(C178,Tabla42[ADEP],Tabla42[SID 30L],""),""))</f>
        <v/>
      </c>
      <c r="S178" s="3">
        <f t="shared" si="2"/>
        <v>0</v>
      </c>
      <c r="T178" s="3" t="str">
        <f>_xlfn.XLOOKUP(C178,Tabla42[ADEP],Tabla42[Sector],"")</f>
        <v/>
      </c>
    </row>
    <row r="179" spans="6:20" x14ac:dyDescent="0.2">
      <c r="F179" s="2"/>
      <c r="I179" s="3"/>
      <c r="L179" s="3"/>
      <c r="N179" s="2"/>
      <c r="O179" s="3"/>
      <c r="Q179" s="3"/>
      <c r="R179" s="3" t="str">
        <f>IF(OR(G179="12R",G179="12L"),_xlfn.XLOOKUP(C179,Tabla42[ADEP],Tabla42[SID 12R],""),IF(OR(G179="30L",G179="30R"),_xlfn.XLOOKUP(C179,Tabla42[ADEP],Tabla42[SID 30L],""),""))</f>
        <v/>
      </c>
      <c r="S179" s="3">
        <f t="shared" si="2"/>
        <v>0</v>
      </c>
      <c r="T179" s="3" t="str">
        <f>_xlfn.XLOOKUP(C179,Tabla42[ADEP],Tabla42[Sector],"")</f>
        <v/>
      </c>
    </row>
    <row r="180" spans="6:20" x14ac:dyDescent="0.2">
      <c r="F180" s="2"/>
      <c r="I180" s="3"/>
      <c r="L180" s="3"/>
      <c r="N180" s="2"/>
      <c r="O180" s="3"/>
      <c r="Q180" s="3"/>
      <c r="R180" s="3" t="str">
        <f>IF(OR(G180="12R",G180="12L"),_xlfn.XLOOKUP(C180,Tabla42[ADEP],Tabla42[SID 12R],""),IF(OR(G180="30L",G180="30R"),_xlfn.XLOOKUP(C180,Tabla42[ADEP],Tabla42[SID 30L],""),""))</f>
        <v/>
      </c>
      <c r="S180" s="3">
        <f t="shared" si="2"/>
        <v>0</v>
      </c>
      <c r="T180" s="3" t="str">
        <f>_xlfn.XLOOKUP(C180,Tabla42[ADEP],Tabla42[Sector],"")</f>
        <v/>
      </c>
    </row>
    <row r="181" spans="6:20" x14ac:dyDescent="0.2">
      <c r="F181" s="2"/>
      <c r="I181" s="3"/>
      <c r="L181" s="3"/>
      <c r="N181" s="2"/>
      <c r="O181" s="3"/>
      <c r="Q181" s="3"/>
      <c r="R181" s="3" t="str">
        <f>IF(OR(G181="12R",G181="12L"),_xlfn.XLOOKUP(C181,Tabla42[ADEP],Tabla42[SID 12R],""),IF(OR(G181="30L",G181="30R"),_xlfn.XLOOKUP(C181,Tabla42[ADEP],Tabla42[SID 30L],""),""))</f>
        <v/>
      </c>
      <c r="S181" s="3">
        <f t="shared" si="2"/>
        <v>0</v>
      </c>
      <c r="T181" s="3" t="str">
        <f>_xlfn.XLOOKUP(C181,Tabla42[ADEP],Tabla42[Sector],"")</f>
        <v/>
      </c>
    </row>
    <row r="182" spans="6:20" x14ac:dyDescent="0.2">
      <c r="F182" s="2"/>
      <c r="I182" s="3"/>
      <c r="L182" s="3"/>
      <c r="N182" s="2"/>
      <c r="O182" s="3"/>
      <c r="Q182" s="3"/>
      <c r="R182" s="3" t="str">
        <f>IF(OR(G182="12R",G182="12L"),_xlfn.XLOOKUP(C182,Tabla42[ADEP],Tabla42[SID 12R],""),IF(OR(G182="30L",G182="30R"),_xlfn.XLOOKUP(C182,Tabla42[ADEP],Tabla42[SID 30L],""),""))</f>
        <v/>
      </c>
      <c r="S182" s="3">
        <f t="shared" si="2"/>
        <v>0</v>
      </c>
      <c r="T182" s="3" t="str">
        <f>_xlfn.XLOOKUP(C182,Tabla42[ADEP],Tabla42[Sector],"")</f>
        <v/>
      </c>
    </row>
    <row r="183" spans="6:20" x14ac:dyDescent="0.2">
      <c r="F183" s="2"/>
      <c r="I183" s="3"/>
      <c r="L183" s="3"/>
      <c r="N183" s="2"/>
      <c r="O183" s="3"/>
      <c r="Q183" s="3"/>
      <c r="R183" s="3" t="str">
        <f>IF(OR(G183="12R",G183="12L"),_xlfn.XLOOKUP(C183,Tabla42[ADEP],Tabla42[SID 12R],""),IF(OR(G183="30L",G183="30R"),_xlfn.XLOOKUP(C183,Tabla42[ADEP],Tabla42[SID 30L],""),""))</f>
        <v/>
      </c>
      <c r="S183" s="3">
        <f t="shared" si="2"/>
        <v>0</v>
      </c>
      <c r="T183" s="3" t="str">
        <f>_xlfn.XLOOKUP(C183,Tabla42[ADEP],Tabla42[Sector],"")</f>
        <v/>
      </c>
    </row>
    <row r="184" spans="6:20" x14ac:dyDescent="0.2">
      <c r="F184" s="2"/>
      <c r="I184" s="3"/>
      <c r="L184" s="3"/>
      <c r="N184" s="2"/>
      <c r="O184" s="3"/>
      <c r="Q184" s="3"/>
      <c r="R184" s="3" t="str">
        <f>IF(OR(G184="12R",G184="12L"),_xlfn.XLOOKUP(C184,Tabla42[ADEP],Tabla42[SID 12R],""),IF(OR(G184="30L",G184="30R"),_xlfn.XLOOKUP(C184,Tabla42[ADEP],Tabla42[SID 30L],""),""))</f>
        <v/>
      </c>
      <c r="S184" s="3">
        <f t="shared" si="2"/>
        <v>0</v>
      </c>
      <c r="T184" s="3" t="str">
        <f>_xlfn.XLOOKUP(C184,Tabla42[ADEP],Tabla42[Sector],"")</f>
        <v/>
      </c>
    </row>
    <row r="185" spans="6:20" x14ac:dyDescent="0.2">
      <c r="F185" s="2"/>
      <c r="I185" s="3"/>
      <c r="L185" s="3"/>
      <c r="N185" s="2"/>
      <c r="O185" s="3"/>
      <c r="Q185" s="3"/>
      <c r="R185" s="3" t="str">
        <f>IF(OR(G185="12R",G185="12L"),_xlfn.XLOOKUP(C185,Tabla42[ADEP],Tabla42[SID 12R],""),IF(OR(G185="30L",G185="30R"),_xlfn.XLOOKUP(C185,Tabla42[ADEP],Tabla42[SID 30L],""),""))</f>
        <v/>
      </c>
      <c r="S185" s="3">
        <f t="shared" si="2"/>
        <v>0</v>
      </c>
      <c r="T185" s="3" t="str">
        <f>_xlfn.XLOOKUP(C185,Tabla42[ADEP],Tabla42[Sector],"")</f>
        <v/>
      </c>
    </row>
    <row r="186" spans="6:20" x14ac:dyDescent="0.2">
      <c r="F186" s="2"/>
      <c r="I186" s="3"/>
      <c r="L186" s="3"/>
      <c r="N186" s="2"/>
      <c r="O186" s="3"/>
      <c r="Q186" s="3"/>
      <c r="R186" s="3" t="str">
        <f>IF(OR(G186="12R",G186="12L"),_xlfn.XLOOKUP(C186,Tabla42[ADEP],Tabla42[SID 12R],""),IF(OR(G186="30L",G186="30R"),_xlfn.XLOOKUP(C186,Tabla42[ADEP],Tabla42[SID 30L],""),""))</f>
        <v/>
      </c>
      <c r="S186" s="3">
        <f t="shared" si="2"/>
        <v>0</v>
      </c>
      <c r="T186" s="3" t="str">
        <f>_xlfn.XLOOKUP(C186,Tabla42[ADEP],Tabla42[Sector],"")</f>
        <v/>
      </c>
    </row>
    <row r="187" spans="6:20" x14ac:dyDescent="0.2">
      <c r="F187" s="2"/>
      <c r="I187" s="3"/>
      <c r="L187" s="3"/>
      <c r="N187" s="2"/>
      <c r="O187" s="3"/>
      <c r="Q187" s="3"/>
      <c r="R187" s="3" t="str">
        <f>IF(OR(G187="12R",G187="12L"),_xlfn.XLOOKUP(C187,Tabla42[ADEP],Tabla42[SID 12R],""),IF(OR(G187="30L",G187="30R"),_xlfn.XLOOKUP(C187,Tabla42[ADEP],Tabla42[SID 30L],""),""))</f>
        <v/>
      </c>
      <c r="S187" s="3">
        <f t="shared" si="2"/>
        <v>0</v>
      </c>
      <c r="T187" s="3" t="str">
        <f>_xlfn.XLOOKUP(C187,Tabla42[ADEP],Tabla42[Sector],"")</f>
        <v/>
      </c>
    </row>
    <row r="188" spans="6:20" x14ac:dyDescent="0.2">
      <c r="F188" s="2"/>
      <c r="I188" s="3"/>
      <c r="L188" s="3"/>
      <c r="N188" s="2"/>
      <c r="O188" s="3"/>
      <c r="Q188" s="3"/>
      <c r="R188" s="3" t="str">
        <f>IF(OR(G188="12R",G188="12L"),_xlfn.XLOOKUP(C188,Tabla42[ADEP],Tabla42[SID 12R],""),IF(OR(G188="30L",G188="30R"),_xlfn.XLOOKUP(C188,Tabla42[ADEP],Tabla42[SID 30L],""),""))</f>
        <v/>
      </c>
      <c r="S188" s="3">
        <f t="shared" si="2"/>
        <v>0</v>
      </c>
      <c r="T188" s="3" t="str">
        <f>_xlfn.XLOOKUP(C188,Tabla42[ADEP],Tabla42[Sector],"")</f>
        <v/>
      </c>
    </row>
    <row r="189" spans="6:20" x14ac:dyDescent="0.2">
      <c r="F189" s="2"/>
      <c r="I189" s="3"/>
      <c r="L189" s="3"/>
      <c r="N189" s="2"/>
      <c r="O189" s="3"/>
      <c r="Q189" s="3"/>
      <c r="R189" s="3" t="str">
        <f>IF(OR(G189="12R",G189="12L"),_xlfn.XLOOKUP(C189,Tabla42[ADEP],Tabla42[SID 12R],""),IF(OR(G189="30L",G189="30R"),_xlfn.XLOOKUP(C189,Tabla42[ADEP],Tabla42[SID 30L],""),""))</f>
        <v/>
      </c>
      <c r="S189" s="3">
        <f t="shared" si="2"/>
        <v>0</v>
      </c>
      <c r="T189" s="3" t="str">
        <f>_xlfn.XLOOKUP(C189,Tabla42[ADEP],Tabla42[Sector],"")</f>
        <v/>
      </c>
    </row>
    <row r="190" spans="6: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6: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6: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1</v>
      </c>
      <c r="D227" s="8">
        <f t="shared" si="4"/>
        <v>0</v>
      </c>
      <c r="E227" s="8">
        <f t="shared" si="4"/>
        <v>0</v>
      </c>
      <c r="F227" s="8">
        <f t="shared" si="4"/>
        <v>0</v>
      </c>
      <c r="G227" s="8">
        <f t="shared" si="4"/>
        <v>0</v>
      </c>
      <c r="H227" s="8">
        <f t="shared" si="4"/>
        <v>1</v>
      </c>
      <c r="I227" s="9">
        <f t="shared" ref="I227:I235" si="5">SUM(B227:H227)</f>
        <v>2</v>
      </c>
    </row>
    <row r="228" spans="1:9" x14ac:dyDescent="0.2">
      <c r="A228" s="7">
        <v>15</v>
      </c>
      <c r="B228" s="8">
        <f t="shared" si="4"/>
        <v>0</v>
      </c>
      <c r="C228" s="8">
        <f t="shared" si="4"/>
        <v>1</v>
      </c>
      <c r="D228" s="8">
        <f t="shared" si="4"/>
        <v>0</v>
      </c>
      <c r="E228" s="8">
        <f t="shared" si="4"/>
        <v>0</v>
      </c>
      <c r="F228" s="8">
        <f t="shared" si="4"/>
        <v>1</v>
      </c>
      <c r="G228" s="8">
        <f t="shared" si="4"/>
        <v>0</v>
      </c>
      <c r="H228" s="8">
        <f t="shared" si="4"/>
        <v>7</v>
      </c>
      <c r="I228" s="9">
        <f t="shared" si="5"/>
        <v>9</v>
      </c>
    </row>
    <row r="229" spans="1:9" x14ac:dyDescent="0.2">
      <c r="A229" s="7">
        <v>16</v>
      </c>
      <c r="B229" s="8">
        <f t="shared" si="4"/>
        <v>1</v>
      </c>
      <c r="C229" s="8">
        <f t="shared" si="4"/>
        <v>2</v>
      </c>
      <c r="D229" s="8">
        <f t="shared" si="4"/>
        <v>0</v>
      </c>
      <c r="E229" s="8">
        <f t="shared" si="4"/>
        <v>1</v>
      </c>
      <c r="F229" s="8">
        <f t="shared" si="4"/>
        <v>3</v>
      </c>
      <c r="G229" s="8">
        <f t="shared" si="4"/>
        <v>3</v>
      </c>
      <c r="H229" s="8">
        <f t="shared" si="4"/>
        <v>9</v>
      </c>
      <c r="I229" s="9">
        <f t="shared" si="5"/>
        <v>19</v>
      </c>
    </row>
    <row r="230" spans="1:9" x14ac:dyDescent="0.2">
      <c r="A230" s="7">
        <v>17</v>
      </c>
      <c r="B230" s="8">
        <f t="shared" si="4"/>
        <v>0</v>
      </c>
      <c r="C230" s="8">
        <f t="shared" si="4"/>
        <v>5</v>
      </c>
      <c r="D230" s="8">
        <f t="shared" si="4"/>
        <v>1</v>
      </c>
      <c r="E230" s="8">
        <f t="shared" si="4"/>
        <v>0</v>
      </c>
      <c r="F230" s="8">
        <f t="shared" si="4"/>
        <v>2</v>
      </c>
      <c r="G230" s="8">
        <f t="shared" si="4"/>
        <v>0</v>
      </c>
      <c r="H230" s="8">
        <f t="shared" si="4"/>
        <v>4</v>
      </c>
      <c r="I230" s="9">
        <f t="shared" si="5"/>
        <v>12</v>
      </c>
    </row>
    <row r="231" spans="1:9" x14ac:dyDescent="0.2">
      <c r="A231" s="7">
        <v>18</v>
      </c>
      <c r="B231" s="8">
        <f t="shared" si="4"/>
        <v>0</v>
      </c>
      <c r="C231" s="8">
        <f t="shared" si="4"/>
        <v>4</v>
      </c>
      <c r="D231" s="8">
        <f t="shared" si="4"/>
        <v>0</v>
      </c>
      <c r="E231" s="8">
        <f t="shared" si="4"/>
        <v>2</v>
      </c>
      <c r="F231" s="8">
        <f t="shared" si="4"/>
        <v>5</v>
      </c>
      <c r="G231" s="8">
        <f t="shared" si="4"/>
        <v>2</v>
      </c>
      <c r="H231" s="8">
        <f t="shared" si="4"/>
        <v>6</v>
      </c>
      <c r="I231" s="9">
        <f t="shared" si="5"/>
        <v>19</v>
      </c>
    </row>
    <row r="232" spans="1:9" x14ac:dyDescent="0.2">
      <c r="A232" s="7">
        <v>19</v>
      </c>
      <c r="B232" s="8">
        <f t="shared" si="4"/>
        <v>1</v>
      </c>
      <c r="C232" s="8">
        <f t="shared" si="4"/>
        <v>4</v>
      </c>
      <c r="D232" s="8">
        <f t="shared" si="4"/>
        <v>0</v>
      </c>
      <c r="E232" s="8">
        <f t="shared" si="4"/>
        <v>2</v>
      </c>
      <c r="F232" s="8">
        <f t="shared" si="4"/>
        <v>6</v>
      </c>
      <c r="G232" s="8">
        <f t="shared" si="4"/>
        <v>1</v>
      </c>
      <c r="H232" s="8">
        <f t="shared" si="4"/>
        <v>9</v>
      </c>
      <c r="I232" s="9">
        <f t="shared" si="5"/>
        <v>23</v>
      </c>
    </row>
    <row r="233" spans="1:9" x14ac:dyDescent="0.2">
      <c r="A233" s="7">
        <v>20</v>
      </c>
      <c r="B233" s="8">
        <f t="shared" si="4"/>
        <v>1</v>
      </c>
      <c r="C233" s="8">
        <f t="shared" si="4"/>
        <v>5</v>
      </c>
      <c r="D233" s="8">
        <f t="shared" si="4"/>
        <v>0</v>
      </c>
      <c r="E233" s="8">
        <f t="shared" si="4"/>
        <v>1</v>
      </c>
      <c r="F233" s="8">
        <f t="shared" si="4"/>
        <v>2</v>
      </c>
      <c r="G233" s="8">
        <f t="shared" si="4"/>
        <v>0</v>
      </c>
      <c r="H233" s="8">
        <f t="shared" si="4"/>
        <v>9</v>
      </c>
      <c r="I233" s="9">
        <f t="shared" si="5"/>
        <v>18</v>
      </c>
    </row>
    <row r="234" spans="1:9" x14ac:dyDescent="0.2">
      <c r="A234" s="7">
        <v>21</v>
      </c>
      <c r="B234" s="8">
        <f t="shared" si="4"/>
        <v>1</v>
      </c>
      <c r="C234" s="8">
        <f t="shared" si="4"/>
        <v>1</v>
      </c>
      <c r="D234" s="8">
        <f t="shared" si="4"/>
        <v>0</v>
      </c>
      <c r="E234" s="8">
        <f t="shared" si="4"/>
        <v>3</v>
      </c>
      <c r="F234" s="8">
        <f t="shared" si="4"/>
        <v>3</v>
      </c>
      <c r="G234" s="8">
        <f t="shared" si="4"/>
        <v>0</v>
      </c>
      <c r="H234" s="8">
        <f t="shared" si="4"/>
        <v>5</v>
      </c>
      <c r="I234" s="9">
        <f t="shared" si="5"/>
        <v>13</v>
      </c>
    </row>
    <row r="235" spans="1:9" x14ac:dyDescent="0.2">
      <c r="A235" s="10">
        <v>22</v>
      </c>
      <c r="B235" s="11">
        <f t="shared" si="4"/>
        <v>0</v>
      </c>
      <c r="C235" s="11">
        <f t="shared" si="4"/>
        <v>1</v>
      </c>
      <c r="D235" s="11">
        <f t="shared" si="4"/>
        <v>0</v>
      </c>
      <c r="E235" s="11">
        <f t="shared" si="4"/>
        <v>1</v>
      </c>
      <c r="F235" s="11">
        <f t="shared" si="4"/>
        <v>1</v>
      </c>
      <c r="G235" s="11">
        <f t="shared" si="4"/>
        <v>2</v>
      </c>
      <c r="H235" s="11">
        <f t="shared" si="4"/>
        <v>3</v>
      </c>
      <c r="I235" s="12">
        <f t="shared" si="5"/>
        <v>8</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7</v>
      </c>
      <c r="C264" s="8">
        <f t="shared" si="6"/>
        <v>2</v>
      </c>
      <c r="D264" s="8">
        <f t="shared" si="6"/>
        <v>0</v>
      </c>
      <c r="E264" s="9">
        <f t="shared" si="7"/>
        <v>9</v>
      </c>
    </row>
    <row r="265" spans="1:9" x14ac:dyDescent="0.2">
      <c r="A265" s="7">
        <v>16</v>
      </c>
      <c r="B265" s="8">
        <f t="shared" si="6"/>
        <v>9</v>
      </c>
      <c r="C265" s="8">
        <f t="shared" si="6"/>
        <v>6</v>
      </c>
      <c r="D265" s="8">
        <f t="shared" si="6"/>
        <v>4</v>
      </c>
      <c r="E265" s="9">
        <f t="shared" si="7"/>
        <v>19</v>
      </c>
    </row>
    <row r="266" spans="1:9" x14ac:dyDescent="0.2">
      <c r="A266" s="7">
        <v>17</v>
      </c>
      <c r="B266" s="8">
        <f t="shared" si="6"/>
        <v>4</v>
      </c>
      <c r="C266" s="8">
        <f t="shared" si="6"/>
        <v>7</v>
      </c>
      <c r="D266" s="8">
        <f t="shared" si="6"/>
        <v>1</v>
      </c>
      <c r="E266" s="9">
        <f t="shared" si="7"/>
        <v>12</v>
      </c>
    </row>
    <row r="267" spans="1:9" x14ac:dyDescent="0.2">
      <c r="A267" s="7">
        <v>18</v>
      </c>
      <c r="B267" s="8">
        <f t="shared" si="6"/>
        <v>6</v>
      </c>
      <c r="C267" s="8">
        <f t="shared" si="6"/>
        <v>11</v>
      </c>
      <c r="D267" s="8">
        <f t="shared" si="6"/>
        <v>2</v>
      </c>
      <c r="E267" s="9">
        <f t="shared" si="7"/>
        <v>19</v>
      </c>
    </row>
    <row r="268" spans="1:9" x14ac:dyDescent="0.2">
      <c r="A268" s="7">
        <v>19</v>
      </c>
      <c r="B268" s="8">
        <f t="shared" si="6"/>
        <v>9</v>
      </c>
      <c r="C268" s="8">
        <f t="shared" si="6"/>
        <v>12</v>
      </c>
      <c r="D268" s="8">
        <f t="shared" si="6"/>
        <v>2</v>
      </c>
      <c r="E268" s="9">
        <f t="shared" si="7"/>
        <v>23</v>
      </c>
    </row>
    <row r="269" spans="1:9" x14ac:dyDescent="0.2">
      <c r="A269" s="7">
        <v>20</v>
      </c>
      <c r="B269" s="8">
        <f t="shared" si="6"/>
        <v>9</v>
      </c>
      <c r="C269" s="8">
        <f t="shared" si="6"/>
        <v>8</v>
      </c>
      <c r="D269" s="8">
        <f t="shared" si="6"/>
        <v>1</v>
      </c>
      <c r="E269" s="9">
        <f t="shared" si="7"/>
        <v>18</v>
      </c>
    </row>
    <row r="270" spans="1:9" x14ac:dyDescent="0.2">
      <c r="A270" s="7">
        <v>21</v>
      </c>
      <c r="B270" s="8">
        <f t="shared" si="6"/>
        <v>5</v>
      </c>
      <c r="C270" s="8">
        <f t="shared" si="6"/>
        <v>7</v>
      </c>
      <c r="D270" s="8">
        <f t="shared" si="6"/>
        <v>1</v>
      </c>
      <c r="E270" s="9">
        <f t="shared" si="7"/>
        <v>13</v>
      </c>
    </row>
    <row r="271" spans="1:9" x14ac:dyDescent="0.2">
      <c r="A271" s="7">
        <v>22</v>
      </c>
      <c r="B271" s="8">
        <f t="shared" si="6"/>
        <v>3</v>
      </c>
      <c r="C271" s="8">
        <f t="shared" si="6"/>
        <v>3</v>
      </c>
      <c r="D271" s="8">
        <f t="shared" si="6"/>
        <v>2</v>
      </c>
      <c r="E271" s="9">
        <f t="shared" si="7"/>
        <v>8</v>
      </c>
    </row>
    <row r="272" spans="1:9" x14ac:dyDescent="0.2">
      <c r="A272" s="10">
        <v>23</v>
      </c>
      <c r="B272" s="11">
        <f t="shared" si="6"/>
        <v>0</v>
      </c>
      <c r="C272" s="11">
        <f t="shared" si="6"/>
        <v>0</v>
      </c>
      <c r="D272" s="11">
        <f t="shared" si="6"/>
        <v>0</v>
      </c>
      <c r="E272" s="12">
        <f t="shared" si="7"/>
        <v>0</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3425-BAE4-8444-8913-47E86E1BCB68}">
  <dimension ref="A1:T272"/>
  <sheetViews>
    <sheetView showGridLines="0" zoomScale="110" zoomScaleNormal="110" workbookViewId="0">
      <selection activeCell="A2" sqref="A2:Q17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3" t="s">
        <v>500</v>
      </c>
      <c r="B2" s="13" t="s">
        <v>18</v>
      </c>
      <c r="C2" s="13" t="s">
        <v>501</v>
      </c>
      <c r="D2" s="13" t="s">
        <v>53</v>
      </c>
      <c r="E2" s="13" t="s">
        <v>106</v>
      </c>
      <c r="F2" s="14">
        <v>46302.000439814816</v>
      </c>
      <c r="G2" s="13" t="s">
        <v>21</v>
      </c>
      <c r="H2" s="13" t="s">
        <v>2620</v>
      </c>
      <c r="I2" s="15">
        <v>360</v>
      </c>
      <c r="J2" s="13" t="s">
        <v>22</v>
      </c>
      <c r="K2" s="13" t="s">
        <v>23</v>
      </c>
      <c r="L2" s="15">
        <v>832</v>
      </c>
      <c r="M2" s="13" t="s">
        <v>2621</v>
      </c>
      <c r="N2" s="14">
        <v>46302.044398148151</v>
      </c>
      <c r="O2" s="15">
        <v>360</v>
      </c>
      <c r="P2" s="13" t="s">
        <v>25</v>
      </c>
      <c r="Q2" s="15">
        <v>190</v>
      </c>
      <c r="R2" s="3" t="str">
        <f>IF(OR(G2="12R",G2="12L"),_xlfn.XLOOKUP(C2,Tabla42[ADEP],Tabla42[SID 12R],""),IF(OR(G2="30L",G2="30R"),_xlfn.XLOOKUP(C2,Tabla42[ADEP],Tabla42[SID 30L],""),""))</f>
        <v>UDGUV</v>
      </c>
      <c r="S2" s="3">
        <f>HOUR(F2)</f>
        <v>0</v>
      </c>
      <c r="T2" s="3" t="str">
        <f>_xlfn.XLOOKUP(C2,Tabla42[ADEP],Tabla42[Sector],"")</f>
        <v>Sector 2</v>
      </c>
    </row>
    <row r="3" spans="1:20" x14ac:dyDescent="0.2">
      <c r="A3" s="13" t="s">
        <v>333</v>
      </c>
      <c r="B3" s="13" t="s">
        <v>18</v>
      </c>
      <c r="C3" s="13" t="s">
        <v>204</v>
      </c>
      <c r="D3" s="13" t="s">
        <v>33</v>
      </c>
      <c r="E3" s="13" t="s">
        <v>1285</v>
      </c>
      <c r="F3" s="14">
        <v>46302.002118055556</v>
      </c>
      <c r="G3" s="13" t="s">
        <v>21</v>
      </c>
      <c r="H3" s="13" t="s">
        <v>2622</v>
      </c>
      <c r="I3" s="15">
        <v>350</v>
      </c>
      <c r="J3" s="13" t="s">
        <v>22</v>
      </c>
      <c r="K3" s="13" t="s">
        <v>23</v>
      </c>
      <c r="L3" s="15">
        <v>149</v>
      </c>
      <c r="M3" s="13" t="s">
        <v>111</v>
      </c>
      <c r="N3" s="14">
        <v>46302.012384259258</v>
      </c>
      <c r="O3" s="15">
        <v>254</v>
      </c>
      <c r="P3" s="13" t="s">
        <v>25</v>
      </c>
      <c r="Q3" s="15">
        <v>190</v>
      </c>
      <c r="R3" s="3" t="str">
        <f>IF(OR(G3="12R",G3="12L"),_xlfn.XLOOKUP(C3,Tabla42[ADEP],Tabla42[SID 12R],""),IF(OR(G3="30L",G3="30R"),_xlfn.XLOOKUP(C3,Tabla42[ADEP],Tabla42[SID 30L],""),""))</f>
        <v>TAKUX</v>
      </c>
      <c r="S3" s="3">
        <f t="shared" ref="S3:S66" si="0">HOUR(F3)</f>
        <v>0</v>
      </c>
      <c r="T3" s="3" t="str">
        <f>_xlfn.XLOOKUP(C3,Tabla42[ADEP],Tabla42[Sector],"")</f>
        <v>Sector 7</v>
      </c>
    </row>
    <row r="4" spans="1:20" x14ac:dyDescent="0.2">
      <c r="A4" s="13" t="s">
        <v>336</v>
      </c>
      <c r="B4" s="13" t="s">
        <v>18</v>
      </c>
      <c r="C4" s="13" t="s">
        <v>290</v>
      </c>
      <c r="D4" s="13" t="s">
        <v>33</v>
      </c>
      <c r="E4" s="13" t="s">
        <v>2623</v>
      </c>
      <c r="F4" s="14">
        <v>46302.003750000003</v>
      </c>
      <c r="G4" s="13" t="s">
        <v>21</v>
      </c>
      <c r="H4" s="13" t="s">
        <v>2624</v>
      </c>
      <c r="I4" s="15">
        <v>330</v>
      </c>
      <c r="J4" s="13" t="s">
        <v>22</v>
      </c>
      <c r="K4" s="13" t="s">
        <v>23</v>
      </c>
      <c r="L4" s="15">
        <v>242</v>
      </c>
      <c r="M4" s="13" t="s">
        <v>2625</v>
      </c>
      <c r="N4" s="14">
        <v>46302.019074074073</v>
      </c>
      <c r="O4" s="15">
        <v>287</v>
      </c>
      <c r="P4" s="13" t="s">
        <v>25</v>
      </c>
      <c r="Q4" s="15">
        <v>40</v>
      </c>
      <c r="R4" s="3" t="str">
        <f>IF(OR(G4="12R",G4="12L"),_xlfn.XLOOKUP(C4,Tabla42[ADEP],Tabla42[SID 12R],""),IF(OR(G4="30L",G4="30R"),_xlfn.XLOOKUP(C4,Tabla42[ADEP],Tabla42[SID 30L],""),""))</f>
        <v>CZM</v>
      </c>
      <c r="S4" s="3">
        <f t="shared" si="0"/>
        <v>0</v>
      </c>
      <c r="T4" s="3" t="str">
        <f>_xlfn.XLOOKUP(C4,Tabla42[ADEP],Tabla42[Sector],"")</f>
        <v>Sector 7</v>
      </c>
    </row>
    <row r="5" spans="1:20" x14ac:dyDescent="0.2">
      <c r="A5" s="13" t="s">
        <v>617</v>
      </c>
      <c r="B5" s="13" t="s">
        <v>18</v>
      </c>
      <c r="C5" s="13" t="s">
        <v>618</v>
      </c>
      <c r="D5" s="13" t="s">
        <v>38</v>
      </c>
      <c r="E5" s="13" t="s">
        <v>2626</v>
      </c>
      <c r="F5" s="14">
        <v>46302.005173611113</v>
      </c>
      <c r="G5" s="13" t="s">
        <v>21</v>
      </c>
      <c r="H5" s="13" t="s">
        <v>2627</v>
      </c>
      <c r="I5" s="15">
        <v>410</v>
      </c>
      <c r="J5" s="13" t="s">
        <v>22</v>
      </c>
      <c r="K5" s="13" t="s">
        <v>23</v>
      </c>
      <c r="L5" s="15">
        <v>359</v>
      </c>
      <c r="M5" s="13" t="s">
        <v>30</v>
      </c>
      <c r="N5" s="14">
        <v>46302.02511574074</v>
      </c>
      <c r="O5" s="15">
        <v>386</v>
      </c>
      <c r="P5" s="13" t="s">
        <v>40</v>
      </c>
      <c r="Q5" s="15">
        <v>40</v>
      </c>
      <c r="R5" s="3" t="str">
        <f>IF(OR(G5="12R",G5="12L"),_xlfn.XLOOKUP(C5,Tabla42[ADEP],Tabla42[SID 12R],""),IF(OR(G5="30L",G5="30R"),_xlfn.XLOOKUP(C5,Tabla42[ADEP],Tabla42[SID 30L],""),""))</f>
        <v>NUDAL</v>
      </c>
      <c r="S5" s="3">
        <f t="shared" si="0"/>
        <v>0</v>
      </c>
      <c r="T5" s="3" t="str">
        <f>_xlfn.XLOOKUP(C5,Tabla42[ADEP],Tabla42[Sector],"")</f>
        <v>Sector 3</v>
      </c>
    </row>
    <row r="6" spans="1:20" x14ac:dyDescent="0.2">
      <c r="A6" s="13" t="s">
        <v>2628</v>
      </c>
      <c r="B6" s="13" t="s">
        <v>18</v>
      </c>
      <c r="C6" s="13" t="s">
        <v>49</v>
      </c>
      <c r="D6" s="13" t="s">
        <v>124</v>
      </c>
      <c r="E6" s="13"/>
      <c r="F6" s="14">
        <v>46302.006909722222</v>
      </c>
      <c r="G6" s="13" t="s">
        <v>21</v>
      </c>
      <c r="H6" s="13" t="s">
        <v>2629</v>
      </c>
      <c r="I6" s="15">
        <v>360</v>
      </c>
      <c r="J6" s="13" t="s">
        <v>22</v>
      </c>
      <c r="K6" s="13" t="s">
        <v>50</v>
      </c>
      <c r="L6" s="15">
        <v>874</v>
      </c>
      <c r="M6" s="13" t="s">
        <v>540</v>
      </c>
      <c r="N6" s="14">
        <v>46302.061388888891</v>
      </c>
      <c r="O6" s="15">
        <v>340</v>
      </c>
      <c r="P6" s="13" t="s">
        <v>25</v>
      </c>
      <c r="Q6" s="15">
        <v>30</v>
      </c>
      <c r="R6" s="3" t="str">
        <f>IF(OR(G6="12R",G6="12L"),_xlfn.XLOOKUP(C6,Tabla42[ADEP],Tabla42[SID 12R],""),IF(OR(G6="30L",G6="30R"),_xlfn.XLOOKUP(C6,Tabla42[ADEP],Tabla42[SID 30L],""),""))</f>
        <v>UDGUV</v>
      </c>
      <c r="S6" s="3">
        <f t="shared" si="0"/>
        <v>0</v>
      </c>
      <c r="T6" s="3" t="str">
        <f>_xlfn.XLOOKUP(C6,Tabla42[ADEP],Tabla42[Sector],"")</f>
        <v>Sector 2</v>
      </c>
    </row>
    <row r="7" spans="1:20" x14ac:dyDescent="0.2">
      <c r="A7" s="13" t="s">
        <v>17</v>
      </c>
      <c r="B7" s="13" t="s">
        <v>18</v>
      </c>
      <c r="C7" s="13" t="s">
        <v>19</v>
      </c>
      <c r="D7" s="13" t="s">
        <v>33</v>
      </c>
      <c r="E7" s="13" t="s">
        <v>434</v>
      </c>
      <c r="F7" s="14">
        <v>46302.018078703702</v>
      </c>
      <c r="G7" s="13" t="s">
        <v>21</v>
      </c>
      <c r="H7" s="13" t="s">
        <v>2630</v>
      </c>
      <c r="I7" s="15">
        <v>380</v>
      </c>
      <c r="J7" s="13" t="s">
        <v>22</v>
      </c>
      <c r="K7" s="13" t="s">
        <v>23</v>
      </c>
      <c r="L7" s="15">
        <v>907</v>
      </c>
      <c r="M7" s="13" t="s">
        <v>2631</v>
      </c>
      <c r="N7" s="14">
        <v>46302.066203703704</v>
      </c>
      <c r="O7" s="15">
        <v>380</v>
      </c>
      <c r="P7" s="13" t="s">
        <v>25</v>
      </c>
      <c r="Q7" s="15">
        <v>190</v>
      </c>
      <c r="R7" s="3" t="str">
        <f>IF(OR(G7="12R",G7="12L"),_xlfn.XLOOKUP(C7,Tabla42[ADEP],Tabla42[SID 12R],""),IF(OR(G7="30L",G7="30R"),_xlfn.XLOOKUP(C7,Tabla42[ADEP],Tabla42[SID 30L],""),""))</f>
        <v>UDGUV</v>
      </c>
      <c r="S7" s="3">
        <f t="shared" si="0"/>
        <v>0</v>
      </c>
      <c r="T7" s="3" t="str">
        <f>_xlfn.XLOOKUP(C7,Tabla42[ADEP],Tabla42[Sector],"")</f>
        <v>Sector 2</v>
      </c>
    </row>
    <row r="8" spans="1:20" x14ac:dyDescent="0.2">
      <c r="A8" s="13" t="s">
        <v>31</v>
      </c>
      <c r="B8" s="13" t="s">
        <v>18</v>
      </c>
      <c r="C8" s="13" t="s">
        <v>32</v>
      </c>
      <c r="D8" s="13" t="s">
        <v>53</v>
      </c>
      <c r="E8" s="13" t="s">
        <v>674</v>
      </c>
      <c r="F8" s="14">
        <v>46302.026319444441</v>
      </c>
      <c r="G8" s="13" t="s">
        <v>21</v>
      </c>
      <c r="H8" s="13" t="s">
        <v>2632</v>
      </c>
      <c r="I8" s="15">
        <v>380</v>
      </c>
      <c r="J8" s="13" t="s">
        <v>22</v>
      </c>
      <c r="K8" s="13" t="s">
        <v>23</v>
      </c>
      <c r="L8" s="15">
        <v>852</v>
      </c>
      <c r="M8" s="13" t="s">
        <v>764</v>
      </c>
      <c r="N8" s="14">
        <v>46302.071701388893</v>
      </c>
      <c r="O8" s="15">
        <v>380</v>
      </c>
      <c r="P8" s="13" t="s">
        <v>25</v>
      </c>
      <c r="Q8" s="15">
        <v>190</v>
      </c>
      <c r="R8" s="3" t="str">
        <f>IF(OR(G8="12R",G8="12L"),_xlfn.XLOOKUP(C8,Tabla42[ADEP],Tabla42[SID 12R],""),IF(OR(G8="30L",G8="30R"),_xlfn.XLOOKUP(C8,Tabla42[ADEP],Tabla42[SID 30L],""),""))</f>
        <v>UDGUV</v>
      </c>
      <c r="S8" s="3">
        <f t="shared" si="0"/>
        <v>0</v>
      </c>
      <c r="T8" s="3" t="str">
        <f>_xlfn.XLOOKUP(C8,Tabla42[ADEP],Tabla42[Sector],"")</f>
        <v>Sector 2</v>
      </c>
    </row>
    <row r="9" spans="1:20" x14ac:dyDescent="0.2">
      <c r="A9" s="13" t="s">
        <v>2633</v>
      </c>
      <c r="B9" s="13" t="s">
        <v>18</v>
      </c>
      <c r="C9" s="13" t="s">
        <v>339</v>
      </c>
      <c r="D9" s="13" t="s">
        <v>340</v>
      </c>
      <c r="E9" s="13" t="s">
        <v>2634</v>
      </c>
      <c r="F9" s="14">
        <v>46302.039548611108</v>
      </c>
      <c r="G9" s="13" t="s">
        <v>21</v>
      </c>
      <c r="H9" s="13" t="s">
        <v>2635</v>
      </c>
      <c r="I9" s="15">
        <v>390</v>
      </c>
      <c r="J9" s="13" t="s">
        <v>22</v>
      </c>
      <c r="K9" s="13" t="s">
        <v>23</v>
      </c>
      <c r="L9" s="15">
        <v>360</v>
      </c>
      <c r="M9" s="13" t="s">
        <v>30</v>
      </c>
      <c r="N9" s="14">
        <v>46302.059675925921</v>
      </c>
      <c r="O9" s="15">
        <v>387</v>
      </c>
      <c r="P9" s="13" t="s">
        <v>40</v>
      </c>
      <c r="Q9" s="15">
        <v>40</v>
      </c>
      <c r="R9" s="3" t="str">
        <f>IF(OR(G9="12R",G9="12L"),_xlfn.XLOOKUP(C9,Tabla42[ADEP],Tabla42[SID 12R],""),IF(OR(G9="30L",G9="30R"),_xlfn.XLOOKUP(C9,Tabla42[ADEP],Tabla42[SID 30L],""),""))</f>
        <v>NUDAL</v>
      </c>
      <c r="S9" s="3">
        <f t="shared" si="0"/>
        <v>0</v>
      </c>
      <c r="T9" s="3" t="str">
        <f>_xlfn.XLOOKUP(C9,Tabla42[ADEP],Tabla42[Sector],"")</f>
        <v>Sector 3</v>
      </c>
    </row>
    <row r="10" spans="1:20" x14ac:dyDescent="0.2">
      <c r="A10" s="13" t="s">
        <v>41</v>
      </c>
      <c r="B10" s="13" t="s">
        <v>18</v>
      </c>
      <c r="C10" s="13" t="s">
        <v>42</v>
      </c>
      <c r="D10" s="13" t="s">
        <v>43</v>
      </c>
      <c r="E10" s="13" t="s">
        <v>411</v>
      </c>
      <c r="F10" s="14">
        <v>46302.041643518518</v>
      </c>
      <c r="G10" s="13" t="s">
        <v>21</v>
      </c>
      <c r="H10" s="13" t="s">
        <v>2636</v>
      </c>
      <c r="I10" s="15">
        <v>340</v>
      </c>
      <c r="J10" s="13" t="s">
        <v>22</v>
      </c>
      <c r="K10" s="13" t="s">
        <v>23</v>
      </c>
      <c r="L10" s="15">
        <v>861</v>
      </c>
      <c r="M10" s="13" t="s">
        <v>45</v>
      </c>
      <c r="N10" s="14">
        <v>46302.087604166663</v>
      </c>
      <c r="O10" s="15">
        <v>320</v>
      </c>
      <c r="P10" s="13" t="s">
        <v>25</v>
      </c>
      <c r="Q10" s="15">
        <v>190</v>
      </c>
      <c r="R10" s="3" t="str">
        <f>IF(OR(G10="12R",G10="12L"),_xlfn.XLOOKUP(C10,Tabla42[ADEP],Tabla42[SID 12R],""),IF(OR(G10="30L",G10="30R"),_xlfn.XLOOKUP(C10,Tabla42[ADEP],Tabla42[SID 30L],""),""))</f>
        <v>UDGUV</v>
      </c>
      <c r="S10" s="3">
        <f t="shared" si="0"/>
        <v>0</v>
      </c>
      <c r="T10" s="3" t="str">
        <f>_xlfn.XLOOKUP(C10,Tabla42[ADEP],Tabla42[Sector],"")</f>
        <v>Sector 2</v>
      </c>
    </row>
    <row r="11" spans="1:20" x14ac:dyDescent="0.2">
      <c r="A11" s="13" t="s">
        <v>56</v>
      </c>
      <c r="B11" s="13" t="s">
        <v>18</v>
      </c>
      <c r="C11" s="13" t="s">
        <v>42</v>
      </c>
      <c r="D11" s="13" t="s">
        <v>20</v>
      </c>
      <c r="E11" s="13" t="s">
        <v>374</v>
      </c>
      <c r="F11" s="14">
        <v>46302.054872685185</v>
      </c>
      <c r="G11" s="13" t="s">
        <v>21</v>
      </c>
      <c r="H11" s="13" t="s">
        <v>2637</v>
      </c>
      <c r="I11" s="15">
        <v>340</v>
      </c>
      <c r="J11" s="13" t="s">
        <v>22</v>
      </c>
      <c r="K11" s="13" t="s">
        <v>23</v>
      </c>
      <c r="L11" s="15">
        <v>887</v>
      </c>
      <c r="M11" s="13" t="s">
        <v>2638</v>
      </c>
      <c r="N11" s="14">
        <v>46302.101620370369</v>
      </c>
      <c r="O11" s="15">
        <v>340</v>
      </c>
      <c r="P11" s="13" t="s">
        <v>25</v>
      </c>
      <c r="Q11" s="15">
        <v>190</v>
      </c>
      <c r="R11" s="3" t="str">
        <f>IF(OR(G11="12R",G11="12L"),_xlfn.XLOOKUP(C11,Tabla42[ADEP],Tabla42[SID 12R],""),IF(OR(G11="30L",G11="30R"),_xlfn.XLOOKUP(C11,Tabla42[ADEP],Tabla42[SID 30L],""),""))</f>
        <v>UDGUV</v>
      </c>
      <c r="S11" s="3">
        <f t="shared" si="0"/>
        <v>1</v>
      </c>
      <c r="T11" s="3" t="str">
        <f>_xlfn.XLOOKUP(C11,Tabla42[ADEP],Tabla42[Sector],"")</f>
        <v>Sector 2</v>
      </c>
    </row>
    <row r="12" spans="1:20" x14ac:dyDescent="0.2">
      <c r="A12" s="13" t="s">
        <v>46</v>
      </c>
      <c r="B12" s="13" t="s">
        <v>18</v>
      </c>
      <c r="C12" s="13" t="s">
        <v>47</v>
      </c>
      <c r="D12" s="13" t="s">
        <v>48</v>
      </c>
      <c r="E12" s="13" t="s">
        <v>2639</v>
      </c>
      <c r="F12" s="14">
        <v>46302.057453703703</v>
      </c>
      <c r="G12" s="13" t="s">
        <v>21</v>
      </c>
      <c r="H12" s="13" t="s">
        <v>2640</v>
      </c>
      <c r="I12" s="15">
        <v>370</v>
      </c>
      <c r="J12" s="13" t="s">
        <v>22</v>
      </c>
      <c r="K12" s="13" t="s">
        <v>23</v>
      </c>
      <c r="L12" s="15">
        <v>136</v>
      </c>
      <c r="M12" s="13" t="s">
        <v>39</v>
      </c>
      <c r="N12" s="14">
        <v>46302.066898148143</v>
      </c>
      <c r="O12" s="15">
        <v>240</v>
      </c>
      <c r="P12" s="13" t="s">
        <v>40</v>
      </c>
      <c r="Q12" s="15">
        <v>190</v>
      </c>
      <c r="R12" s="3" t="str">
        <f>IF(OR(G12="12R",G12="12L"),_xlfn.XLOOKUP(C12,Tabla42[ADEP],Tabla42[SID 12R],""),IF(OR(G12="30L",G12="30R"),_xlfn.XLOOKUP(C12,Tabla42[ADEP],Tabla42[SID 30L],""),""))</f>
        <v>NUDAL</v>
      </c>
      <c r="S12" s="3">
        <f t="shared" si="0"/>
        <v>1</v>
      </c>
      <c r="T12" s="3" t="str">
        <f>_xlfn.XLOOKUP(C12,Tabla42[ADEP],Tabla42[Sector],"")</f>
        <v>Sector 3</v>
      </c>
    </row>
    <row r="13" spans="1:20" x14ac:dyDescent="0.2">
      <c r="A13" s="13" t="s">
        <v>61</v>
      </c>
      <c r="B13" s="13" t="s">
        <v>18</v>
      </c>
      <c r="C13" s="13" t="s">
        <v>62</v>
      </c>
      <c r="D13" s="13" t="s">
        <v>63</v>
      </c>
      <c r="E13" s="13" t="s">
        <v>345</v>
      </c>
      <c r="F13" s="14">
        <v>46302.0627662037</v>
      </c>
      <c r="G13" s="13" t="s">
        <v>21</v>
      </c>
      <c r="H13" s="13" t="s">
        <v>2641</v>
      </c>
      <c r="I13" s="15">
        <v>360</v>
      </c>
      <c r="J13" s="13" t="s">
        <v>22</v>
      </c>
      <c r="K13" s="13" t="s">
        <v>23</v>
      </c>
      <c r="L13" s="15">
        <v>884</v>
      </c>
      <c r="M13" s="13" t="s">
        <v>167</v>
      </c>
      <c r="N13" s="14">
        <v>46302.109895833331</v>
      </c>
      <c r="O13" s="15">
        <v>360</v>
      </c>
      <c r="P13" s="13" t="s">
        <v>25</v>
      </c>
      <c r="Q13" s="15">
        <v>190</v>
      </c>
      <c r="R13" s="3" t="str">
        <f>IF(OR(G13="12R",G13="12L"),_xlfn.XLOOKUP(C13,Tabla42[ADEP],Tabla42[SID 12R],""),IF(OR(G13="30L",G13="30R"),_xlfn.XLOOKUP(C13,Tabla42[ADEP],Tabla42[SID 30L],""),""))</f>
        <v>UDGUV</v>
      </c>
      <c r="S13" s="3">
        <f t="shared" si="0"/>
        <v>1</v>
      </c>
      <c r="T13" s="3" t="str">
        <f>_xlfn.XLOOKUP(C13,Tabla42[ADEP],Tabla42[Sector],"")</f>
        <v>Sector 2</v>
      </c>
    </row>
    <row r="14" spans="1:20" x14ac:dyDescent="0.2">
      <c r="A14" s="13" t="s">
        <v>59</v>
      </c>
      <c r="B14" s="13" t="s">
        <v>18</v>
      </c>
      <c r="C14" s="13" t="s">
        <v>27</v>
      </c>
      <c r="D14" s="13" t="s">
        <v>134</v>
      </c>
      <c r="E14" s="13" t="s">
        <v>2642</v>
      </c>
      <c r="F14" s="14">
        <v>46302.082962962959</v>
      </c>
      <c r="G14" s="13" t="s">
        <v>21</v>
      </c>
      <c r="H14" s="13" t="s">
        <v>2643</v>
      </c>
      <c r="I14" s="15">
        <v>340</v>
      </c>
      <c r="J14" s="13" t="s">
        <v>22</v>
      </c>
      <c r="K14" s="13" t="s">
        <v>23</v>
      </c>
      <c r="L14" s="15">
        <v>432</v>
      </c>
      <c r="M14" s="13" t="s">
        <v>189</v>
      </c>
      <c r="N14" s="14">
        <v>46302.105752314819</v>
      </c>
      <c r="O14" s="15">
        <v>340</v>
      </c>
      <c r="P14" s="13" t="s">
        <v>25</v>
      </c>
      <c r="Q14" s="15">
        <v>40</v>
      </c>
      <c r="R14" s="3" t="str">
        <f>IF(OR(G14="12R",G14="12L"),_xlfn.XLOOKUP(C14,Tabla42[ADEP],Tabla42[SID 12R],""),IF(OR(G14="30L",G14="30R"),_xlfn.XLOOKUP(C14,Tabla42[ADEP],Tabla42[SID 30L],""),""))</f>
        <v>OMSUK</v>
      </c>
      <c r="S14" s="3">
        <f t="shared" si="0"/>
        <v>1</v>
      </c>
      <c r="T14" s="3" t="str">
        <f>_xlfn.XLOOKUP(C14,Tabla42[ADEP],Tabla42[Sector],"")</f>
        <v>Sector 3</v>
      </c>
    </row>
    <row r="15" spans="1:20" x14ac:dyDescent="0.2">
      <c r="A15" s="13" t="s">
        <v>64</v>
      </c>
      <c r="B15" s="13" t="s">
        <v>18</v>
      </c>
      <c r="C15" s="13" t="s">
        <v>65</v>
      </c>
      <c r="D15" s="13" t="s">
        <v>63</v>
      </c>
      <c r="E15" s="13" t="s">
        <v>774</v>
      </c>
      <c r="F15" s="14">
        <v>46302.090092592596</v>
      </c>
      <c r="G15" s="13" t="s">
        <v>21</v>
      </c>
      <c r="H15" s="13" t="s">
        <v>2644</v>
      </c>
      <c r="I15" s="15">
        <v>220</v>
      </c>
      <c r="J15" s="13" t="s">
        <v>22</v>
      </c>
      <c r="K15" s="13" t="s">
        <v>23</v>
      </c>
      <c r="L15" s="15">
        <v>355</v>
      </c>
      <c r="M15" s="13" t="s">
        <v>65</v>
      </c>
      <c r="N15" s="14">
        <v>46302.114317129628</v>
      </c>
      <c r="O15" s="15">
        <v>0</v>
      </c>
      <c r="P15" s="13" t="s">
        <v>25</v>
      </c>
      <c r="Q15" s="15">
        <v>190</v>
      </c>
      <c r="R15" s="3" t="str">
        <f>IF(OR(G15="12R",G15="12L"),_xlfn.XLOOKUP(C15,Tabla42[ADEP],Tabla42[SID 12R],""),IF(OR(G15="30L",G15="30R"),_xlfn.XLOOKUP(C15,Tabla42[ADEP],Tabla42[SID 30L],""),""))</f>
        <v>UDGUV</v>
      </c>
      <c r="S15" s="3">
        <f t="shared" si="0"/>
        <v>2</v>
      </c>
      <c r="T15" s="3" t="str">
        <f>_xlfn.XLOOKUP(C15,Tabla42[ADEP],Tabla42[Sector],"")</f>
        <v>Sector 2</v>
      </c>
    </row>
    <row r="16" spans="1:20" x14ac:dyDescent="0.2">
      <c r="A16" s="13" t="s">
        <v>78</v>
      </c>
      <c r="B16" s="13" t="s">
        <v>18</v>
      </c>
      <c r="C16" s="13" t="s">
        <v>42</v>
      </c>
      <c r="D16" s="13" t="s">
        <v>20</v>
      </c>
      <c r="E16" s="13" t="s">
        <v>2566</v>
      </c>
      <c r="F16" s="14">
        <v>46302.115381944444</v>
      </c>
      <c r="G16" s="13" t="s">
        <v>21</v>
      </c>
      <c r="H16" s="13" t="s">
        <v>2645</v>
      </c>
      <c r="I16" s="15">
        <v>360</v>
      </c>
      <c r="J16" s="13" t="s">
        <v>22</v>
      </c>
      <c r="K16" s="13" t="s">
        <v>23</v>
      </c>
      <c r="L16" s="15">
        <v>861</v>
      </c>
      <c r="M16" s="13" t="s">
        <v>420</v>
      </c>
      <c r="N16" s="14">
        <v>46302.16134259259</v>
      </c>
      <c r="O16" s="15">
        <v>360</v>
      </c>
      <c r="P16" s="13" t="s">
        <v>25</v>
      </c>
      <c r="Q16" s="15">
        <v>190</v>
      </c>
      <c r="R16" s="3" t="str">
        <f>IF(OR(G16="12R",G16="12L"),_xlfn.XLOOKUP(C16,Tabla42[ADEP],Tabla42[SID 12R],""),IF(OR(G16="30L",G16="30R"),_xlfn.XLOOKUP(C16,Tabla42[ADEP],Tabla42[SID 30L],""),""))</f>
        <v>UDGUV</v>
      </c>
      <c r="S16" s="3">
        <f t="shared" si="0"/>
        <v>2</v>
      </c>
      <c r="T16" s="3" t="str">
        <f>_xlfn.XLOOKUP(C16,Tabla42[ADEP],Tabla42[Sector],"")</f>
        <v>Sector 2</v>
      </c>
    </row>
    <row r="17" spans="1:20" x14ac:dyDescent="0.2">
      <c r="A17" s="13" t="s">
        <v>69</v>
      </c>
      <c r="B17" s="13" t="s">
        <v>18</v>
      </c>
      <c r="C17" s="13" t="s">
        <v>42</v>
      </c>
      <c r="D17" s="13" t="s">
        <v>53</v>
      </c>
      <c r="E17" s="13" t="s">
        <v>103</v>
      </c>
      <c r="F17" s="14">
        <v>46302.117754629631</v>
      </c>
      <c r="G17" s="13" t="s">
        <v>21</v>
      </c>
      <c r="H17" s="13" t="s">
        <v>2646</v>
      </c>
      <c r="I17" s="15">
        <v>380</v>
      </c>
      <c r="J17" s="13" t="s">
        <v>22</v>
      </c>
      <c r="K17" s="13" t="s">
        <v>23</v>
      </c>
      <c r="L17" s="15">
        <v>887</v>
      </c>
      <c r="M17" s="13" t="s">
        <v>668</v>
      </c>
      <c r="N17" s="14">
        <v>46302.164444444439</v>
      </c>
      <c r="O17" s="15">
        <v>380</v>
      </c>
      <c r="P17" s="13" t="s">
        <v>25</v>
      </c>
      <c r="Q17" s="15">
        <v>190</v>
      </c>
      <c r="R17" s="3" t="str">
        <f>IF(OR(G17="12R",G17="12L"),_xlfn.XLOOKUP(C17,Tabla42[ADEP],Tabla42[SID 12R],""),IF(OR(G17="30L",G17="30R"),_xlfn.XLOOKUP(C17,Tabla42[ADEP],Tabla42[SID 30L],""),""))</f>
        <v>UDGUV</v>
      </c>
      <c r="S17" s="3">
        <f t="shared" si="0"/>
        <v>2</v>
      </c>
      <c r="T17" s="3" t="str">
        <f>_xlfn.XLOOKUP(C17,Tabla42[ADEP],Tabla42[Sector],"")</f>
        <v>Sector 2</v>
      </c>
    </row>
    <row r="18" spans="1:20" x14ac:dyDescent="0.2">
      <c r="A18" s="13" t="s">
        <v>72</v>
      </c>
      <c r="B18" s="13" t="s">
        <v>18</v>
      </c>
      <c r="C18" s="13" t="s">
        <v>73</v>
      </c>
      <c r="D18" s="13" t="s">
        <v>63</v>
      </c>
      <c r="E18" s="13" t="s">
        <v>2359</v>
      </c>
      <c r="F18" s="14">
        <v>46302.119467592594</v>
      </c>
      <c r="G18" s="13" t="s">
        <v>21</v>
      </c>
      <c r="H18" s="13" t="s">
        <v>2647</v>
      </c>
      <c r="I18" s="15">
        <v>320</v>
      </c>
      <c r="J18" s="13" t="s">
        <v>22</v>
      </c>
      <c r="K18" s="13" t="s">
        <v>23</v>
      </c>
      <c r="L18" s="15">
        <v>718</v>
      </c>
      <c r="M18" s="13" t="s">
        <v>73</v>
      </c>
      <c r="N18" s="14">
        <v>46302.162650462968</v>
      </c>
      <c r="O18" s="15">
        <v>0</v>
      </c>
      <c r="P18" s="13" t="s">
        <v>25</v>
      </c>
      <c r="Q18" s="15">
        <v>190</v>
      </c>
      <c r="R18" s="3" t="str">
        <f>IF(OR(G18="12R",G18="12L"),_xlfn.XLOOKUP(C18,Tabla42[ADEP],Tabla42[SID 12R],""),IF(OR(G18="30L",G18="30R"),_xlfn.XLOOKUP(C18,Tabla42[ADEP],Tabla42[SID 30L],""),""))</f>
        <v>UDGUV</v>
      </c>
      <c r="S18" s="3">
        <f t="shared" si="0"/>
        <v>2</v>
      </c>
      <c r="T18" s="3" t="str">
        <f>_xlfn.XLOOKUP(C18,Tabla42[ADEP],Tabla42[Sector],"")</f>
        <v>Sector 2</v>
      </c>
    </row>
    <row r="19" spans="1:20" x14ac:dyDescent="0.2">
      <c r="A19" s="13" t="s">
        <v>75</v>
      </c>
      <c r="B19" s="13" t="s">
        <v>18</v>
      </c>
      <c r="C19" s="13" t="s">
        <v>19</v>
      </c>
      <c r="D19" s="13" t="s">
        <v>60</v>
      </c>
      <c r="E19" s="13" t="s">
        <v>2648</v>
      </c>
      <c r="F19" s="14">
        <v>46302.13962962963</v>
      </c>
      <c r="G19" s="13" t="s">
        <v>623</v>
      </c>
      <c r="H19" s="13" t="s">
        <v>2649</v>
      </c>
      <c r="I19" s="15">
        <v>340</v>
      </c>
      <c r="J19" s="13" t="s">
        <v>22</v>
      </c>
      <c r="K19" s="13" t="s">
        <v>23</v>
      </c>
      <c r="L19" s="15">
        <v>879</v>
      </c>
      <c r="M19" s="13" t="s">
        <v>2650</v>
      </c>
      <c r="N19" s="14">
        <v>46302.185578703706</v>
      </c>
      <c r="O19" s="15">
        <v>340</v>
      </c>
      <c r="P19" s="13" t="s">
        <v>25</v>
      </c>
      <c r="Q19" s="15">
        <v>190</v>
      </c>
      <c r="R19" s="3" t="str">
        <f>IF(OR(G19="12R",G19="12L"),_xlfn.XLOOKUP(C19,Tabla42[ADEP],Tabla42[SID 12R],""),IF(OR(G19="30L",G19="30R"),_xlfn.XLOOKUP(C19,Tabla42[ADEP],Tabla42[SID 30L],""),""))</f>
        <v>UDGUV</v>
      </c>
      <c r="S19" s="3">
        <f t="shared" si="0"/>
        <v>3</v>
      </c>
      <c r="T19" s="3" t="str">
        <f>_xlfn.XLOOKUP(C19,Tabla42[ADEP],Tabla42[Sector],"")</f>
        <v>Sector 2</v>
      </c>
    </row>
    <row r="20" spans="1:20" x14ac:dyDescent="0.2">
      <c r="A20" s="13" t="s">
        <v>346</v>
      </c>
      <c r="B20" s="13" t="s">
        <v>18</v>
      </c>
      <c r="C20" s="13" t="s">
        <v>37</v>
      </c>
      <c r="D20" s="13" t="s">
        <v>243</v>
      </c>
      <c r="E20" s="13" t="s">
        <v>2651</v>
      </c>
      <c r="F20" s="14">
        <v>46302.160115740742</v>
      </c>
      <c r="G20" s="13" t="s">
        <v>623</v>
      </c>
      <c r="H20" s="13" t="s">
        <v>2652</v>
      </c>
      <c r="I20" s="15">
        <v>310</v>
      </c>
      <c r="J20" s="13" t="s">
        <v>22</v>
      </c>
      <c r="K20" s="13" t="s">
        <v>23</v>
      </c>
      <c r="L20" s="15">
        <v>136</v>
      </c>
      <c r="M20" s="13" t="s">
        <v>385</v>
      </c>
      <c r="N20" s="14">
        <v>46302.170069444444</v>
      </c>
      <c r="O20" s="15">
        <v>194</v>
      </c>
      <c r="P20" s="13" t="s">
        <v>40</v>
      </c>
      <c r="Q20" s="15">
        <v>190</v>
      </c>
      <c r="R20" s="3" t="str">
        <f>IF(OR(G20="12R",G20="12L"),_xlfn.XLOOKUP(C20,Tabla42[ADEP],Tabla42[SID 12R],""),IF(OR(G20="30L",G20="30R"),_xlfn.XLOOKUP(C20,Tabla42[ADEP],Tabla42[SID 30L],""),""))</f>
        <v>NUDAL</v>
      </c>
      <c r="S20" s="3">
        <f t="shared" si="0"/>
        <v>3</v>
      </c>
      <c r="T20" s="3" t="str">
        <f>_xlfn.XLOOKUP(C20,Tabla42[ADEP],Tabla42[Sector],"")</f>
        <v>Sector 3</v>
      </c>
    </row>
    <row r="21" spans="1:20" x14ac:dyDescent="0.2">
      <c r="A21" s="13" t="s">
        <v>86</v>
      </c>
      <c r="B21" s="13" t="s">
        <v>18</v>
      </c>
      <c r="C21" s="13" t="s">
        <v>42</v>
      </c>
      <c r="D21" s="13" t="s">
        <v>20</v>
      </c>
      <c r="E21" s="13" t="s">
        <v>684</v>
      </c>
      <c r="F21" s="14">
        <v>46302.19363425926</v>
      </c>
      <c r="G21" s="13" t="s">
        <v>623</v>
      </c>
      <c r="H21" s="13" t="s">
        <v>2653</v>
      </c>
      <c r="I21" s="15">
        <v>340</v>
      </c>
      <c r="J21" s="13" t="s">
        <v>22</v>
      </c>
      <c r="K21" s="13" t="s">
        <v>23</v>
      </c>
      <c r="L21" s="15">
        <v>857</v>
      </c>
      <c r="M21" s="13" t="s">
        <v>2654</v>
      </c>
      <c r="N21" s="14">
        <v>46302.238564814819</v>
      </c>
      <c r="O21" s="15">
        <v>340</v>
      </c>
      <c r="P21" s="13" t="s">
        <v>25</v>
      </c>
      <c r="Q21" s="15">
        <v>190</v>
      </c>
      <c r="R21" s="3" t="str">
        <f>IF(OR(G21="12R",G21="12L"),_xlfn.XLOOKUP(C21,Tabla42[ADEP],Tabla42[SID 12R],""),IF(OR(G21="30L",G21="30R"),_xlfn.XLOOKUP(C21,Tabla42[ADEP],Tabla42[SID 30L],""),""))</f>
        <v>UDGUV</v>
      </c>
      <c r="S21" s="3">
        <f t="shared" si="0"/>
        <v>4</v>
      </c>
      <c r="T21" s="3" t="str">
        <f>_xlfn.XLOOKUP(C21,Tabla42[ADEP],Tabla42[Sector],"")</f>
        <v>Sector 2</v>
      </c>
    </row>
    <row r="22" spans="1:20" x14ac:dyDescent="0.2">
      <c r="A22" s="13" t="s">
        <v>90</v>
      </c>
      <c r="B22" s="13" t="s">
        <v>18</v>
      </c>
      <c r="C22" s="13" t="s">
        <v>42</v>
      </c>
      <c r="D22" s="13" t="s">
        <v>60</v>
      </c>
      <c r="E22" s="13" t="s">
        <v>79</v>
      </c>
      <c r="F22" s="14">
        <v>46302.438622685186</v>
      </c>
      <c r="G22" s="13" t="s">
        <v>623</v>
      </c>
      <c r="H22" s="13" t="s">
        <v>2655</v>
      </c>
      <c r="I22" s="15">
        <v>360</v>
      </c>
      <c r="J22" s="13" t="s">
        <v>22</v>
      </c>
      <c r="K22" s="13" t="s">
        <v>23</v>
      </c>
      <c r="L22" s="15">
        <v>860</v>
      </c>
      <c r="M22" s="13" t="s">
        <v>45</v>
      </c>
      <c r="N22" s="14">
        <v>46302.484583333338</v>
      </c>
      <c r="O22" s="15">
        <v>360</v>
      </c>
      <c r="P22" s="13" t="s">
        <v>25</v>
      </c>
      <c r="Q22" s="15">
        <v>190</v>
      </c>
      <c r="R22" s="3" t="str">
        <f>IF(OR(G22="12R",G22="12L"),_xlfn.XLOOKUP(C22,Tabla42[ADEP],Tabla42[SID 12R],""),IF(OR(G22="30L",G22="30R"),_xlfn.XLOOKUP(C22,Tabla42[ADEP],Tabla42[SID 30L],""),""))</f>
        <v>UDGUV</v>
      </c>
      <c r="S22" s="3">
        <f t="shared" si="0"/>
        <v>10</v>
      </c>
      <c r="T22" s="3" t="str">
        <f>_xlfn.XLOOKUP(C22,Tabla42[ADEP],Tabla42[Sector],"")</f>
        <v>Sector 2</v>
      </c>
    </row>
    <row r="23" spans="1:20" x14ac:dyDescent="0.2">
      <c r="A23" s="13" t="s">
        <v>100</v>
      </c>
      <c r="B23" s="13" t="s">
        <v>18</v>
      </c>
      <c r="C23" s="13" t="s">
        <v>42</v>
      </c>
      <c r="D23" s="13" t="s">
        <v>20</v>
      </c>
      <c r="E23" s="13" t="s">
        <v>374</v>
      </c>
      <c r="F23" s="14">
        <v>46302.458530092597</v>
      </c>
      <c r="G23" s="13" t="s">
        <v>623</v>
      </c>
      <c r="H23" s="13" t="s">
        <v>2656</v>
      </c>
      <c r="I23" s="15">
        <v>360</v>
      </c>
      <c r="J23" s="13" t="s">
        <v>22</v>
      </c>
      <c r="K23" s="13" t="s">
        <v>23</v>
      </c>
      <c r="L23" s="15">
        <v>910</v>
      </c>
      <c r="M23" s="13" t="s">
        <v>2657</v>
      </c>
      <c r="N23" s="14">
        <v>46302.506412037037</v>
      </c>
      <c r="O23" s="15">
        <v>360</v>
      </c>
      <c r="P23" s="13" t="s">
        <v>25</v>
      </c>
      <c r="Q23" s="15">
        <v>190</v>
      </c>
      <c r="R23" s="3" t="str">
        <f>IF(OR(G23="12R",G23="12L"),_xlfn.XLOOKUP(C23,Tabla42[ADEP],Tabla42[SID 12R],""),IF(OR(G23="30L",G23="30R"),_xlfn.XLOOKUP(C23,Tabla42[ADEP],Tabla42[SID 30L],""),""))</f>
        <v>UDGUV</v>
      </c>
      <c r="S23" s="3">
        <f t="shared" si="0"/>
        <v>11</v>
      </c>
      <c r="T23" s="3" t="str">
        <f>_xlfn.XLOOKUP(C23,Tabla42[ADEP],Tabla42[Sector],"")</f>
        <v>Sector 2</v>
      </c>
    </row>
    <row r="24" spans="1:20" x14ac:dyDescent="0.2">
      <c r="A24" s="13" t="s">
        <v>98</v>
      </c>
      <c r="B24" s="13" t="s">
        <v>18</v>
      </c>
      <c r="C24" s="13" t="s">
        <v>42</v>
      </c>
      <c r="D24" s="13" t="s">
        <v>43</v>
      </c>
      <c r="E24" s="13" t="s">
        <v>711</v>
      </c>
      <c r="F24" s="14">
        <v>46302.4683912037</v>
      </c>
      <c r="G24" s="13" t="s">
        <v>623</v>
      </c>
      <c r="H24" s="13" t="s">
        <v>2658</v>
      </c>
      <c r="I24" s="15">
        <v>380</v>
      </c>
      <c r="J24" s="13" t="s">
        <v>22</v>
      </c>
      <c r="K24" s="13" t="s">
        <v>23</v>
      </c>
      <c r="L24" s="15">
        <v>862</v>
      </c>
      <c r="M24" s="13" t="s">
        <v>777</v>
      </c>
      <c r="N24" s="14">
        <v>46302.514710648145</v>
      </c>
      <c r="O24" s="15">
        <v>380</v>
      </c>
      <c r="P24" s="13" t="s">
        <v>25</v>
      </c>
      <c r="Q24" s="15">
        <v>190</v>
      </c>
      <c r="R24" s="3" t="str">
        <f>IF(OR(G24="12R",G24="12L"),_xlfn.XLOOKUP(C24,Tabla42[ADEP],Tabla42[SID 12R],""),IF(OR(G24="30L",G24="30R"),_xlfn.XLOOKUP(C24,Tabla42[ADEP],Tabla42[SID 30L],""),""))</f>
        <v>UDGUV</v>
      </c>
      <c r="S24" s="3">
        <f t="shared" si="0"/>
        <v>11</v>
      </c>
      <c r="T24" s="3" t="str">
        <f>_xlfn.XLOOKUP(C24,Tabla42[ADEP],Tabla42[Sector],"")</f>
        <v>Sector 2</v>
      </c>
    </row>
    <row r="25" spans="1:20" x14ac:dyDescent="0.2">
      <c r="A25" s="13" t="s">
        <v>92</v>
      </c>
      <c r="B25" s="13" t="s">
        <v>18</v>
      </c>
      <c r="C25" s="13" t="s">
        <v>93</v>
      </c>
      <c r="D25" s="13" t="s">
        <v>53</v>
      </c>
      <c r="E25" s="13" t="s">
        <v>106</v>
      </c>
      <c r="F25" s="14">
        <v>46302.469664351855</v>
      </c>
      <c r="G25" s="13" t="s">
        <v>623</v>
      </c>
      <c r="H25" s="13" t="s">
        <v>2659</v>
      </c>
      <c r="I25" s="15">
        <v>380</v>
      </c>
      <c r="J25" s="13" t="s">
        <v>22</v>
      </c>
      <c r="K25" s="13" t="s">
        <v>23</v>
      </c>
      <c r="L25" s="15">
        <v>1023</v>
      </c>
      <c r="M25" s="13" t="s">
        <v>2660</v>
      </c>
      <c r="N25" s="14">
        <v>46302.521111111113</v>
      </c>
      <c r="O25" s="15">
        <v>193</v>
      </c>
      <c r="P25" s="13" t="s">
        <v>25</v>
      </c>
      <c r="Q25" s="15">
        <v>190</v>
      </c>
      <c r="R25" s="3" t="str">
        <f>IF(OR(G25="12R",G25="12L"),_xlfn.XLOOKUP(C25,Tabla42[ADEP],Tabla42[SID 12R],""),IF(OR(G25="30L",G25="30R"),_xlfn.XLOOKUP(C25,Tabla42[ADEP],Tabla42[SID 30L],""),""))</f>
        <v>UDGUV</v>
      </c>
      <c r="S25" s="3">
        <f t="shared" si="0"/>
        <v>11</v>
      </c>
      <c r="T25" s="3" t="str">
        <f>_xlfn.XLOOKUP(C25,Tabla42[ADEP],Tabla42[Sector],"")</f>
        <v>Sector 2</v>
      </c>
    </row>
    <row r="26" spans="1:20" x14ac:dyDescent="0.2">
      <c r="A26" s="13" t="s">
        <v>95</v>
      </c>
      <c r="B26" s="13" t="s">
        <v>18</v>
      </c>
      <c r="C26" s="13" t="s">
        <v>96</v>
      </c>
      <c r="D26" s="13" t="s">
        <v>20</v>
      </c>
      <c r="E26" s="13" t="s">
        <v>57</v>
      </c>
      <c r="F26" s="14">
        <v>46302.473182870366</v>
      </c>
      <c r="G26" s="13" t="s">
        <v>623</v>
      </c>
      <c r="H26" s="13" t="s">
        <v>2661</v>
      </c>
      <c r="I26" s="15">
        <v>360</v>
      </c>
      <c r="J26" s="13" t="s">
        <v>22</v>
      </c>
      <c r="K26" s="13" t="s">
        <v>23</v>
      </c>
      <c r="L26" s="15">
        <v>1002</v>
      </c>
      <c r="M26" s="13" t="s">
        <v>2662</v>
      </c>
      <c r="N26" s="14">
        <v>46302.524537037039</v>
      </c>
      <c r="O26" s="15">
        <v>360</v>
      </c>
      <c r="P26" s="13" t="s">
        <v>25</v>
      </c>
      <c r="Q26" s="15">
        <v>190</v>
      </c>
      <c r="R26" s="3" t="str">
        <f>IF(OR(G26="12R",G26="12L"),_xlfn.XLOOKUP(C26,Tabla42[ADEP],Tabla42[SID 12R],""),IF(OR(G26="30L",G26="30R"),_xlfn.XLOOKUP(C26,Tabla42[ADEP],Tabla42[SID 30L],""),""))</f>
        <v>UDGUV</v>
      </c>
      <c r="S26" s="3">
        <f t="shared" si="0"/>
        <v>11</v>
      </c>
      <c r="T26" s="3" t="str">
        <f>_xlfn.XLOOKUP(C26,Tabla42[ADEP],Tabla42[Sector],"")</f>
        <v>Sector 2</v>
      </c>
    </row>
    <row r="27" spans="1:20" x14ac:dyDescent="0.2">
      <c r="A27" s="13" t="s">
        <v>2663</v>
      </c>
      <c r="B27" s="13" t="s">
        <v>18</v>
      </c>
      <c r="C27" s="13" t="s">
        <v>2664</v>
      </c>
      <c r="D27" s="13" t="s">
        <v>53</v>
      </c>
      <c r="E27" s="13" t="s">
        <v>393</v>
      </c>
      <c r="F27" s="14">
        <v>46302.479780092588</v>
      </c>
      <c r="G27" s="13" t="s">
        <v>623</v>
      </c>
      <c r="H27" s="13" t="s">
        <v>2665</v>
      </c>
      <c r="I27" s="15">
        <v>370</v>
      </c>
      <c r="J27" s="13" t="s">
        <v>22</v>
      </c>
      <c r="K27" s="13" t="s">
        <v>23</v>
      </c>
      <c r="L27" s="15">
        <v>136</v>
      </c>
      <c r="M27" s="13" t="s">
        <v>39</v>
      </c>
      <c r="N27" s="14">
        <v>46302.489201388889</v>
      </c>
      <c r="O27" s="15">
        <v>278</v>
      </c>
      <c r="P27" s="13" t="s">
        <v>25</v>
      </c>
      <c r="Q27" s="15">
        <v>190</v>
      </c>
      <c r="R27" s="3" t="str">
        <f>IF(OR(G27="12R",G27="12L"),_xlfn.XLOOKUP(C27,Tabla42[ADEP],Tabla42[SID 12R],""),IF(OR(G27="30L",G27="30R"),_xlfn.XLOOKUP(C27,Tabla42[ADEP],Tabla42[SID 30L],""),""))</f>
        <v/>
      </c>
      <c r="S27" s="3">
        <f t="shared" si="0"/>
        <v>11</v>
      </c>
      <c r="T27" s="3" t="str">
        <f>_xlfn.XLOOKUP(C27,Tabla42[ADEP],Tabla42[Sector],"")</f>
        <v/>
      </c>
    </row>
    <row r="28" spans="1:20" x14ac:dyDescent="0.2">
      <c r="A28" s="13" t="s">
        <v>105</v>
      </c>
      <c r="B28" s="13" t="s">
        <v>18</v>
      </c>
      <c r="C28" s="13" t="s">
        <v>32</v>
      </c>
      <c r="D28" s="13" t="s">
        <v>20</v>
      </c>
      <c r="E28" s="13" t="s">
        <v>169</v>
      </c>
      <c r="F28" s="14">
        <v>46302.487951388888</v>
      </c>
      <c r="G28" s="13" t="s">
        <v>623</v>
      </c>
      <c r="H28" s="13" t="s">
        <v>2666</v>
      </c>
      <c r="I28" s="15">
        <v>360</v>
      </c>
      <c r="J28" s="13" t="s">
        <v>22</v>
      </c>
      <c r="K28" s="13" t="s">
        <v>23</v>
      </c>
      <c r="L28" s="15">
        <v>924</v>
      </c>
      <c r="M28" s="13" t="s">
        <v>2667</v>
      </c>
      <c r="N28" s="14">
        <v>46302.537175925929</v>
      </c>
      <c r="O28" s="15">
        <v>360</v>
      </c>
      <c r="P28" s="13" t="s">
        <v>25</v>
      </c>
      <c r="Q28" s="15">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3" t="s">
        <v>108</v>
      </c>
      <c r="B29" s="13" t="s">
        <v>18</v>
      </c>
      <c r="C29" s="13" t="s">
        <v>109</v>
      </c>
      <c r="D29" s="13" t="s">
        <v>122</v>
      </c>
      <c r="E29" s="13" t="s">
        <v>576</v>
      </c>
      <c r="F29" s="14">
        <v>46302.500532407408</v>
      </c>
      <c r="G29" s="13" t="s">
        <v>623</v>
      </c>
      <c r="H29" s="13" t="s">
        <v>2668</v>
      </c>
      <c r="I29" s="15">
        <v>370</v>
      </c>
      <c r="J29" s="13" t="s">
        <v>22</v>
      </c>
      <c r="K29" s="13" t="s">
        <v>23</v>
      </c>
      <c r="L29" s="15">
        <v>148</v>
      </c>
      <c r="M29" s="13" t="s">
        <v>2669</v>
      </c>
      <c r="N29" s="14">
        <v>46302.510358796295</v>
      </c>
      <c r="O29" s="15">
        <v>282</v>
      </c>
      <c r="P29" s="13" t="s">
        <v>25</v>
      </c>
      <c r="Q29" s="15">
        <v>190</v>
      </c>
      <c r="R29" s="3" t="str">
        <f>IF(OR(G29="12R",G29="12L"),_xlfn.XLOOKUP(C29,Tabla42[ADEP],Tabla42[SID 12R],""),IF(OR(G29="30L",G29="30R"),_xlfn.XLOOKUP(C29,Tabla42[ADEP],Tabla42[SID 30L],""),""))</f>
        <v>TAKUX</v>
      </c>
      <c r="S29" s="3">
        <f t="shared" si="0"/>
        <v>12</v>
      </c>
      <c r="T29" s="3" t="str">
        <f>_xlfn.XLOOKUP(C29,Tabla42[ADEP],Tabla42[Sector],"")</f>
        <v>Sector 7</v>
      </c>
    </row>
    <row r="30" spans="1:20" x14ac:dyDescent="0.2">
      <c r="A30" s="13" t="s">
        <v>101</v>
      </c>
      <c r="B30" s="13" t="s">
        <v>18</v>
      </c>
      <c r="C30" s="13" t="s">
        <v>102</v>
      </c>
      <c r="D30" s="13" t="s">
        <v>33</v>
      </c>
      <c r="E30" s="13" t="s">
        <v>368</v>
      </c>
      <c r="F30" s="14">
        <v>46302.502256944441</v>
      </c>
      <c r="G30" s="13" t="s">
        <v>623</v>
      </c>
      <c r="H30" s="13" t="s">
        <v>2670</v>
      </c>
      <c r="I30" s="15">
        <v>290</v>
      </c>
      <c r="J30" s="13" t="s">
        <v>22</v>
      </c>
      <c r="K30" s="13" t="s">
        <v>23</v>
      </c>
      <c r="L30" s="15">
        <v>132</v>
      </c>
      <c r="M30" s="13" t="s">
        <v>39</v>
      </c>
      <c r="N30" s="14">
        <v>46302.511574074073</v>
      </c>
      <c r="O30" s="15">
        <v>258</v>
      </c>
      <c r="P30" s="13" t="s">
        <v>25</v>
      </c>
      <c r="Q30" s="15">
        <v>190</v>
      </c>
      <c r="R30" s="3" t="str">
        <f>IF(OR(G30="12R",G30="12L"),_xlfn.XLOOKUP(C30,Tabla42[ADEP],Tabla42[SID 12R],""),IF(OR(G30="30L",G30="30R"),_xlfn.XLOOKUP(C30,Tabla42[ADEP],Tabla42[SID 30L],""),""))</f>
        <v>NUDAL</v>
      </c>
      <c r="S30" s="3">
        <f t="shared" si="0"/>
        <v>12</v>
      </c>
      <c r="T30" s="3" t="str">
        <f>_xlfn.XLOOKUP(C30,Tabla42[ADEP],Tabla42[Sector],"")</f>
        <v>Sector 3</v>
      </c>
    </row>
    <row r="31" spans="1:20" x14ac:dyDescent="0.2">
      <c r="A31" s="13" t="s">
        <v>107</v>
      </c>
      <c r="B31" s="13" t="s">
        <v>18</v>
      </c>
      <c r="C31" s="13" t="s">
        <v>42</v>
      </c>
      <c r="D31" s="13" t="s">
        <v>43</v>
      </c>
      <c r="E31" s="13" t="s">
        <v>2377</v>
      </c>
      <c r="F31" s="14">
        <v>46302.506226851852</v>
      </c>
      <c r="G31" s="13" t="s">
        <v>623</v>
      </c>
      <c r="H31" s="13" t="s">
        <v>2671</v>
      </c>
      <c r="I31" s="15">
        <v>380</v>
      </c>
      <c r="J31" s="13" t="s">
        <v>22</v>
      </c>
      <c r="K31" s="13" t="s">
        <v>23</v>
      </c>
      <c r="L31" s="15">
        <v>986</v>
      </c>
      <c r="M31" s="13" t="s">
        <v>2672</v>
      </c>
      <c r="N31" s="14">
        <v>46302.557546296295</v>
      </c>
      <c r="O31" s="15">
        <v>380</v>
      </c>
      <c r="P31" s="13" t="s">
        <v>25</v>
      </c>
      <c r="Q31" s="15">
        <v>190</v>
      </c>
      <c r="R31" s="3" t="str">
        <f>IF(OR(G31="12R",G31="12L"),_xlfn.XLOOKUP(C31,Tabla42[ADEP],Tabla42[SID 12R],""),IF(OR(G31="30L",G31="30R"),_xlfn.XLOOKUP(C31,Tabla42[ADEP],Tabla42[SID 30L],""),""))</f>
        <v>UDGUV</v>
      </c>
      <c r="S31" s="3">
        <f t="shared" si="0"/>
        <v>12</v>
      </c>
      <c r="T31" s="3" t="str">
        <f>_xlfn.XLOOKUP(C31,Tabla42[ADEP],Tabla42[Sector],"")</f>
        <v>Sector 2</v>
      </c>
    </row>
    <row r="32" spans="1:20" x14ac:dyDescent="0.2">
      <c r="A32" s="13" t="s">
        <v>2381</v>
      </c>
      <c r="B32" s="13" t="s">
        <v>18</v>
      </c>
      <c r="C32" s="13" t="s">
        <v>121</v>
      </c>
      <c r="D32" s="13" t="s">
        <v>122</v>
      </c>
      <c r="E32" s="13" t="s">
        <v>2673</v>
      </c>
      <c r="F32" s="14">
        <v>46302.52071759259</v>
      </c>
      <c r="G32" s="13" t="s">
        <v>623</v>
      </c>
      <c r="H32" s="13" t="s">
        <v>2674</v>
      </c>
      <c r="I32" s="15">
        <v>400</v>
      </c>
      <c r="J32" s="13" t="s">
        <v>22</v>
      </c>
      <c r="K32" s="13" t="s">
        <v>23</v>
      </c>
      <c r="L32" s="15">
        <v>561</v>
      </c>
      <c r="M32" s="13" t="s">
        <v>123</v>
      </c>
      <c r="N32" s="14">
        <v>46302.552152777775</v>
      </c>
      <c r="O32" s="15">
        <v>400</v>
      </c>
      <c r="P32" s="13" t="s">
        <v>25</v>
      </c>
      <c r="Q32" s="15">
        <v>190</v>
      </c>
      <c r="R32" s="3" t="str">
        <f>IF(OR(G32="12R",G32="12L"),_xlfn.XLOOKUP(C32,Tabla42[ADEP],Tabla42[SID 12R],""),IF(OR(G32="30L",G32="30R"),_xlfn.XLOOKUP(C32,Tabla42[ADEP],Tabla42[SID 30L],""),""))</f>
        <v>ENEBA</v>
      </c>
      <c r="S32" s="3">
        <f t="shared" si="0"/>
        <v>12</v>
      </c>
      <c r="T32" s="3" t="str">
        <f>_xlfn.XLOOKUP(C32,Tabla42[ADEP],Tabla42[Sector],"")</f>
        <v>Sector 3</v>
      </c>
    </row>
    <row r="33" spans="1:20" x14ac:dyDescent="0.2">
      <c r="A33" s="13" t="s">
        <v>115</v>
      </c>
      <c r="B33" s="13" t="s">
        <v>18</v>
      </c>
      <c r="C33" s="13" t="s">
        <v>116</v>
      </c>
      <c r="D33" s="13" t="s">
        <v>117</v>
      </c>
      <c r="E33" s="13" t="s">
        <v>2675</v>
      </c>
      <c r="F33" s="14">
        <v>46302.540300925924</v>
      </c>
      <c r="G33" s="13" t="s">
        <v>623</v>
      </c>
      <c r="H33" s="13" t="s">
        <v>2676</v>
      </c>
      <c r="I33" s="15">
        <v>340</v>
      </c>
      <c r="J33" s="13" t="s">
        <v>22</v>
      </c>
      <c r="K33" s="13" t="s">
        <v>23</v>
      </c>
      <c r="L33" s="15">
        <v>420</v>
      </c>
      <c r="M33" s="13" t="s">
        <v>189</v>
      </c>
      <c r="N33" s="14">
        <v>46302.562986111108</v>
      </c>
      <c r="O33" s="15">
        <v>380</v>
      </c>
      <c r="P33" s="13" t="s">
        <v>25</v>
      </c>
      <c r="Q33" s="15">
        <v>190</v>
      </c>
      <c r="R33" s="3" t="str">
        <f>IF(OR(G33="12R",G33="12L"),_xlfn.XLOOKUP(C33,Tabla42[ADEP],Tabla42[SID 12R],""),IF(OR(G33="30L",G33="30R"),_xlfn.XLOOKUP(C33,Tabla42[ADEP],Tabla42[SID 30L],""),""))</f>
        <v>ENEBA</v>
      </c>
      <c r="S33" s="3">
        <f t="shared" si="0"/>
        <v>12</v>
      </c>
      <c r="T33" s="3" t="str">
        <f>_xlfn.XLOOKUP(C33,Tabla42[ADEP],Tabla42[Sector],"")</f>
        <v>Sector 3</v>
      </c>
    </row>
    <row r="34" spans="1:20" x14ac:dyDescent="0.2">
      <c r="A34" s="13" t="s">
        <v>125</v>
      </c>
      <c r="B34" s="13" t="s">
        <v>18</v>
      </c>
      <c r="C34" s="13" t="s">
        <v>126</v>
      </c>
      <c r="D34" s="13" t="s">
        <v>122</v>
      </c>
      <c r="E34" s="13" t="s">
        <v>2677</v>
      </c>
      <c r="F34" s="14">
        <v>46302.546180555553</v>
      </c>
      <c r="G34" s="13" t="s">
        <v>21</v>
      </c>
      <c r="H34" s="13" t="s">
        <v>2678</v>
      </c>
      <c r="I34" s="15">
        <v>360</v>
      </c>
      <c r="J34" s="13" t="s">
        <v>22</v>
      </c>
      <c r="K34" s="13" t="s">
        <v>23</v>
      </c>
      <c r="L34" s="15">
        <v>433</v>
      </c>
      <c r="M34" s="13" t="s">
        <v>189</v>
      </c>
      <c r="N34" s="14">
        <v>46302.569062499999</v>
      </c>
      <c r="O34" s="15">
        <v>360</v>
      </c>
      <c r="P34" s="13" t="s">
        <v>25</v>
      </c>
      <c r="Q34" s="15">
        <v>40</v>
      </c>
      <c r="R34" s="3" t="str">
        <f>IF(OR(G34="12R",G34="12L"),_xlfn.XLOOKUP(C34,Tabla42[ADEP],Tabla42[SID 12R],""),IF(OR(G34="30L",G34="30R"),_xlfn.XLOOKUP(C34,Tabla42[ADEP],Tabla42[SID 30L],""),""))</f>
        <v>ENEBA</v>
      </c>
      <c r="S34" s="3">
        <f t="shared" si="0"/>
        <v>13</v>
      </c>
      <c r="T34" s="3" t="str">
        <f>_xlfn.XLOOKUP(C34,Tabla42[ADEP],Tabla42[Sector],"")</f>
        <v>Sector 3</v>
      </c>
    </row>
    <row r="35" spans="1:20" x14ac:dyDescent="0.2">
      <c r="A35" s="13" t="s">
        <v>119</v>
      </c>
      <c r="B35" s="13" t="s">
        <v>18</v>
      </c>
      <c r="C35" s="13" t="s">
        <v>42</v>
      </c>
      <c r="D35" s="13" t="s">
        <v>43</v>
      </c>
      <c r="E35" s="13" t="s">
        <v>823</v>
      </c>
      <c r="F35" s="14">
        <v>46302.549120370371</v>
      </c>
      <c r="G35" s="13" t="s">
        <v>21</v>
      </c>
      <c r="H35" s="13" t="s">
        <v>2679</v>
      </c>
      <c r="I35" s="15">
        <v>360</v>
      </c>
      <c r="J35" s="13" t="s">
        <v>22</v>
      </c>
      <c r="K35" s="13" t="s">
        <v>23</v>
      </c>
      <c r="L35" s="15">
        <v>1002</v>
      </c>
      <c r="M35" s="13" t="s">
        <v>2058</v>
      </c>
      <c r="N35" s="14">
        <v>46302.60092592593</v>
      </c>
      <c r="O35" s="15">
        <v>360</v>
      </c>
      <c r="P35" s="13" t="s">
        <v>25</v>
      </c>
      <c r="Q35" s="15">
        <v>190</v>
      </c>
      <c r="R35" s="3" t="str">
        <f>IF(OR(G35="12R",G35="12L"),_xlfn.XLOOKUP(C35,Tabla42[ADEP],Tabla42[SID 12R],""),IF(OR(G35="30L",G35="30R"),_xlfn.XLOOKUP(C35,Tabla42[ADEP],Tabla42[SID 30L],""),""))</f>
        <v>UDGUV</v>
      </c>
      <c r="S35" s="3">
        <f t="shared" si="0"/>
        <v>13</v>
      </c>
      <c r="T35" s="3" t="str">
        <f>_xlfn.XLOOKUP(C35,Tabla42[ADEP],Tabla42[Sector],"")</f>
        <v>Sector 2</v>
      </c>
    </row>
    <row r="36" spans="1:20" x14ac:dyDescent="0.2">
      <c r="A36" s="13" t="s">
        <v>1353</v>
      </c>
      <c r="B36" s="13" t="s">
        <v>18</v>
      </c>
      <c r="C36" s="13" t="s">
        <v>195</v>
      </c>
      <c r="D36" s="13" t="s">
        <v>198</v>
      </c>
      <c r="E36" s="13"/>
      <c r="F36" s="14">
        <v>46302.562881944439</v>
      </c>
      <c r="G36" s="13" t="s">
        <v>21</v>
      </c>
      <c r="H36" s="13" t="s">
        <v>2680</v>
      </c>
      <c r="I36" s="15">
        <v>450</v>
      </c>
      <c r="J36" s="13" t="s">
        <v>22</v>
      </c>
      <c r="K36" s="13" t="s">
        <v>50</v>
      </c>
      <c r="L36" s="15">
        <v>188</v>
      </c>
      <c r="M36" s="13" t="s">
        <v>2681</v>
      </c>
      <c r="N36" s="14">
        <v>46302.575960648144</v>
      </c>
      <c r="O36" s="15">
        <v>305</v>
      </c>
      <c r="P36" s="13" t="s">
        <v>25</v>
      </c>
      <c r="Q36" s="15">
        <v>30</v>
      </c>
      <c r="R36" s="3" t="str">
        <f>IF(OR(G36="12R",G36="12L"),_xlfn.XLOOKUP(C36,Tabla42[ADEP],Tabla42[SID 12R],""),IF(OR(G36="30L",G36="30R"),_xlfn.XLOOKUP(C36,Tabla42[ADEP],Tabla42[SID 30L],""),""))</f>
        <v>HECAT</v>
      </c>
      <c r="S36" s="3">
        <f t="shared" si="0"/>
        <v>13</v>
      </c>
      <c r="T36" s="3" t="str">
        <f>_xlfn.XLOOKUP(C36,Tabla42[ADEP],Tabla42[Sector],"")</f>
        <v>Sector 7</v>
      </c>
    </row>
    <row r="37" spans="1:20" x14ac:dyDescent="0.2">
      <c r="A37" s="13" t="s">
        <v>127</v>
      </c>
      <c r="B37" s="13" t="s">
        <v>18</v>
      </c>
      <c r="C37" s="13" t="s">
        <v>128</v>
      </c>
      <c r="D37" s="13" t="s">
        <v>43</v>
      </c>
      <c r="E37" s="13" t="s">
        <v>464</v>
      </c>
      <c r="F37" s="14">
        <v>46302.580451388887</v>
      </c>
      <c r="G37" s="13" t="s">
        <v>21</v>
      </c>
      <c r="H37" s="13" t="s">
        <v>2682</v>
      </c>
      <c r="I37" s="15">
        <v>340</v>
      </c>
      <c r="J37" s="13" t="s">
        <v>22</v>
      </c>
      <c r="K37" s="13" t="s">
        <v>23</v>
      </c>
      <c r="L37" s="15">
        <v>381</v>
      </c>
      <c r="M37" s="13" t="s">
        <v>2683</v>
      </c>
      <c r="N37" s="14">
        <v>46302.601817129631</v>
      </c>
      <c r="O37" s="15">
        <v>340</v>
      </c>
      <c r="P37" s="13" t="s">
        <v>25</v>
      </c>
      <c r="Q37" s="15">
        <v>40</v>
      </c>
      <c r="R37" s="3" t="str">
        <f>IF(OR(G37="12R",G37="12L"),_xlfn.XLOOKUP(C37,Tabla42[ADEP],Tabla42[SID 12R],""),IF(OR(G37="30L",G37="30R"),_xlfn.XLOOKUP(C37,Tabla42[ADEP],Tabla42[SID 30L],""),""))</f>
        <v>OMSUK</v>
      </c>
      <c r="S37" s="3">
        <f t="shared" si="0"/>
        <v>13</v>
      </c>
      <c r="T37" s="3" t="str">
        <f>_xlfn.XLOOKUP(C37,Tabla42[ADEP],Tabla42[Sector],"")</f>
        <v>Sector 3</v>
      </c>
    </row>
    <row r="38" spans="1:20" x14ac:dyDescent="0.2">
      <c r="A38" s="13" t="s">
        <v>173</v>
      </c>
      <c r="B38" s="13" t="s">
        <v>18</v>
      </c>
      <c r="C38" s="13" t="s">
        <v>18</v>
      </c>
      <c r="D38" s="13" t="s">
        <v>174</v>
      </c>
      <c r="E38" s="13"/>
      <c r="F38" s="14">
        <v>46302.587500000001</v>
      </c>
      <c r="G38" s="13" t="s">
        <v>21</v>
      </c>
      <c r="H38" s="13" t="s">
        <v>2684</v>
      </c>
      <c r="I38" s="15">
        <v>15</v>
      </c>
      <c r="J38" s="13" t="s">
        <v>130</v>
      </c>
      <c r="K38" s="13" t="s">
        <v>50</v>
      </c>
      <c r="L38" s="15">
        <v>107</v>
      </c>
      <c r="M38" s="13" t="s">
        <v>18</v>
      </c>
      <c r="N38" s="14">
        <v>46302.64466435185</v>
      </c>
      <c r="O38" s="15">
        <v>0</v>
      </c>
      <c r="P38" s="13" t="s">
        <v>129</v>
      </c>
      <c r="Q38" s="15">
        <v>15</v>
      </c>
      <c r="R38" s="3" t="str">
        <f>IF(OR(G38="12R",G38="12L"),_xlfn.XLOOKUP(C38,Tabla42[ADEP],Tabla42[SID 12R],""),IF(OR(G38="30L",G38="30R"),_xlfn.XLOOKUP(C38,Tabla42[ADEP],Tabla42[SID 30L],""),""))</f>
        <v/>
      </c>
      <c r="S38" s="3">
        <f t="shared" si="0"/>
        <v>14</v>
      </c>
      <c r="T38" s="3" t="str">
        <f>_xlfn.XLOOKUP(C38,Tabla42[ADEP],Tabla42[Sector],"")</f>
        <v/>
      </c>
    </row>
    <row r="39" spans="1:20" x14ac:dyDescent="0.2">
      <c r="A39" s="13" t="s">
        <v>131</v>
      </c>
      <c r="B39" s="13" t="s">
        <v>18</v>
      </c>
      <c r="C39" s="13" t="s">
        <v>42</v>
      </c>
      <c r="D39" s="13" t="s">
        <v>43</v>
      </c>
      <c r="E39" s="13" t="s">
        <v>2386</v>
      </c>
      <c r="F39" s="14">
        <v>46302.600671296299</v>
      </c>
      <c r="G39" s="13" t="s">
        <v>21</v>
      </c>
      <c r="H39" s="13" t="s">
        <v>2685</v>
      </c>
      <c r="I39" s="15">
        <v>360</v>
      </c>
      <c r="J39" s="13" t="s">
        <v>22</v>
      </c>
      <c r="K39" s="13" t="s">
        <v>23</v>
      </c>
      <c r="L39" s="15">
        <v>1025</v>
      </c>
      <c r="M39" s="13" t="s">
        <v>2058</v>
      </c>
      <c r="N39" s="14">
        <v>46302.653344907405</v>
      </c>
      <c r="O39" s="15">
        <v>340</v>
      </c>
      <c r="P39" s="13" t="s">
        <v>25</v>
      </c>
      <c r="Q39" s="15">
        <v>190</v>
      </c>
      <c r="R39" s="3" t="str">
        <f>IF(OR(G39="12R",G39="12L"),_xlfn.XLOOKUP(C39,Tabla42[ADEP],Tabla42[SID 12R],""),IF(OR(G39="30L",G39="30R"),_xlfn.XLOOKUP(C39,Tabla42[ADEP],Tabla42[SID 30L],""),""))</f>
        <v>UDGUV</v>
      </c>
      <c r="S39" s="3">
        <f t="shared" si="0"/>
        <v>14</v>
      </c>
      <c r="T39" s="3" t="str">
        <f>_xlfn.XLOOKUP(C39,Tabla42[ADEP],Tabla42[Sector],"")</f>
        <v>Sector 2</v>
      </c>
    </row>
    <row r="40" spans="1:20" x14ac:dyDescent="0.2">
      <c r="A40" s="13" t="s">
        <v>2686</v>
      </c>
      <c r="B40" s="13" t="s">
        <v>18</v>
      </c>
      <c r="C40" s="13" t="s">
        <v>698</v>
      </c>
      <c r="D40" s="13" t="s">
        <v>2687</v>
      </c>
      <c r="E40" s="13"/>
      <c r="F40" s="14">
        <v>46302.615659722222</v>
      </c>
      <c r="G40" s="13" t="s">
        <v>21</v>
      </c>
      <c r="H40" s="13" t="s">
        <v>2688</v>
      </c>
      <c r="I40" s="15">
        <v>90</v>
      </c>
      <c r="J40" s="13" t="s">
        <v>22</v>
      </c>
      <c r="K40" s="13" t="s">
        <v>50</v>
      </c>
      <c r="L40" s="15">
        <v>235</v>
      </c>
      <c r="M40" s="13" t="s">
        <v>355</v>
      </c>
      <c r="N40" s="14">
        <v>46302.646354166667</v>
      </c>
      <c r="O40" s="15">
        <v>90</v>
      </c>
      <c r="P40" s="13" t="s">
        <v>129</v>
      </c>
      <c r="Q40" s="15">
        <v>40</v>
      </c>
      <c r="R40" s="3" t="str">
        <f>IF(OR(G40="12R",G40="12L"),_xlfn.XLOOKUP(C40,Tabla42[ADEP],Tabla42[SID 12R],""),IF(OR(G40="30L",G40="30R"),_xlfn.XLOOKUP(C40,Tabla42[ADEP],Tabla42[SID 30L],""),""))</f>
        <v>NUDAL</v>
      </c>
      <c r="S40" s="3">
        <f t="shared" si="0"/>
        <v>14</v>
      </c>
      <c r="T40" s="3" t="str">
        <f>_xlfn.XLOOKUP(C40,Tabla42[ADEP],Tabla42[Sector],"")</f>
        <v>Sector 3</v>
      </c>
    </row>
    <row r="41" spans="1:20" x14ac:dyDescent="0.2">
      <c r="A41" s="13" t="s">
        <v>135</v>
      </c>
      <c r="B41" s="13" t="s">
        <v>18</v>
      </c>
      <c r="C41" s="13" t="s">
        <v>32</v>
      </c>
      <c r="D41" s="13" t="s">
        <v>20</v>
      </c>
      <c r="E41" s="13" t="s">
        <v>522</v>
      </c>
      <c r="F41" s="14">
        <v>46302.635011574079</v>
      </c>
      <c r="G41" s="13" t="s">
        <v>21</v>
      </c>
      <c r="H41" s="13" t="s">
        <v>2689</v>
      </c>
      <c r="I41" s="15">
        <v>380</v>
      </c>
      <c r="J41" s="13" t="s">
        <v>22</v>
      </c>
      <c r="K41" s="13" t="s">
        <v>23</v>
      </c>
      <c r="L41" s="15">
        <v>865</v>
      </c>
      <c r="M41" s="13" t="s">
        <v>2690</v>
      </c>
      <c r="N41" s="14">
        <v>46302.681909722218</v>
      </c>
      <c r="O41" s="15">
        <v>380</v>
      </c>
      <c r="P41" s="13" t="s">
        <v>25</v>
      </c>
      <c r="Q41" s="15">
        <v>190</v>
      </c>
      <c r="R41" s="3" t="str">
        <f>IF(OR(G41="12R",G41="12L"),_xlfn.XLOOKUP(C41,Tabla42[ADEP],Tabla42[SID 12R],""),IF(OR(G41="30L",G41="30R"),_xlfn.XLOOKUP(C41,Tabla42[ADEP],Tabla42[SID 30L],""),""))</f>
        <v>UDGUV</v>
      </c>
      <c r="S41" s="3">
        <f t="shared" si="0"/>
        <v>15</v>
      </c>
      <c r="T41" s="3" t="str">
        <f>_xlfn.XLOOKUP(C41,Tabla42[ADEP],Tabla42[Sector],"")</f>
        <v>Sector 2</v>
      </c>
    </row>
    <row r="42" spans="1:20" x14ac:dyDescent="0.2">
      <c r="A42" s="13" t="s">
        <v>142</v>
      </c>
      <c r="B42" s="13" t="s">
        <v>18</v>
      </c>
      <c r="C42" s="13" t="s">
        <v>42</v>
      </c>
      <c r="D42" s="13" t="s">
        <v>60</v>
      </c>
      <c r="E42" s="13" t="s">
        <v>114</v>
      </c>
      <c r="F42" s="14">
        <v>46302.645914351851</v>
      </c>
      <c r="G42" s="13" t="s">
        <v>21</v>
      </c>
      <c r="H42" s="13" t="s">
        <v>2691</v>
      </c>
      <c r="I42" s="15">
        <v>340</v>
      </c>
      <c r="J42" s="13" t="s">
        <v>22</v>
      </c>
      <c r="K42" s="13" t="s">
        <v>23</v>
      </c>
      <c r="L42" s="15">
        <v>884</v>
      </c>
      <c r="M42" s="13" t="s">
        <v>1532</v>
      </c>
      <c r="N42" s="14">
        <v>46302.691412037035</v>
      </c>
      <c r="O42" s="15">
        <v>340</v>
      </c>
      <c r="P42" s="13" t="s">
        <v>25</v>
      </c>
      <c r="Q42" s="15">
        <v>190</v>
      </c>
      <c r="R42" s="3" t="str">
        <f>IF(OR(G42="12R",G42="12L"),_xlfn.XLOOKUP(C42,Tabla42[ADEP],Tabla42[SID 12R],""),IF(OR(G42="30L",G42="30R"),_xlfn.XLOOKUP(C42,Tabla42[ADEP],Tabla42[SID 30L],""),""))</f>
        <v>UDGUV</v>
      </c>
      <c r="S42" s="3">
        <f t="shared" si="0"/>
        <v>15</v>
      </c>
      <c r="T42" s="3" t="str">
        <f>_xlfn.XLOOKUP(C42,Tabla42[ADEP],Tabla42[Sector],"")</f>
        <v>Sector 2</v>
      </c>
    </row>
    <row r="43" spans="1:20" x14ac:dyDescent="0.2">
      <c r="A43" s="13" t="s">
        <v>139</v>
      </c>
      <c r="B43" s="13" t="s">
        <v>18</v>
      </c>
      <c r="C43" s="13" t="s">
        <v>49</v>
      </c>
      <c r="D43" s="13" t="s">
        <v>33</v>
      </c>
      <c r="E43" s="13" t="s">
        <v>532</v>
      </c>
      <c r="F43" s="14">
        <v>46302.647314814814</v>
      </c>
      <c r="G43" s="13" t="s">
        <v>21</v>
      </c>
      <c r="H43" s="13" t="s">
        <v>2692</v>
      </c>
      <c r="I43" s="15">
        <v>360</v>
      </c>
      <c r="J43" s="13" t="s">
        <v>22</v>
      </c>
      <c r="K43" s="13" t="s">
        <v>141</v>
      </c>
      <c r="L43" s="15">
        <v>876</v>
      </c>
      <c r="M43" s="13" t="s">
        <v>2693</v>
      </c>
      <c r="N43" s="14">
        <v>46302.693460648152</v>
      </c>
      <c r="O43" s="15">
        <v>360</v>
      </c>
      <c r="P43" s="13" t="s">
        <v>25</v>
      </c>
      <c r="Q43" s="15">
        <v>190</v>
      </c>
      <c r="R43" s="3" t="str">
        <f>IF(OR(G43="12R",G43="12L"),_xlfn.XLOOKUP(C43,Tabla42[ADEP],Tabla42[SID 12R],""),IF(OR(G43="30L",G43="30R"),_xlfn.XLOOKUP(C43,Tabla42[ADEP],Tabla42[SID 30L],""),""))</f>
        <v>UDGUV</v>
      </c>
      <c r="S43" s="3">
        <f t="shared" si="0"/>
        <v>15</v>
      </c>
      <c r="T43" s="3" t="str">
        <f>_xlfn.XLOOKUP(C43,Tabla42[ADEP],Tabla42[Sector],"")</f>
        <v>Sector 2</v>
      </c>
    </row>
    <row r="44" spans="1:20" x14ac:dyDescent="0.2">
      <c r="A44" s="13" t="s">
        <v>2694</v>
      </c>
      <c r="B44" s="13" t="s">
        <v>18</v>
      </c>
      <c r="C44" s="13" t="s">
        <v>293</v>
      </c>
      <c r="D44" s="13" t="s">
        <v>1041</v>
      </c>
      <c r="E44" s="13" t="s">
        <v>2695</v>
      </c>
      <c r="F44" s="14">
        <v>46302.6484375</v>
      </c>
      <c r="G44" s="13" t="s">
        <v>21</v>
      </c>
      <c r="H44" s="13" t="s">
        <v>2696</v>
      </c>
      <c r="I44" s="15">
        <v>430</v>
      </c>
      <c r="J44" s="13" t="s">
        <v>22</v>
      </c>
      <c r="K44" s="13" t="s">
        <v>50</v>
      </c>
      <c r="L44" s="15">
        <v>545</v>
      </c>
      <c r="M44" s="13" t="s">
        <v>123</v>
      </c>
      <c r="N44" s="14">
        <v>46302.676932870367</v>
      </c>
      <c r="O44" s="15">
        <v>450</v>
      </c>
      <c r="P44" s="13" t="s">
        <v>25</v>
      </c>
      <c r="Q44" s="15">
        <v>40</v>
      </c>
      <c r="R44" s="3" t="str">
        <f>IF(OR(G44="12R",G44="12L"),_xlfn.XLOOKUP(C44,Tabla42[ADEP],Tabla42[SID 12R],""),IF(OR(G44="30L",G44="30R"),_xlfn.XLOOKUP(C44,Tabla42[ADEP],Tabla42[SID 30L],""),""))</f>
        <v>UDGUV</v>
      </c>
      <c r="S44" s="3">
        <f t="shared" si="0"/>
        <v>15</v>
      </c>
      <c r="T44" s="3" t="str">
        <f>_xlfn.XLOOKUP(C44,Tabla42[ADEP],Tabla42[Sector],"")</f>
        <v>Sector 2</v>
      </c>
    </row>
    <row r="45" spans="1:20" x14ac:dyDescent="0.2">
      <c r="A45" s="13" t="s">
        <v>362</v>
      </c>
      <c r="B45" s="13" t="s">
        <v>18</v>
      </c>
      <c r="C45" s="13" t="s">
        <v>27</v>
      </c>
      <c r="D45" s="13" t="s">
        <v>28</v>
      </c>
      <c r="E45" s="13" t="s">
        <v>2697</v>
      </c>
      <c r="F45" s="14">
        <v>46302.654756944445</v>
      </c>
      <c r="G45" s="13" t="s">
        <v>21</v>
      </c>
      <c r="H45" s="13" t="s">
        <v>2698</v>
      </c>
      <c r="I45" s="15">
        <v>370</v>
      </c>
      <c r="J45" s="13" t="s">
        <v>22</v>
      </c>
      <c r="K45" s="13" t="s">
        <v>23</v>
      </c>
      <c r="L45" s="15">
        <v>220</v>
      </c>
      <c r="M45" s="13" t="s">
        <v>355</v>
      </c>
      <c r="N45" s="14">
        <v>46302.66878472222</v>
      </c>
      <c r="O45" s="15">
        <v>310</v>
      </c>
      <c r="P45" s="13" t="s">
        <v>25</v>
      </c>
      <c r="Q45" s="15">
        <v>40</v>
      </c>
      <c r="R45" s="3" t="str">
        <f>IF(OR(G45="12R",G45="12L"),_xlfn.XLOOKUP(C45,Tabla42[ADEP],Tabla42[SID 12R],""),IF(OR(G45="30L",G45="30R"),_xlfn.XLOOKUP(C45,Tabla42[ADEP],Tabla42[SID 30L],""),""))</f>
        <v>OMSUK</v>
      </c>
      <c r="S45" s="3">
        <f t="shared" si="0"/>
        <v>15</v>
      </c>
      <c r="T45" s="3" t="str">
        <f>_xlfn.XLOOKUP(C45,Tabla42[ADEP],Tabla42[Sector],"")</f>
        <v>Sector 3</v>
      </c>
    </row>
    <row r="46" spans="1:20" x14ac:dyDescent="0.2">
      <c r="A46" s="13" t="s">
        <v>425</v>
      </c>
      <c r="B46" s="13" t="s">
        <v>18</v>
      </c>
      <c r="C46" s="13" t="s">
        <v>49</v>
      </c>
      <c r="D46" s="13" t="s">
        <v>53</v>
      </c>
      <c r="E46" s="13" t="s">
        <v>2699</v>
      </c>
      <c r="F46" s="14">
        <v>46302.657905092594</v>
      </c>
      <c r="G46" s="13" t="s">
        <v>21</v>
      </c>
      <c r="H46" s="13" t="s">
        <v>2700</v>
      </c>
      <c r="I46" s="15">
        <v>380</v>
      </c>
      <c r="J46" s="13" t="s">
        <v>22</v>
      </c>
      <c r="K46" s="13" t="s">
        <v>23</v>
      </c>
      <c r="L46" s="15">
        <v>976</v>
      </c>
      <c r="M46" s="13" t="s">
        <v>2319</v>
      </c>
      <c r="N46" s="14">
        <v>46302.709317129629</v>
      </c>
      <c r="O46" s="15">
        <v>380</v>
      </c>
      <c r="P46" s="13" t="s">
        <v>25</v>
      </c>
      <c r="Q46" s="15">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3" t="s">
        <v>146</v>
      </c>
      <c r="B47" s="13" t="s">
        <v>18</v>
      </c>
      <c r="C47" s="13" t="s">
        <v>96</v>
      </c>
      <c r="D47" s="13" t="s">
        <v>60</v>
      </c>
      <c r="E47" s="13" t="s">
        <v>144</v>
      </c>
      <c r="F47" s="14">
        <v>46302.659432870365</v>
      </c>
      <c r="G47" s="13" t="s">
        <v>21</v>
      </c>
      <c r="H47" s="13" t="s">
        <v>2701</v>
      </c>
      <c r="I47" s="15">
        <v>340</v>
      </c>
      <c r="J47" s="13" t="s">
        <v>22</v>
      </c>
      <c r="K47" s="13" t="s">
        <v>23</v>
      </c>
      <c r="L47" s="15">
        <v>878</v>
      </c>
      <c r="M47" s="13" t="s">
        <v>2702</v>
      </c>
      <c r="N47" s="14">
        <v>46302.705787037034</v>
      </c>
      <c r="O47" s="15">
        <v>340</v>
      </c>
      <c r="P47" s="13" t="s">
        <v>25</v>
      </c>
      <c r="Q47" s="15">
        <v>190</v>
      </c>
      <c r="R47" s="3" t="str">
        <f>IF(OR(G47="12R",G47="12L"),_xlfn.XLOOKUP(C47,Tabla42[ADEP],Tabla42[SID 12R],""),IF(OR(G47="30L",G47="30R"),_xlfn.XLOOKUP(C47,Tabla42[ADEP],Tabla42[SID 30L],""),""))</f>
        <v>UDGUV</v>
      </c>
      <c r="S47" s="3">
        <f t="shared" si="0"/>
        <v>15</v>
      </c>
      <c r="T47" s="3" t="str">
        <f>_xlfn.XLOOKUP(C47,Tabla42[ADEP],Tabla42[Sector],"")</f>
        <v>Sector 2</v>
      </c>
    </row>
    <row r="48" spans="1:20" x14ac:dyDescent="0.2">
      <c r="A48" s="13" t="s">
        <v>151</v>
      </c>
      <c r="B48" s="13" t="s">
        <v>18</v>
      </c>
      <c r="C48" s="13" t="s">
        <v>96</v>
      </c>
      <c r="D48" s="13" t="s">
        <v>122</v>
      </c>
      <c r="E48" s="13" t="s">
        <v>1040</v>
      </c>
      <c r="F48" s="14">
        <v>46302.663298611107</v>
      </c>
      <c r="G48" s="13" t="s">
        <v>21</v>
      </c>
      <c r="H48" s="13" t="s">
        <v>2703</v>
      </c>
      <c r="I48" s="15">
        <v>380</v>
      </c>
      <c r="J48" s="13" t="s">
        <v>22</v>
      </c>
      <c r="K48" s="13" t="s">
        <v>23</v>
      </c>
      <c r="L48" s="15">
        <v>963</v>
      </c>
      <c r="M48" s="13" t="s">
        <v>2330</v>
      </c>
      <c r="N48" s="14">
        <v>46302.714143518519</v>
      </c>
      <c r="O48" s="15">
        <v>380</v>
      </c>
      <c r="P48" s="13" t="s">
        <v>25</v>
      </c>
      <c r="Q48" s="15">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3" t="s">
        <v>145</v>
      </c>
      <c r="B49" s="13" t="s">
        <v>18</v>
      </c>
      <c r="C49" s="13" t="s">
        <v>19</v>
      </c>
      <c r="D49" s="13" t="s">
        <v>53</v>
      </c>
      <c r="E49" s="13" t="s">
        <v>825</v>
      </c>
      <c r="F49" s="14">
        <v>46302.664710648147</v>
      </c>
      <c r="G49" s="13" t="s">
        <v>21</v>
      </c>
      <c r="H49" s="13" t="s">
        <v>2704</v>
      </c>
      <c r="I49" s="15">
        <v>360</v>
      </c>
      <c r="J49" s="13" t="s">
        <v>22</v>
      </c>
      <c r="K49" s="13" t="s">
        <v>23</v>
      </c>
      <c r="L49" s="15">
        <v>1002</v>
      </c>
      <c r="M49" s="13" t="s">
        <v>2058</v>
      </c>
      <c r="N49" s="14">
        <v>46302.717939814815</v>
      </c>
      <c r="O49" s="15">
        <v>360</v>
      </c>
      <c r="P49" s="13" t="s">
        <v>25</v>
      </c>
      <c r="Q49" s="15">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13" t="s">
        <v>364</v>
      </c>
      <c r="B50" s="13" t="s">
        <v>18</v>
      </c>
      <c r="C50" s="13" t="s">
        <v>27</v>
      </c>
      <c r="D50" s="13" t="s">
        <v>28</v>
      </c>
      <c r="E50" s="13" t="s">
        <v>2705</v>
      </c>
      <c r="F50" s="14">
        <v>46302.66606481481</v>
      </c>
      <c r="G50" s="13" t="s">
        <v>21</v>
      </c>
      <c r="H50" s="13" t="s">
        <v>2706</v>
      </c>
      <c r="I50" s="15">
        <v>340</v>
      </c>
      <c r="J50" s="13" t="s">
        <v>22</v>
      </c>
      <c r="K50" s="13" t="s">
        <v>23</v>
      </c>
      <c r="L50" s="15">
        <v>424</v>
      </c>
      <c r="M50" s="13" t="s">
        <v>189</v>
      </c>
      <c r="N50" s="14">
        <v>46302.689930555556</v>
      </c>
      <c r="O50" s="15">
        <v>360</v>
      </c>
      <c r="P50" s="13" t="s">
        <v>25</v>
      </c>
      <c r="Q50" s="15">
        <v>40</v>
      </c>
      <c r="R50" s="3" t="str">
        <f>IF(OR(G50="12R",G50="12L"),_xlfn.XLOOKUP(C50,Tabla42[ADEP],Tabla42[SID 12R],""),IF(OR(G50="30L",G50="30R"),_xlfn.XLOOKUP(C50,Tabla42[ADEP],Tabla42[SID 30L],""),""))</f>
        <v>OMSUK</v>
      </c>
      <c r="S50" s="3">
        <f t="shared" si="0"/>
        <v>15</v>
      </c>
      <c r="T50" s="3" t="str">
        <f>_xlfn.XLOOKUP(C50,Tabla42[ADEP],Tabla42[Sector],"")</f>
        <v>Sector 3</v>
      </c>
    </row>
    <row r="51" spans="1:20" x14ac:dyDescent="0.2">
      <c r="A51" s="13" t="s">
        <v>136</v>
      </c>
      <c r="B51" s="13" t="s">
        <v>18</v>
      </c>
      <c r="C51" s="13" t="s">
        <v>137</v>
      </c>
      <c r="D51" s="13" t="s">
        <v>63</v>
      </c>
      <c r="E51" s="13" t="s">
        <v>774</v>
      </c>
      <c r="F51" s="14">
        <v>46302.669814814813</v>
      </c>
      <c r="G51" s="13" t="s">
        <v>21</v>
      </c>
      <c r="H51" s="13" t="s">
        <v>2707</v>
      </c>
      <c r="I51" s="15">
        <v>330</v>
      </c>
      <c r="J51" s="13" t="s">
        <v>22</v>
      </c>
      <c r="K51" s="13" t="s">
        <v>23</v>
      </c>
      <c r="L51" s="15">
        <v>138</v>
      </c>
      <c r="M51" s="13" t="s">
        <v>39</v>
      </c>
      <c r="N51" s="14">
        <v>46302.679340277777</v>
      </c>
      <c r="O51" s="15">
        <v>252</v>
      </c>
      <c r="P51" s="13" t="s">
        <v>25</v>
      </c>
      <c r="Q51" s="15">
        <v>190</v>
      </c>
      <c r="R51" s="3" t="str">
        <f>IF(OR(G51="12R",G51="12L"),_xlfn.XLOOKUP(C51,Tabla42[ADEP],Tabla42[SID 12R],""),IF(OR(G51="30L",G51="30R"),_xlfn.XLOOKUP(C51,Tabla42[ADEP],Tabla42[SID 30L],""),""))</f>
        <v>NUDAL</v>
      </c>
      <c r="S51" s="3">
        <f t="shared" si="0"/>
        <v>16</v>
      </c>
      <c r="T51" s="3" t="str">
        <f>_xlfn.XLOOKUP(C51,Tabla42[ADEP],Tabla42[Sector],"")</f>
        <v>Sector 3</v>
      </c>
    </row>
    <row r="52" spans="1:20" x14ac:dyDescent="0.2">
      <c r="A52" s="13" t="s">
        <v>208</v>
      </c>
      <c r="B52" s="13" t="s">
        <v>18</v>
      </c>
      <c r="C52" s="13" t="s">
        <v>209</v>
      </c>
      <c r="D52" s="13" t="s">
        <v>28</v>
      </c>
      <c r="E52" s="13" t="s">
        <v>1238</v>
      </c>
      <c r="F52" s="14">
        <v>46302.673101851848</v>
      </c>
      <c r="G52" s="13" t="s">
        <v>21</v>
      </c>
      <c r="H52" s="13" t="s">
        <v>2708</v>
      </c>
      <c r="I52" s="15">
        <v>340</v>
      </c>
      <c r="J52" s="13" t="s">
        <v>22</v>
      </c>
      <c r="K52" s="13" t="s">
        <v>23</v>
      </c>
      <c r="L52" s="15">
        <v>502</v>
      </c>
      <c r="M52" s="13" t="s">
        <v>2709</v>
      </c>
      <c r="N52" s="14">
        <v>46302.699953703705</v>
      </c>
      <c r="O52" s="15">
        <v>340</v>
      </c>
      <c r="P52" s="13" t="s">
        <v>25</v>
      </c>
      <c r="Q52" s="15">
        <v>40</v>
      </c>
      <c r="R52" s="3" t="str">
        <f>IF(OR(G52="12R",G52="12L"),_xlfn.XLOOKUP(C52,Tabla42[ADEP],Tabla42[SID 12R],""),IF(OR(G52="30L",G52="30R"),_xlfn.XLOOKUP(C52,Tabla42[ADEP],Tabla42[SID 30L],""),""))</f>
        <v>ENEBA</v>
      </c>
      <c r="S52" s="3">
        <f t="shared" si="0"/>
        <v>16</v>
      </c>
      <c r="T52" s="3" t="str">
        <f>_xlfn.XLOOKUP(C52,Tabla42[ADEP],Tabla42[Sector],"")</f>
        <v>Sector 3</v>
      </c>
    </row>
    <row r="53" spans="1:20" x14ac:dyDescent="0.2">
      <c r="A53" s="13" t="s">
        <v>148</v>
      </c>
      <c r="B53" s="13" t="s">
        <v>18</v>
      </c>
      <c r="C53" s="13" t="s">
        <v>42</v>
      </c>
      <c r="D53" s="13" t="s">
        <v>60</v>
      </c>
      <c r="E53" s="13" t="s">
        <v>649</v>
      </c>
      <c r="F53" s="14">
        <v>46302.674155092594</v>
      </c>
      <c r="G53" s="13" t="s">
        <v>21</v>
      </c>
      <c r="H53" s="13" t="s">
        <v>2710</v>
      </c>
      <c r="I53" s="15">
        <v>340</v>
      </c>
      <c r="J53" s="13" t="s">
        <v>22</v>
      </c>
      <c r="K53" s="13" t="s">
        <v>23</v>
      </c>
      <c r="L53" s="15">
        <v>1001</v>
      </c>
      <c r="M53" s="13" t="s">
        <v>2038</v>
      </c>
      <c r="N53" s="14">
        <v>46302.726215277777</v>
      </c>
      <c r="O53" s="15">
        <v>340</v>
      </c>
      <c r="P53" s="13" t="s">
        <v>25</v>
      </c>
      <c r="Q53" s="15">
        <v>190</v>
      </c>
      <c r="R53" s="3" t="str">
        <f>IF(OR(G53="12R",G53="12L"),_xlfn.XLOOKUP(C53,Tabla42[ADEP],Tabla42[SID 12R],""),IF(OR(G53="30L",G53="30R"),_xlfn.XLOOKUP(C53,Tabla42[ADEP],Tabla42[SID 30L],""),""))</f>
        <v>UDGUV</v>
      </c>
      <c r="S53" s="3">
        <f t="shared" si="0"/>
        <v>16</v>
      </c>
      <c r="T53" s="3" t="str">
        <f>_xlfn.XLOOKUP(C53,Tabla42[ADEP],Tabla42[Sector],"")</f>
        <v>Sector 2</v>
      </c>
    </row>
    <row r="54" spans="1:20" x14ac:dyDescent="0.2">
      <c r="A54" s="13" t="s">
        <v>143</v>
      </c>
      <c r="B54" s="13" t="s">
        <v>18</v>
      </c>
      <c r="C54" s="13" t="s">
        <v>32</v>
      </c>
      <c r="D54" s="13" t="s">
        <v>60</v>
      </c>
      <c r="E54" s="13" t="s">
        <v>529</v>
      </c>
      <c r="F54" s="14">
        <v>46302.677824074075</v>
      </c>
      <c r="G54" s="13" t="s">
        <v>21</v>
      </c>
      <c r="H54" s="13" t="s">
        <v>2711</v>
      </c>
      <c r="I54" s="15">
        <v>340</v>
      </c>
      <c r="J54" s="13" t="s">
        <v>22</v>
      </c>
      <c r="K54" s="13" t="s">
        <v>23</v>
      </c>
      <c r="L54" s="15">
        <v>895</v>
      </c>
      <c r="M54" s="13" t="s">
        <v>2712</v>
      </c>
      <c r="N54" s="14">
        <v>46302.725381944445</v>
      </c>
      <c r="O54" s="15">
        <v>340</v>
      </c>
      <c r="P54" s="13" t="s">
        <v>25</v>
      </c>
      <c r="Q54" s="15">
        <v>190</v>
      </c>
      <c r="R54" s="3" t="str">
        <f>IF(OR(G54="12R",G54="12L"),_xlfn.XLOOKUP(C54,Tabla42[ADEP],Tabla42[SID 12R],""),IF(OR(G54="30L",G54="30R"),_xlfn.XLOOKUP(C54,Tabla42[ADEP],Tabla42[SID 30L],""),""))</f>
        <v>UDGUV</v>
      </c>
      <c r="S54" s="3">
        <f t="shared" si="0"/>
        <v>16</v>
      </c>
      <c r="T54" s="3" t="str">
        <f>_xlfn.XLOOKUP(C54,Tabla42[ADEP],Tabla42[Sector],"")</f>
        <v>Sector 2</v>
      </c>
    </row>
    <row r="55" spans="1:20" x14ac:dyDescent="0.2">
      <c r="A55" s="13" t="s">
        <v>163</v>
      </c>
      <c r="B55" s="13" t="s">
        <v>18</v>
      </c>
      <c r="C55" s="13" t="s">
        <v>164</v>
      </c>
      <c r="D55" s="13" t="s">
        <v>43</v>
      </c>
      <c r="E55" s="13" t="s">
        <v>2713</v>
      </c>
      <c r="F55" s="14">
        <v>46302.680474537032</v>
      </c>
      <c r="G55" s="13" t="s">
        <v>21</v>
      </c>
      <c r="H55" s="13" t="s">
        <v>2714</v>
      </c>
      <c r="I55" s="15">
        <v>350</v>
      </c>
      <c r="J55" s="13" t="s">
        <v>22</v>
      </c>
      <c r="K55" s="13" t="s">
        <v>23</v>
      </c>
      <c r="L55" s="15">
        <v>218</v>
      </c>
      <c r="M55" s="13" t="s">
        <v>355</v>
      </c>
      <c r="N55" s="14">
        <v>46302.693657407406</v>
      </c>
      <c r="O55" s="15">
        <v>277</v>
      </c>
      <c r="P55" s="13" t="s">
        <v>25</v>
      </c>
      <c r="Q55" s="15">
        <v>40</v>
      </c>
      <c r="R55" s="3" t="str">
        <f>IF(OR(G55="12R",G55="12L"),_xlfn.XLOOKUP(C55,Tabla42[ADEP],Tabla42[SID 12R],""),IF(OR(G55="30L",G55="30R"),_xlfn.XLOOKUP(C55,Tabla42[ADEP],Tabla42[SID 30L],""),""))</f>
        <v>OMSUK</v>
      </c>
      <c r="S55" s="3">
        <f t="shared" si="0"/>
        <v>16</v>
      </c>
      <c r="T55" s="3" t="str">
        <f>_xlfn.XLOOKUP(C55,Tabla42[ADEP],Tabla42[Sector],"")</f>
        <v>Sector 3</v>
      </c>
    </row>
    <row r="56" spans="1:20" x14ac:dyDescent="0.2">
      <c r="A56" s="13" t="s">
        <v>159</v>
      </c>
      <c r="B56" s="13" t="s">
        <v>18</v>
      </c>
      <c r="C56" s="13" t="s">
        <v>160</v>
      </c>
      <c r="D56" s="13" t="s">
        <v>53</v>
      </c>
      <c r="E56" s="13" t="s">
        <v>516</v>
      </c>
      <c r="F56" s="14">
        <v>46302.681643518517</v>
      </c>
      <c r="G56" s="13" t="s">
        <v>21</v>
      </c>
      <c r="H56" s="13" t="s">
        <v>2715</v>
      </c>
      <c r="I56" s="15">
        <v>380</v>
      </c>
      <c r="J56" s="13" t="s">
        <v>22</v>
      </c>
      <c r="K56" s="13" t="s">
        <v>23</v>
      </c>
      <c r="L56" s="15">
        <v>324</v>
      </c>
      <c r="M56" s="13" t="s">
        <v>2433</v>
      </c>
      <c r="N56" s="14">
        <v>46302.699826388889</v>
      </c>
      <c r="O56" s="15">
        <v>380</v>
      </c>
      <c r="P56" s="13" t="s">
        <v>25</v>
      </c>
      <c r="Q56" s="15">
        <v>190</v>
      </c>
      <c r="R56" s="3" t="str">
        <f>IF(OR(G56="12R",G56="12L"),_xlfn.XLOOKUP(C56,Tabla42[ADEP],Tabla42[SID 12R],""),IF(OR(G56="30L",G56="30R"),_xlfn.XLOOKUP(C56,Tabla42[ADEP],Tabla42[SID 30L],""),""))</f>
        <v>CZM</v>
      </c>
      <c r="S56" s="3">
        <f t="shared" si="0"/>
        <v>16</v>
      </c>
      <c r="T56" s="3" t="str">
        <f>_xlfn.XLOOKUP(C56,Tabla42[ADEP],Tabla42[Sector],"")</f>
        <v>Sector 7</v>
      </c>
    </row>
    <row r="57" spans="1:20" x14ac:dyDescent="0.2">
      <c r="A57" s="13" t="s">
        <v>173</v>
      </c>
      <c r="B57" s="13" t="s">
        <v>18</v>
      </c>
      <c r="C57" s="13" t="s">
        <v>18</v>
      </c>
      <c r="D57" s="13" t="s">
        <v>174</v>
      </c>
      <c r="E57" s="13"/>
      <c r="F57" s="14">
        <v>46302.68472222222</v>
      </c>
      <c r="G57" s="13" t="s">
        <v>21</v>
      </c>
      <c r="H57" s="13" t="s">
        <v>2716</v>
      </c>
      <c r="I57" s="15">
        <v>15</v>
      </c>
      <c r="J57" s="13" t="s">
        <v>130</v>
      </c>
      <c r="K57" s="13" t="s">
        <v>50</v>
      </c>
      <c r="L57" s="15">
        <v>142</v>
      </c>
      <c r="M57" s="13" t="s">
        <v>18</v>
      </c>
      <c r="N57" s="14">
        <v>46302.74590277778</v>
      </c>
      <c r="O57" s="15">
        <v>0</v>
      </c>
      <c r="P57" s="13" t="s">
        <v>129</v>
      </c>
      <c r="Q57" s="15">
        <v>15</v>
      </c>
      <c r="R57" s="3" t="str">
        <f>IF(OR(G57="12R",G57="12L"),_xlfn.XLOOKUP(C57,Tabla42[ADEP],Tabla42[SID 12R],""),IF(OR(G57="30L",G57="30R"),_xlfn.XLOOKUP(C57,Tabla42[ADEP],Tabla42[SID 30L],""),""))</f>
        <v/>
      </c>
      <c r="S57" s="3">
        <f t="shared" si="0"/>
        <v>16</v>
      </c>
      <c r="T57" s="3" t="str">
        <f>_xlfn.XLOOKUP(C57,Tabla42[ADEP],Tabla42[Sector],"")</f>
        <v/>
      </c>
    </row>
    <row r="58" spans="1:20" x14ac:dyDescent="0.2">
      <c r="A58" s="13" t="s">
        <v>156</v>
      </c>
      <c r="B58" s="13" t="s">
        <v>18</v>
      </c>
      <c r="C58" s="13" t="s">
        <v>109</v>
      </c>
      <c r="D58" s="13" t="s">
        <v>28</v>
      </c>
      <c r="E58" s="13" t="s">
        <v>2717</v>
      </c>
      <c r="F58" s="14">
        <v>46302.687962962962</v>
      </c>
      <c r="G58" s="13" t="s">
        <v>21</v>
      </c>
      <c r="H58" s="13" t="s">
        <v>2718</v>
      </c>
      <c r="I58" s="15">
        <v>370</v>
      </c>
      <c r="J58" s="13" t="s">
        <v>22</v>
      </c>
      <c r="K58" s="13" t="s">
        <v>23</v>
      </c>
      <c r="L58" s="15">
        <v>150</v>
      </c>
      <c r="M58" s="13" t="s">
        <v>111</v>
      </c>
      <c r="N58" s="14">
        <v>46302.698599537034</v>
      </c>
      <c r="O58" s="15">
        <v>275</v>
      </c>
      <c r="P58" s="13" t="s">
        <v>25</v>
      </c>
      <c r="Q58" s="15">
        <v>190</v>
      </c>
      <c r="R58" s="3" t="str">
        <f>IF(OR(G58="12R",G58="12L"),_xlfn.XLOOKUP(C58,Tabla42[ADEP],Tabla42[SID 12R],""),IF(OR(G58="30L",G58="30R"),_xlfn.XLOOKUP(C58,Tabla42[ADEP],Tabla42[SID 30L],""),""))</f>
        <v>TAKUX</v>
      </c>
      <c r="S58" s="3">
        <f t="shared" si="0"/>
        <v>16</v>
      </c>
      <c r="T58" s="3" t="str">
        <f>_xlfn.XLOOKUP(C58,Tabla42[ADEP],Tabla42[Sector],"")</f>
        <v>Sector 7</v>
      </c>
    </row>
    <row r="59" spans="1:20" x14ac:dyDescent="0.2">
      <c r="A59" s="13" t="s">
        <v>161</v>
      </c>
      <c r="B59" s="13" t="s">
        <v>18</v>
      </c>
      <c r="C59" s="13" t="s">
        <v>27</v>
      </c>
      <c r="D59" s="13" t="s">
        <v>60</v>
      </c>
      <c r="E59" s="13" t="s">
        <v>2719</v>
      </c>
      <c r="F59" s="14">
        <v>46302.689965277779</v>
      </c>
      <c r="G59" s="13" t="s">
        <v>21</v>
      </c>
      <c r="H59" s="13" t="s">
        <v>2720</v>
      </c>
      <c r="I59" s="15">
        <v>350</v>
      </c>
      <c r="J59" s="13" t="s">
        <v>22</v>
      </c>
      <c r="K59" s="13" t="s">
        <v>23</v>
      </c>
      <c r="L59" s="15">
        <v>353</v>
      </c>
      <c r="M59" s="13" t="s">
        <v>30</v>
      </c>
      <c r="N59" s="14">
        <v>46302.711689814816</v>
      </c>
      <c r="O59" s="15">
        <v>350</v>
      </c>
      <c r="P59" s="13" t="s">
        <v>25</v>
      </c>
      <c r="Q59" s="15">
        <v>40</v>
      </c>
      <c r="R59" s="3" t="str">
        <f>IF(OR(G59="12R",G59="12L"),_xlfn.XLOOKUP(C59,Tabla42[ADEP],Tabla42[SID 12R],""),IF(OR(G59="30L",G59="30R"),_xlfn.XLOOKUP(C59,Tabla42[ADEP],Tabla42[SID 30L],""),""))</f>
        <v>OMSUK</v>
      </c>
      <c r="S59" s="3">
        <f t="shared" si="0"/>
        <v>16</v>
      </c>
      <c r="T59" s="3" t="str">
        <f>_xlfn.XLOOKUP(C59,Tabla42[ADEP],Tabla42[Sector],"")</f>
        <v>Sector 3</v>
      </c>
    </row>
    <row r="60" spans="1:20" x14ac:dyDescent="0.2">
      <c r="A60" s="13" t="s">
        <v>176</v>
      </c>
      <c r="B60" s="13" t="s">
        <v>18</v>
      </c>
      <c r="C60" s="13" t="s">
        <v>19</v>
      </c>
      <c r="D60" s="13" t="s">
        <v>60</v>
      </c>
      <c r="E60" s="13" t="s">
        <v>2648</v>
      </c>
      <c r="F60" s="14">
        <v>46302.691678240742</v>
      </c>
      <c r="G60" s="13" t="s">
        <v>21</v>
      </c>
      <c r="H60" s="13" t="s">
        <v>2721</v>
      </c>
      <c r="I60" s="15">
        <v>340</v>
      </c>
      <c r="J60" s="13" t="s">
        <v>22</v>
      </c>
      <c r="K60" s="13" t="s">
        <v>23</v>
      </c>
      <c r="L60" s="15">
        <v>903</v>
      </c>
      <c r="M60" s="13" t="s">
        <v>2722</v>
      </c>
      <c r="N60" s="14">
        <v>46302.738923611112</v>
      </c>
      <c r="O60" s="15">
        <v>340</v>
      </c>
      <c r="P60" s="13" t="s">
        <v>25</v>
      </c>
      <c r="Q60" s="15">
        <v>190</v>
      </c>
      <c r="R60" s="3" t="str">
        <f>IF(OR(G60="12R",G60="12L"),_xlfn.XLOOKUP(C60,Tabla42[ADEP],Tabla42[SID 12R],""),IF(OR(G60="30L",G60="30R"),_xlfn.XLOOKUP(C60,Tabla42[ADEP],Tabla42[SID 30L],""),""))</f>
        <v>UDGUV</v>
      </c>
      <c r="S60" s="3">
        <f t="shared" si="0"/>
        <v>16</v>
      </c>
      <c r="T60" s="3" t="str">
        <f>_xlfn.XLOOKUP(C60,Tabla42[ADEP],Tabla42[Sector],"")</f>
        <v>Sector 2</v>
      </c>
    </row>
    <row r="61" spans="1:20" x14ac:dyDescent="0.2">
      <c r="A61" s="13" t="s">
        <v>365</v>
      </c>
      <c r="B61" s="13" t="s">
        <v>18</v>
      </c>
      <c r="C61" s="13" t="s">
        <v>96</v>
      </c>
      <c r="D61" s="13" t="s">
        <v>33</v>
      </c>
      <c r="E61" s="13" t="s">
        <v>2408</v>
      </c>
      <c r="F61" s="14">
        <v>46302.696597222224</v>
      </c>
      <c r="G61" s="13" t="s">
        <v>21</v>
      </c>
      <c r="H61" s="13" t="s">
        <v>2723</v>
      </c>
      <c r="I61" s="15">
        <v>380</v>
      </c>
      <c r="J61" s="13" t="s">
        <v>22</v>
      </c>
      <c r="K61" s="13" t="s">
        <v>141</v>
      </c>
      <c r="L61" s="15">
        <v>891</v>
      </c>
      <c r="M61" s="13" t="s">
        <v>2724</v>
      </c>
      <c r="N61" s="14">
        <v>46302.744201388894</v>
      </c>
      <c r="O61" s="15">
        <v>380</v>
      </c>
      <c r="P61" s="13" t="s">
        <v>25</v>
      </c>
      <c r="Q61" s="15">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13" t="s">
        <v>180</v>
      </c>
      <c r="B62" s="13" t="s">
        <v>18</v>
      </c>
      <c r="C62" s="13" t="s">
        <v>133</v>
      </c>
      <c r="D62" s="13" t="s">
        <v>60</v>
      </c>
      <c r="E62" s="13" t="s">
        <v>2144</v>
      </c>
      <c r="F62" s="14">
        <v>46302.698437500003</v>
      </c>
      <c r="G62" s="13" t="s">
        <v>21</v>
      </c>
      <c r="H62" s="13" t="s">
        <v>2725</v>
      </c>
      <c r="I62" s="15">
        <v>350</v>
      </c>
      <c r="J62" s="13" t="s">
        <v>22</v>
      </c>
      <c r="K62" s="13" t="s">
        <v>23</v>
      </c>
      <c r="L62" s="15">
        <v>352</v>
      </c>
      <c r="M62" s="13" t="s">
        <v>30</v>
      </c>
      <c r="N62" s="14">
        <v>46302.719224537039</v>
      </c>
      <c r="O62" s="15">
        <v>350</v>
      </c>
      <c r="P62" s="13" t="s">
        <v>25</v>
      </c>
      <c r="Q62" s="15">
        <v>40</v>
      </c>
      <c r="R62" s="3" t="str">
        <f>IF(OR(G62="12R",G62="12L"),_xlfn.XLOOKUP(C62,Tabla42[ADEP],Tabla42[SID 12R],""),IF(OR(G62="30L",G62="30R"),_xlfn.XLOOKUP(C62,Tabla42[ADEP],Tabla42[SID 30L],""),""))</f>
        <v>OMSUK</v>
      </c>
      <c r="S62" s="3">
        <f t="shared" si="0"/>
        <v>16</v>
      </c>
      <c r="T62" s="3" t="str">
        <f>_xlfn.XLOOKUP(C62,Tabla42[ADEP],Tabla42[Sector],"")</f>
        <v>Sector 3</v>
      </c>
    </row>
    <row r="63" spans="1:20" x14ac:dyDescent="0.2">
      <c r="A63" s="13" t="s">
        <v>171</v>
      </c>
      <c r="B63" s="13" t="s">
        <v>18</v>
      </c>
      <c r="C63" s="13" t="s">
        <v>2726</v>
      </c>
      <c r="D63" s="13" t="s">
        <v>172</v>
      </c>
      <c r="E63" s="13"/>
      <c r="F63" s="14">
        <v>46302.700891203705</v>
      </c>
      <c r="G63" s="13" t="s">
        <v>21</v>
      </c>
      <c r="H63" s="13" t="s">
        <v>155</v>
      </c>
      <c r="I63" s="15">
        <v>15</v>
      </c>
      <c r="J63" s="13" t="s">
        <v>130</v>
      </c>
      <c r="K63" s="13" t="s">
        <v>50</v>
      </c>
      <c r="L63" s="15">
        <v>74</v>
      </c>
      <c r="M63" s="13" t="s">
        <v>2726</v>
      </c>
      <c r="N63" s="14">
        <v>46302.717361111107</v>
      </c>
      <c r="O63" s="15">
        <v>0</v>
      </c>
      <c r="P63" s="13" t="s">
        <v>129</v>
      </c>
      <c r="Q63" s="15">
        <v>15</v>
      </c>
      <c r="R63" s="3" t="str">
        <f>IF(OR(G63="12R",G63="12L"),_xlfn.XLOOKUP(C63,Tabla42[ADEP],Tabla42[SID 12R],""),IF(OR(G63="30L",G63="30R"),_xlfn.XLOOKUP(C63,Tabla42[ADEP],Tabla42[SID 30L],""),""))</f>
        <v/>
      </c>
      <c r="S63" s="3">
        <f t="shared" si="0"/>
        <v>16</v>
      </c>
      <c r="T63" s="3" t="str">
        <f>_xlfn.XLOOKUP(C63,Tabla42[ADEP],Tabla42[Sector],"")</f>
        <v/>
      </c>
    </row>
    <row r="64" spans="1:20" x14ac:dyDescent="0.2">
      <c r="A64" s="13" t="s">
        <v>181</v>
      </c>
      <c r="B64" s="13" t="s">
        <v>18</v>
      </c>
      <c r="C64" s="13" t="s">
        <v>42</v>
      </c>
      <c r="D64" s="13" t="s">
        <v>43</v>
      </c>
      <c r="E64" s="13" t="s">
        <v>2727</v>
      </c>
      <c r="F64" s="14">
        <v>46302.702997685185</v>
      </c>
      <c r="G64" s="13" t="s">
        <v>21</v>
      </c>
      <c r="H64" s="13" t="s">
        <v>2728</v>
      </c>
      <c r="I64" s="15">
        <v>360</v>
      </c>
      <c r="J64" s="13" t="s">
        <v>22</v>
      </c>
      <c r="K64" s="13" t="s">
        <v>23</v>
      </c>
      <c r="L64" s="15">
        <v>991</v>
      </c>
      <c r="M64" s="13" t="s">
        <v>2040</v>
      </c>
      <c r="N64" s="14">
        <v>46302.755300925928</v>
      </c>
      <c r="O64" s="15">
        <v>360</v>
      </c>
      <c r="P64" s="13" t="s">
        <v>25</v>
      </c>
      <c r="Q64" s="15">
        <v>190</v>
      </c>
      <c r="R64" s="3" t="str">
        <f>IF(OR(G64="12R",G64="12L"),_xlfn.XLOOKUP(C64,Tabla42[ADEP],Tabla42[SID 12R],""),IF(OR(G64="30L",G64="30R"),_xlfn.XLOOKUP(C64,Tabla42[ADEP],Tabla42[SID 30L],""),""))</f>
        <v>UDGUV</v>
      </c>
      <c r="S64" s="3">
        <f t="shared" si="0"/>
        <v>16</v>
      </c>
      <c r="T64" s="3" t="str">
        <f>_xlfn.XLOOKUP(C64,Tabla42[ADEP],Tabla42[Sector],"")</f>
        <v>Sector 2</v>
      </c>
    </row>
    <row r="65" spans="1:20" x14ac:dyDescent="0.2">
      <c r="A65" s="13" t="s">
        <v>178</v>
      </c>
      <c r="B65" s="13" t="s">
        <v>18</v>
      </c>
      <c r="C65" s="13" t="s">
        <v>179</v>
      </c>
      <c r="D65" s="13" t="s">
        <v>53</v>
      </c>
      <c r="E65" s="13" t="s">
        <v>106</v>
      </c>
      <c r="F65" s="14">
        <v>46302.707835648151</v>
      </c>
      <c r="G65" s="13" t="s">
        <v>21</v>
      </c>
      <c r="H65" s="13" t="s">
        <v>2729</v>
      </c>
      <c r="I65" s="15">
        <v>380</v>
      </c>
      <c r="J65" s="13" t="s">
        <v>22</v>
      </c>
      <c r="K65" s="13" t="s">
        <v>23</v>
      </c>
      <c r="L65" s="15">
        <v>828</v>
      </c>
      <c r="M65" s="13" t="s">
        <v>179</v>
      </c>
      <c r="N65" s="14">
        <v>46302.755115740743</v>
      </c>
      <c r="O65" s="15">
        <v>15</v>
      </c>
      <c r="P65" s="13" t="s">
        <v>25</v>
      </c>
      <c r="Q65" s="15">
        <v>190</v>
      </c>
      <c r="R65" s="3" t="str">
        <f>IF(OR(G65="12R",G65="12L"),_xlfn.XLOOKUP(C65,Tabla42[ADEP],Tabla42[SID 12R],""),IF(OR(G65="30L",G65="30R"),_xlfn.XLOOKUP(C65,Tabla42[ADEP],Tabla42[SID 30L],""),""))</f>
        <v>UDGUV</v>
      </c>
      <c r="S65" s="3">
        <f t="shared" si="0"/>
        <v>16</v>
      </c>
      <c r="T65" s="3" t="str">
        <f>_xlfn.XLOOKUP(C65,Tabla42[ADEP],Tabla42[Sector],"")</f>
        <v>Sector 2</v>
      </c>
    </row>
    <row r="66" spans="1:20" x14ac:dyDescent="0.2">
      <c r="A66" s="13" t="s">
        <v>177</v>
      </c>
      <c r="B66" s="13" t="s">
        <v>18</v>
      </c>
      <c r="C66" s="13" t="s">
        <v>109</v>
      </c>
      <c r="D66" s="13" t="s">
        <v>28</v>
      </c>
      <c r="E66" s="13" t="s">
        <v>989</v>
      </c>
      <c r="F66" s="14">
        <v>46302.709224537037</v>
      </c>
      <c r="G66" s="13" t="s">
        <v>21</v>
      </c>
      <c r="H66" s="13" t="s">
        <v>2297</v>
      </c>
      <c r="I66" s="15">
        <v>370</v>
      </c>
      <c r="J66" s="13" t="s">
        <v>22</v>
      </c>
      <c r="K66" s="13" t="s">
        <v>23</v>
      </c>
      <c r="L66" s="15">
        <v>153</v>
      </c>
      <c r="M66" s="13" t="s">
        <v>111</v>
      </c>
      <c r="N66" s="14">
        <v>46302.720266203702</v>
      </c>
      <c r="O66" s="15">
        <v>276</v>
      </c>
      <c r="P66" s="13" t="s">
        <v>25</v>
      </c>
      <c r="Q66" s="15">
        <v>190</v>
      </c>
      <c r="R66" s="3" t="str">
        <f>IF(OR(G66="12R",G66="12L"),_xlfn.XLOOKUP(C66,Tabla42[ADEP],Tabla42[SID 12R],""),IF(OR(G66="30L",G66="30R"),_xlfn.XLOOKUP(C66,Tabla42[ADEP],Tabla42[SID 30L],""),""))</f>
        <v>TAKUX</v>
      </c>
      <c r="S66" s="3">
        <f t="shared" si="0"/>
        <v>17</v>
      </c>
      <c r="T66" s="3" t="str">
        <f>_xlfn.XLOOKUP(C66,Tabla42[ADEP],Tabla42[Sector],"")</f>
        <v>Sector 7</v>
      </c>
    </row>
    <row r="67" spans="1:20" x14ac:dyDescent="0.2">
      <c r="A67" s="13" t="s">
        <v>186</v>
      </c>
      <c r="B67" s="13" t="s">
        <v>18</v>
      </c>
      <c r="C67" s="13" t="s">
        <v>121</v>
      </c>
      <c r="D67" s="13" t="s">
        <v>60</v>
      </c>
      <c r="E67" s="13" t="s">
        <v>1394</v>
      </c>
      <c r="F67" s="14">
        <v>46302.7109375</v>
      </c>
      <c r="G67" s="13" t="s">
        <v>21</v>
      </c>
      <c r="H67" s="13" t="s">
        <v>2730</v>
      </c>
      <c r="I67" s="15">
        <v>340</v>
      </c>
      <c r="J67" s="13" t="s">
        <v>22</v>
      </c>
      <c r="K67" s="13" t="s">
        <v>23</v>
      </c>
      <c r="L67" s="15">
        <v>479</v>
      </c>
      <c r="M67" s="13" t="s">
        <v>2731</v>
      </c>
      <c r="N67" s="14">
        <v>46302.736817129626</v>
      </c>
      <c r="O67" s="15">
        <v>320</v>
      </c>
      <c r="P67" s="13" t="s">
        <v>25</v>
      </c>
      <c r="Q67" s="15">
        <v>40</v>
      </c>
      <c r="R67" s="3" t="str">
        <f>IF(OR(G67="12R",G67="12L"),_xlfn.XLOOKUP(C67,Tabla42[ADEP],Tabla42[SID 12R],""),IF(OR(G67="30L",G67="30R"),_xlfn.XLOOKUP(C67,Tabla42[ADEP],Tabla42[SID 30L],""),""))</f>
        <v>ENEBA</v>
      </c>
      <c r="S67" s="3">
        <f t="shared" ref="S67:S130" si="1">HOUR(F67)</f>
        <v>17</v>
      </c>
      <c r="T67" s="3" t="str">
        <f>_xlfn.XLOOKUP(C67,Tabla42[ADEP],Tabla42[Sector],"")</f>
        <v>Sector 3</v>
      </c>
    </row>
    <row r="68" spans="1:20" x14ac:dyDescent="0.2">
      <c r="A68" s="13" t="s">
        <v>378</v>
      </c>
      <c r="B68" s="13" t="s">
        <v>18</v>
      </c>
      <c r="C68" s="13" t="s">
        <v>62</v>
      </c>
      <c r="D68" s="13" t="s">
        <v>53</v>
      </c>
      <c r="E68" s="13" t="s">
        <v>357</v>
      </c>
      <c r="F68" s="14">
        <v>46302.713749999995</v>
      </c>
      <c r="G68" s="13" t="s">
        <v>21</v>
      </c>
      <c r="H68" s="13" t="s">
        <v>2732</v>
      </c>
      <c r="I68" s="15">
        <v>380</v>
      </c>
      <c r="J68" s="13" t="s">
        <v>22</v>
      </c>
      <c r="K68" s="13" t="s">
        <v>23</v>
      </c>
      <c r="L68" s="15">
        <v>865</v>
      </c>
      <c r="M68" s="13" t="s">
        <v>167</v>
      </c>
      <c r="N68" s="14">
        <v>46302.761111111111</v>
      </c>
      <c r="O68" s="15">
        <v>380</v>
      </c>
      <c r="P68" s="13" t="s">
        <v>25</v>
      </c>
      <c r="Q68" s="15">
        <v>190</v>
      </c>
      <c r="R68" s="3" t="str">
        <f>IF(OR(G68="12R",G68="12L"),_xlfn.XLOOKUP(C68,Tabla42[ADEP],Tabla42[SID 12R],""),IF(OR(G68="30L",G68="30R"),_xlfn.XLOOKUP(C68,Tabla42[ADEP],Tabla42[SID 30L],""),""))</f>
        <v>UDGUV</v>
      </c>
      <c r="S68" s="3">
        <f t="shared" si="1"/>
        <v>17</v>
      </c>
      <c r="T68" s="3" t="str">
        <f>_xlfn.XLOOKUP(C68,Tabla42[ADEP],Tabla42[Sector],"")</f>
        <v>Sector 2</v>
      </c>
    </row>
    <row r="69" spans="1:20" x14ac:dyDescent="0.2">
      <c r="A69" s="13" t="s">
        <v>187</v>
      </c>
      <c r="B69" s="13" t="s">
        <v>18</v>
      </c>
      <c r="C69" s="13" t="s">
        <v>188</v>
      </c>
      <c r="D69" s="13" t="s">
        <v>117</v>
      </c>
      <c r="E69" s="13" t="s">
        <v>2733</v>
      </c>
      <c r="F69" s="14">
        <v>46302.720138888893</v>
      </c>
      <c r="G69" s="13" t="s">
        <v>21</v>
      </c>
      <c r="H69" s="13" t="s">
        <v>2734</v>
      </c>
      <c r="I69" s="15">
        <v>330</v>
      </c>
      <c r="J69" s="13" t="s">
        <v>22</v>
      </c>
      <c r="K69" s="13" t="s">
        <v>23</v>
      </c>
      <c r="L69" s="15">
        <v>360</v>
      </c>
      <c r="M69" s="13" t="s">
        <v>30</v>
      </c>
      <c r="N69" s="14">
        <v>46302.739363425921</v>
      </c>
      <c r="O69" s="15">
        <v>350</v>
      </c>
      <c r="P69" s="13" t="s">
        <v>25</v>
      </c>
      <c r="Q69" s="15">
        <v>40</v>
      </c>
      <c r="R69" s="3" t="str">
        <f>IF(OR(G69="12R",G69="12L"),_xlfn.XLOOKUP(C69,Tabla42[ADEP],Tabla42[SID 12R],""),IF(OR(G69="30L",G69="30R"),_xlfn.XLOOKUP(C69,Tabla42[ADEP],Tabla42[SID 30L],""),""))</f>
        <v>ENEBA</v>
      </c>
      <c r="S69" s="3">
        <f t="shared" si="1"/>
        <v>17</v>
      </c>
      <c r="T69" s="3" t="str">
        <f>_xlfn.XLOOKUP(C69,Tabla42[ADEP],Tabla42[Sector],"")</f>
        <v>Sector 3</v>
      </c>
    </row>
    <row r="70" spans="1:20" x14ac:dyDescent="0.2">
      <c r="A70" s="13" t="s">
        <v>183</v>
      </c>
      <c r="B70" s="13" t="s">
        <v>18</v>
      </c>
      <c r="C70" s="13" t="s">
        <v>184</v>
      </c>
      <c r="D70" s="13" t="s">
        <v>60</v>
      </c>
      <c r="E70" s="13" t="s">
        <v>2735</v>
      </c>
      <c r="F70" s="14">
        <v>46302.722754629634</v>
      </c>
      <c r="G70" s="13" t="s">
        <v>21</v>
      </c>
      <c r="H70" s="13" t="s">
        <v>2736</v>
      </c>
      <c r="I70" s="15">
        <v>330</v>
      </c>
      <c r="J70" s="13" t="s">
        <v>22</v>
      </c>
      <c r="K70" s="13" t="s">
        <v>23</v>
      </c>
      <c r="L70" s="15">
        <v>360</v>
      </c>
      <c r="M70" s="13" t="s">
        <v>30</v>
      </c>
      <c r="N70" s="14">
        <v>46302.743078703701</v>
      </c>
      <c r="O70" s="15">
        <v>310</v>
      </c>
      <c r="P70" s="13" t="s">
        <v>25</v>
      </c>
      <c r="Q70" s="15">
        <v>40</v>
      </c>
      <c r="R70" s="3" t="str">
        <f>IF(OR(G70="12R",G70="12L"),_xlfn.XLOOKUP(C70,Tabla42[ADEP],Tabla42[SID 12R],""),IF(OR(G70="30L",G70="30R"),_xlfn.XLOOKUP(C70,Tabla42[ADEP],Tabla42[SID 30L],""),""))</f>
        <v>OMSUK</v>
      </c>
      <c r="S70" s="3">
        <f t="shared" si="1"/>
        <v>17</v>
      </c>
      <c r="T70" s="3" t="str">
        <f>_xlfn.XLOOKUP(C70,Tabla42[ADEP],Tabla42[Sector],"")</f>
        <v>Sector 3</v>
      </c>
    </row>
    <row r="71" spans="1:20" x14ac:dyDescent="0.2">
      <c r="A71" s="13" t="s">
        <v>152</v>
      </c>
      <c r="B71" s="13" t="s">
        <v>18</v>
      </c>
      <c r="C71" s="13" t="s">
        <v>153</v>
      </c>
      <c r="D71" s="13" t="s">
        <v>33</v>
      </c>
      <c r="E71" s="13" t="s">
        <v>147</v>
      </c>
      <c r="F71" s="14">
        <v>46302.725717592592</v>
      </c>
      <c r="G71" s="13" t="s">
        <v>21</v>
      </c>
      <c r="H71" s="13" t="s">
        <v>2737</v>
      </c>
      <c r="I71" s="15">
        <v>360</v>
      </c>
      <c r="J71" s="13" t="s">
        <v>22</v>
      </c>
      <c r="K71" s="13" t="s">
        <v>23</v>
      </c>
      <c r="L71" s="15">
        <v>887</v>
      </c>
      <c r="M71" s="13" t="s">
        <v>540</v>
      </c>
      <c r="N71" s="14">
        <v>46302.772928240738</v>
      </c>
      <c r="O71" s="15">
        <v>360</v>
      </c>
      <c r="P71" s="13" t="s">
        <v>25</v>
      </c>
      <c r="Q71" s="15">
        <v>190</v>
      </c>
      <c r="R71" s="3" t="str">
        <f>IF(OR(G71="12R",G71="12L"),_xlfn.XLOOKUP(C71,Tabla42[ADEP],Tabla42[SID 12R],""),IF(OR(G71="30L",G71="30R"),_xlfn.XLOOKUP(C71,Tabla42[ADEP],Tabla42[SID 30L],""),""))</f>
        <v>UDGUV</v>
      </c>
      <c r="S71" s="3">
        <f t="shared" si="1"/>
        <v>17</v>
      </c>
      <c r="T71" s="3" t="str">
        <f>_xlfn.XLOOKUP(C71,Tabla42[ADEP],Tabla42[Sector],"")</f>
        <v>Sector 2</v>
      </c>
    </row>
    <row r="72" spans="1:20" x14ac:dyDescent="0.2">
      <c r="A72" s="13" t="s">
        <v>192</v>
      </c>
      <c r="B72" s="13" t="s">
        <v>18</v>
      </c>
      <c r="C72" s="13" t="s">
        <v>193</v>
      </c>
      <c r="D72" s="13" t="s">
        <v>60</v>
      </c>
      <c r="E72" s="13" t="s">
        <v>2738</v>
      </c>
      <c r="F72" s="14">
        <v>46302.733854166669</v>
      </c>
      <c r="G72" s="13" t="s">
        <v>21</v>
      </c>
      <c r="H72" s="13" t="s">
        <v>2739</v>
      </c>
      <c r="I72" s="15">
        <v>330</v>
      </c>
      <c r="J72" s="13" t="s">
        <v>22</v>
      </c>
      <c r="K72" s="13" t="s">
        <v>23</v>
      </c>
      <c r="L72" s="15">
        <v>360</v>
      </c>
      <c r="M72" s="13" t="s">
        <v>30</v>
      </c>
      <c r="N72" s="14">
        <v>46302.754305555558</v>
      </c>
      <c r="O72" s="15">
        <v>330</v>
      </c>
      <c r="P72" s="13" t="s">
        <v>25</v>
      </c>
      <c r="Q72" s="15">
        <v>40</v>
      </c>
      <c r="R72" s="3" t="str">
        <f>IF(OR(G72="12R",G72="12L"),_xlfn.XLOOKUP(C72,Tabla42[ADEP],Tabla42[SID 12R],""),IF(OR(G72="30L",G72="30R"),_xlfn.XLOOKUP(C72,Tabla42[ADEP],Tabla42[SID 30L],""),""))</f>
        <v>ENEBA</v>
      </c>
      <c r="S72" s="3">
        <f t="shared" si="1"/>
        <v>17</v>
      </c>
      <c r="T72" s="3" t="str">
        <f>_xlfn.XLOOKUP(C72,Tabla42[ADEP],Tabla42[Sector],"")</f>
        <v>Sector 3</v>
      </c>
    </row>
    <row r="73" spans="1:20" x14ac:dyDescent="0.2">
      <c r="A73" s="13" t="s">
        <v>214</v>
      </c>
      <c r="B73" s="13" t="s">
        <v>18</v>
      </c>
      <c r="C73" s="13" t="s">
        <v>215</v>
      </c>
      <c r="D73" s="13" t="s">
        <v>60</v>
      </c>
      <c r="E73" s="13" t="s">
        <v>2740</v>
      </c>
      <c r="F73" s="14">
        <v>46302.735520833332</v>
      </c>
      <c r="G73" s="13" t="s">
        <v>21</v>
      </c>
      <c r="H73" s="13" t="s">
        <v>2741</v>
      </c>
      <c r="I73" s="15">
        <v>340</v>
      </c>
      <c r="J73" s="13" t="s">
        <v>22</v>
      </c>
      <c r="K73" s="13" t="s">
        <v>23</v>
      </c>
      <c r="L73" s="15">
        <v>383</v>
      </c>
      <c r="M73" s="13" t="s">
        <v>250</v>
      </c>
      <c r="N73" s="14">
        <v>46302.757569444446</v>
      </c>
      <c r="O73" s="15">
        <v>340</v>
      </c>
      <c r="P73" s="13" t="s">
        <v>25</v>
      </c>
      <c r="Q73" s="15">
        <v>40</v>
      </c>
      <c r="R73" s="3" t="str">
        <f>IF(OR(G73="12R",G73="12L"),_xlfn.XLOOKUP(C73,Tabla42[ADEP],Tabla42[SID 12R],""),IF(OR(G73="30L",G73="30R"),_xlfn.XLOOKUP(C73,Tabla42[ADEP],Tabla42[SID 30L],""),""))</f>
        <v>OMSUK</v>
      </c>
      <c r="S73" s="3">
        <f t="shared" si="1"/>
        <v>17</v>
      </c>
      <c r="T73" s="3" t="str">
        <f>_xlfn.XLOOKUP(C73,Tabla42[ADEP],Tabla42[Sector],"")</f>
        <v>Sector 3</v>
      </c>
    </row>
    <row r="74" spans="1:20" x14ac:dyDescent="0.2">
      <c r="A74" s="13" t="s">
        <v>244</v>
      </c>
      <c r="B74" s="13" t="s">
        <v>18</v>
      </c>
      <c r="C74" s="13" t="s">
        <v>126</v>
      </c>
      <c r="D74" s="13" t="s">
        <v>60</v>
      </c>
      <c r="E74" s="13" t="s">
        <v>966</v>
      </c>
      <c r="F74" s="14">
        <v>46302.737002314811</v>
      </c>
      <c r="G74" s="13" t="s">
        <v>21</v>
      </c>
      <c r="H74" s="13" t="s">
        <v>2742</v>
      </c>
      <c r="I74" s="15">
        <v>360</v>
      </c>
      <c r="J74" s="13" t="s">
        <v>22</v>
      </c>
      <c r="K74" s="13" t="s">
        <v>23</v>
      </c>
      <c r="L74" s="15">
        <v>447</v>
      </c>
      <c r="M74" s="13" t="s">
        <v>189</v>
      </c>
      <c r="N74" s="14">
        <v>46302.762557870374</v>
      </c>
      <c r="O74" s="15">
        <v>360</v>
      </c>
      <c r="P74" s="13" t="s">
        <v>25</v>
      </c>
      <c r="Q74" s="15">
        <v>40</v>
      </c>
      <c r="R74" s="3" t="str">
        <f>IF(OR(G74="12R",G74="12L"),_xlfn.XLOOKUP(C74,Tabla42[ADEP],Tabla42[SID 12R],""),IF(OR(G74="30L",G74="30R"),_xlfn.XLOOKUP(C74,Tabla42[ADEP],Tabla42[SID 30L],""),""))</f>
        <v>ENEBA</v>
      </c>
      <c r="S74" s="3">
        <f t="shared" si="1"/>
        <v>17</v>
      </c>
      <c r="T74" s="3" t="str">
        <f>_xlfn.XLOOKUP(C74,Tabla42[ADEP],Tabla42[Sector],"")</f>
        <v>Sector 3</v>
      </c>
    </row>
    <row r="75" spans="1:20" x14ac:dyDescent="0.2">
      <c r="A75" s="13" t="s">
        <v>2743</v>
      </c>
      <c r="B75" s="13" t="s">
        <v>18</v>
      </c>
      <c r="C75" s="13" t="s">
        <v>197</v>
      </c>
      <c r="D75" s="13" t="s">
        <v>2744</v>
      </c>
      <c r="E75" s="13"/>
      <c r="F75" s="14">
        <v>46302.74491898148</v>
      </c>
      <c r="G75" s="13" t="s">
        <v>21</v>
      </c>
      <c r="H75" s="13" t="s">
        <v>2745</v>
      </c>
      <c r="I75" s="15">
        <v>240</v>
      </c>
      <c r="J75" s="13" t="s">
        <v>22</v>
      </c>
      <c r="K75" s="13" t="s">
        <v>50</v>
      </c>
      <c r="L75" s="15">
        <v>874</v>
      </c>
      <c r="M75" s="13" t="s">
        <v>167</v>
      </c>
      <c r="N75" s="14">
        <v>46302.825497685189</v>
      </c>
      <c r="O75" s="15">
        <v>240</v>
      </c>
      <c r="P75" s="13" t="s">
        <v>129</v>
      </c>
      <c r="Q75" s="15">
        <v>30</v>
      </c>
      <c r="R75" s="3" t="str">
        <f>IF(OR(G75="12R",G75="12L"),_xlfn.XLOOKUP(C75,Tabla42[ADEP],Tabla42[SID 12R],""),IF(OR(G75="30L",G75="30R"),_xlfn.XLOOKUP(C75,Tabla42[ADEP],Tabla42[SID 30L],""),""))</f>
        <v>UDGUV</v>
      </c>
      <c r="S75" s="3">
        <f t="shared" si="1"/>
        <v>17</v>
      </c>
      <c r="T75" s="3" t="str">
        <f>_xlfn.XLOOKUP(C75,Tabla42[ADEP],Tabla42[Sector],"")</f>
        <v>Sector 2</v>
      </c>
    </row>
    <row r="76" spans="1:20" x14ac:dyDescent="0.2">
      <c r="A76" s="13" t="s">
        <v>373</v>
      </c>
      <c r="B76" s="13" t="s">
        <v>18</v>
      </c>
      <c r="C76" s="13" t="s">
        <v>32</v>
      </c>
      <c r="D76" s="13" t="s">
        <v>20</v>
      </c>
      <c r="E76" s="13" t="s">
        <v>316</v>
      </c>
      <c r="F76" s="14">
        <v>46302.749710648146</v>
      </c>
      <c r="G76" s="13" t="s">
        <v>21</v>
      </c>
      <c r="H76" s="13" t="s">
        <v>2746</v>
      </c>
      <c r="I76" s="15">
        <v>360</v>
      </c>
      <c r="J76" s="13" t="s">
        <v>22</v>
      </c>
      <c r="K76" s="13" t="s">
        <v>141</v>
      </c>
      <c r="L76" s="15">
        <v>898</v>
      </c>
      <c r="M76" s="13" t="s">
        <v>2712</v>
      </c>
      <c r="N76" s="14">
        <v>46302.798020833332</v>
      </c>
      <c r="O76" s="15">
        <v>360</v>
      </c>
      <c r="P76" s="13" t="s">
        <v>25</v>
      </c>
      <c r="Q76" s="15">
        <v>190</v>
      </c>
      <c r="R76" s="3" t="str">
        <f>IF(OR(G76="12R",G76="12L"),_xlfn.XLOOKUP(C76,Tabla42[ADEP],Tabla42[SID 12R],""),IF(OR(G76="30L",G76="30R"),_xlfn.XLOOKUP(C76,Tabla42[ADEP],Tabla42[SID 30L],""),""))</f>
        <v>UDGUV</v>
      </c>
      <c r="S76" s="3">
        <f t="shared" si="1"/>
        <v>17</v>
      </c>
      <c r="T76" s="3" t="str">
        <f>_xlfn.XLOOKUP(C76,Tabla42[ADEP],Tabla42[Sector],"")</f>
        <v>Sector 2</v>
      </c>
    </row>
    <row r="77" spans="1:20" x14ac:dyDescent="0.2">
      <c r="A77" s="13" t="s">
        <v>2157</v>
      </c>
      <c r="B77" s="13" t="s">
        <v>18</v>
      </c>
      <c r="C77" s="13" t="s">
        <v>188</v>
      </c>
      <c r="D77" s="13" t="s">
        <v>60</v>
      </c>
      <c r="E77" s="13" t="s">
        <v>1249</v>
      </c>
      <c r="F77" s="14">
        <v>46302.75409722222</v>
      </c>
      <c r="G77" s="13" t="s">
        <v>21</v>
      </c>
      <c r="H77" s="13" t="s">
        <v>2747</v>
      </c>
      <c r="I77" s="15">
        <v>360</v>
      </c>
      <c r="J77" s="13" t="s">
        <v>22</v>
      </c>
      <c r="K77" s="13" t="s">
        <v>23</v>
      </c>
      <c r="L77" s="15">
        <v>474</v>
      </c>
      <c r="M77" s="13" t="s">
        <v>2748</v>
      </c>
      <c r="N77" s="14">
        <v>46302.779097222221</v>
      </c>
      <c r="O77" s="15">
        <v>360</v>
      </c>
      <c r="P77" s="13" t="s">
        <v>25</v>
      </c>
      <c r="Q77" s="15">
        <v>40</v>
      </c>
      <c r="R77" s="3" t="str">
        <f>IF(OR(G77="12R",G77="12L"),_xlfn.XLOOKUP(C77,Tabla42[ADEP],Tabla42[SID 12R],""),IF(OR(G77="30L",G77="30R"),_xlfn.XLOOKUP(C77,Tabla42[ADEP],Tabla42[SID 30L],""),""))</f>
        <v>ENEBA</v>
      </c>
      <c r="S77" s="3">
        <f t="shared" si="1"/>
        <v>18</v>
      </c>
      <c r="T77" s="3" t="str">
        <f>_xlfn.XLOOKUP(C77,Tabla42[ADEP],Tabla42[Sector],"")</f>
        <v>Sector 3</v>
      </c>
    </row>
    <row r="78" spans="1:20" x14ac:dyDescent="0.2">
      <c r="A78" s="13" t="s">
        <v>597</v>
      </c>
      <c r="B78" s="13" t="s">
        <v>18</v>
      </c>
      <c r="C78" s="13" t="s">
        <v>598</v>
      </c>
      <c r="D78" s="13" t="s">
        <v>28</v>
      </c>
      <c r="E78" s="13" t="s">
        <v>2749</v>
      </c>
      <c r="F78" s="14">
        <v>46302.755486111113</v>
      </c>
      <c r="G78" s="13" t="s">
        <v>21</v>
      </c>
      <c r="H78" s="13" t="s">
        <v>2750</v>
      </c>
      <c r="I78" s="15">
        <v>340</v>
      </c>
      <c r="J78" s="13" t="s">
        <v>22</v>
      </c>
      <c r="K78" s="13" t="s">
        <v>23</v>
      </c>
      <c r="L78" s="15">
        <v>474</v>
      </c>
      <c r="M78" s="13" t="s">
        <v>2751</v>
      </c>
      <c r="N78" s="14">
        <v>46302.78230324074</v>
      </c>
      <c r="O78" s="15">
        <v>380</v>
      </c>
      <c r="P78" s="13" t="s">
        <v>25</v>
      </c>
      <c r="Q78" s="15">
        <v>40</v>
      </c>
      <c r="R78" s="3" t="str">
        <f>IF(OR(G78="12R",G78="12L"),_xlfn.XLOOKUP(C78,Tabla42[ADEP],Tabla42[SID 12R],""),IF(OR(G78="30L",G78="30R"),_xlfn.XLOOKUP(C78,Tabla42[ADEP],Tabla42[SID 30L],""),""))</f>
        <v>OMSUK</v>
      </c>
      <c r="S78" s="3">
        <f t="shared" si="1"/>
        <v>18</v>
      </c>
      <c r="T78" s="3" t="str">
        <f>_xlfn.XLOOKUP(C78,Tabla42[ADEP],Tabla42[Sector],"")</f>
        <v>Sector 3</v>
      </c>
    </row>
    <row r="79" spans="1:20" x14ac:dyDescent="0.2">
      <c r="A79" s="13" t="s">
        <v>216</v>
      </c>
      <c r="B79" s="13" t="s">
        <v>18</v>
      </c>
      <c r="C79" s="13" t="s">
        <v>32</v>
      </c>
      <c r="D79" s="13" t="s">
        <v>20</v>
      </c>
      <c r="E79" s="13" t="s">
        <v>57</v>
      </c>
      <c r="F79" s="14">
        <v>46302.756516203706</v>
      </c>
      <c r="G79" s="13" t="s">
        <v>21</v>
      </c>
      <c r="H79" s="13" t="s">
        <v>2752</v>
      </c>
      <c r="I79" s="15">
        <v>360</v>
      </c>
      <c r="J79" s="13" t="s">
        <v>22</v>
      </c>
      <c r="K79" s="13" t="s">
        <v>23</v>
      </c>
      <c r="L79" s="15">
        <v>889</v>
      </c>
      <c r="M79" s="13" t="s">
        <v>24</v>
      </c>
      <c r="N79" s="14">
        <v>46302.804641203707</v>
      </c>
      <c r="O79" s="15">
        <v>360</v>
      </c>
      <c r="P79" s="13" t="s">
        <v>25</v>
      </c>
      <c r="Q79" s="15">
        <v>190</v>
      </c>
      <c r="R79" s="3" t="str">
        <f>IF(OR(G79="12R",G79="12L"),_xlfn.XLOOKUP(C79,Tabla42[ADEP],Tabla42[SID 12R],""),IF(OR(G79="30L",G79="30R"),_xlfn.XLOOKUP(C79,Tabla42[ADEP],Tabla42[SID 30L],""),""))</f>
        <v>UDGUV</v>
      </c>
      <c r="S79" s="3">
        <f t="shared" si="1"/>
        <v>18</v>
      </c>
      <c r="T79" s="3" t="str">
        <f>_xlfn.XLOOKUP(C79,Tabla42[ADEP],Tabla42[Sector],"")</f>
        <v>Sector 2</v>
      </c>
    </row>
    <row r="80" spans="1:20" x14ac:dyDescent="0.2">
      <c r="A80" s="13" t="s">
        <v>218</v>
      </c>
      <c r="B80" s="13" t="s">
        <v>18</v>
      </c>
      <c r="C80" s="13" t="s">
        <v>219</v>
      </c>
      <c r="D80" s="13" t="s">
        <v>43</v>
      </c>
      <c r="E80" s="13" t="s">
        <v>2753</v>
      </c>
      <c r="F80" s="14">
        <v>46302.757581018523</v>
      </c>
      <c r="G80" s="13" t="s">
        <v>21</v>
      </c>
      <c r="H80" s="13" t="s">
        <v>2754</v>
      </c>
      <c r="I80" s="15">
        <v>320</v>
      </c>
      <c r="J80" s="13" t="s">
        <v>22</v>
      </c>
      <c r="K80" s="13" t="s">
        <v>23</v>
      </c>
      <c r="L80" s="15">
        <v>434</v>
      </c>
      <c r="M80" s="13" t="s">
        <v>2755</v>
      </c>
      <c r="N80" s="14">
        <v>46302.782384259262</v>
      </c>
      <c r="O80" s="15">
        <v>320</v>
      </c>
      <c r="P80" s="13" t="s">
        <v>25</v>
      </c>
      <c r="Q80" s="15">
        <v>40</v>
      </c>
      <c r="R80" s="3" t="str">
        <f>IF(OR(G80="12R",G80="12L"),_xlfn.XLOOKUP(C80,Tabla42[ADEP],Tabla42[SID 12R],""),IF(OR(G80="30L",G80="30R"),_xlfn.XLOOKUP(C80,Tabla42[ADEP],Tabla42[SID 30L],""),""))</f>
        <v>UDGUV</v>
      </c>
      <c r="S80" s="3">
        <f t="shared" si="1"/>
        <v>18</v>
      </c>
      <c r="T80" s="3" t="str">
        <f>_xlfn.XLOOKUP(C80,Tabla42[ADEP],Tabla42[Sector],"")</f>
        <v>Sector 2</v>
      </c>
    </row>
    <row r="81" spans="1:20" x14ac:dyDescent="0.2">
      <c r="A81" s="13" t="s">
        <v>217</v>
      </c>
      <c r="B81" s="13" t="s">
        <v>18</v>
      </c>
      <c r="C81" s="13" t="s">
        <v>158</v>
      </c>
      <c r="D81" s="13" t="s">
        <v>20</v>
      </c>
      <c r="E81" s="13" t="s">
        <v>2756</v>
      </c>
      <c r="F81" s="14">
        <v>46302.758993055555</v>
      </c>
      <c r="G81" s="13" t="s">
        <v>21</v>
      </c>
      <c r="H81" s="13" t="s">
        <v>2757</v>
      </c>
      <c r="I81" s="15">
        <v>330</v>
      </c>
      <c r="J81" s="13" t="s">
        <v>22</v>
      </c>
      <c r="K81" s="13" t="s">
        <v>23</v>
      </c>
      <c r="L81" s="15">
        <v>359</v>
      </c>
      <c r="M81" s="13" t="s">
        <v>30</v>
      </c>
      <c r="N81" s="14">
        <v>46302.779270833329</v>
      </c>
      <c r="O81" s="15">
        <v>330</v>
      </c>
      <c r="P81" s="13" t="s">
        <v>25</v>
      </c>
      <c r="Q81" s="15">
        <v>40</v>
      </c>
      <c r="R81" s="3" t="str">
        <f>IF(OR(G81="12R",G81="12L"),_xlfn.XLOOKUP(C81,Tabla42[ADEP],Tabla42[SID 12R],""),IF(OR(G81="30L",G81="30R"),_xlfn.XLOOKUP(C81,Tabla42[ADEP],Tabla42[SID 30L],""),""))</f>
        <v>OMSUK</v>
      </c>
      <c r="S81" s="3">
        <f t="shared" si="1"/>
        <v>18</v>
      </c>
      <c r="T81" s="3" t="str">
        <f>_xlfn.XLOOKUP(C81,Tabla42[ADEP],Tabla42[Sector],"")</f>
        <v>Sector 3</v>
      </c>
    </row>
    <row r="82" spans="1:20" x14ac:dyDescent="0.2">
      <c r="A82" s="13" t="s">
        <v>237</v>
      </c>
      <c r="B82" s="13" t="s">
        <v>18</v>
      </c>
      <c r="C82" s="13" t="s">
        <v>116</v>
      </c>
      <c r="D82" s="13" t="s">
        <v>117</v>
      </c>
      <c r="E82" s="13" t="s">
        <v>2576</v>
      </c>
      <c r="F82" s="14">
        <v>46302.760335648149</v>
      </c>
      <c r="G82" s="13" t="s">
        <v>21</v>
      </c>
      <c r="H82" s="13" t="s">
        <v>2758</v>
      </c>
      <c r="I82" s="15">
        <v>340</v>
      </c>
      <c r="J82" s="13" t="s">
        <v>22</v>
      </c>
      <c r="K82" s="13" t="s">
        <v>23</v>
      </c>
      <c r="L82" s="15">
        <v>383</v>
      </c>
      <c r="M82" s="13" t="s">
        <v>250</v>
      </c>
      <c r="N82" s="14">
        <v>46302.780717592592</v>
      </c>
      <c r="O82" s="15">
        <v>380</v>
      </c>
      <c r="P82" s="13" t="s">
        <v>25</v>
      </c>
      <c r="Q82" s="15">
        <v>40</v>
      </c>
      <c r="R82" s="3" t="str">
        <f>IF(OR(G82="12R",G82="12L"),_xlfn.XLOOKUP(C82,Tabla42[ADEP],Tabla42[SID 12R],""),IF(OR(G82="30L",G82="30R"),_xlfn.XLOOKUP(C82,Tabla42[ADEP],Tabla42[SID 30L],""),""))</f>
        <v>ENEBA</v>
      </c>
      <c r="S82" s="3">
        <f t="shared" si="1"/>
        <v>18</v>
      </c>
      <c r="T82" s="3" t="str">
        <f>_xlfn.XLOOKUP(C82,Tabla42[ADEP],Tabla42[Sector],"")</f>
        <v>Sector 3</v>
      </c>
    </row>
    <row r="83" spans="1:20" x14ac:dyDescent="0.2">
      <c r="A83" s="13" t="s">
        <v>225</v>
      </c>
      <c r="B83" s="13" t="s">
        <v>18</v>
      </c>
      <c r="C83" s="13" t="s">
        <v>27</v>
      </c>
      <c r="D83" s="13" t="s">
        <v>226</v>
      </c>
      <c r="E83" s="13" t="s">
        <v>2759</v>
      </c>
      <c r="F83" s="14">
        <v>46302.76427083333</v>
      </c>
      <c r="G83" s="13" t="s">
        <v>21</v>
      </c>
      <c r="H83" s="13" t="s">
        <v>2760</v>
      </c>
      <c r="I83" s="15">
        <v>350</v>
      </c>
      <c r="J83" s="13" t="s">
        <v>22</v>
      </c>
      <c r="K83" s="13" t="s">
        <v>23</v>
      </c>
      <c r="L83" s="15">
        <v>353</v>
      </c>
      <c r="M83" s="13" t="s">
        <v>30</v>
      </c>
      <c r="N83" s="14">
        <v>46302.785740740743</v>
      </c>
      <c r="O83" s="15">
        <v>350</v>
      </c>
      <c r="P83" s="13" t="s">
        <v>25</v>
      </c>
      <c r="Q83" s="15">
        <v>40</v>
      </c>
      <c r="R83" s="3" t="str">
        <f>IF(OR(G83="12R",G83="12L"),_xlfn.XLOOKUP(C83,Tabla42[ADEP],Tabla42[SID 12R],""),IF(OR(G83="30L",G83="30R"),_xlfn.XLOOKUP(C83,Tabla42[ADEP],Tabla42[SID 30L],""),""))</f>
        <v>OMSUK</v>
      </c>
      <c r="S83" s="3">
        <f t="shared" si="1"/>
        <v>18</v>
      </c>
      <c r="T83" s="3" t="str">
        <f>_xlfn.XLOOKUP(C83,Tabla42[ADEP],Tabla42[Sector],"")</f>
        <v>Sector 3</v>
      </c>
    </row>
    <row r="84" spans="1:20" x14ac:dyDescent="0.2">
      <c r="A84" s="13" t="s">
        <v>2761</v>
      </c>
      <c r="B84" s="13" t="s">
        <v>18</v>
      </c>
      <c r="C84" s="13" t="s">
        <v>2762</v>
      </c>
      <c r="D84" s="13" t="s">
        <v>2763</v>
      </c>
      <c r="E84" s="13"/>
      <c r="F84" s="14">
        <v>46302.766608796301</v>
      </c>
      <c r="G84" s="13" t="s">
        <v>21</v>
      </c>
      <c r="H84" s="13" t="s">
        <v>2764</v>
      </c>
      <c r="I84" s="15">
        <v>15</v>
      </c>
      <c r="J84" s="13" t="s">
        <v>130</v>
      </c>
      <c r="K84" s="13" t="s">
        <v>25</v>
      </c>
      <c r="L84" s="15">
        <v>277</v>
      </c>
      <c r="M84" s="13" t="s">
        <v>2762</v>
      </c>
      <c r="N84" s="14">
        <v>46302.82403935185</v>
      </c>
      <c r="O84" s="15">
        <v>5</v>
      </c>
      <c r="P84" s="13" t="s">
        <v>25</v>
      </c>
      <c r="Q84" s="15">
        <v>15</v>
      </c>
      <c r="R84" s="3" t="str">
        <f>IF(OR(G84="12R",G84="12L"),_xlfn.XLOOKUP(C84,Tabla42[ADEP],Tabla42[SID 12R],""),IF(OR(G84="30L",G84="30R"),_xlfn.XLOOKUP(C84,Tabla42[ADEP],Tabla42[SID 30L],""),""))</f>
        <v/>
      </c>
      <c r="S84" s="3">
        <f t="shared" si="1"/>
        <v>18</v>
      </c>
      <c r="T84" s="3" t="str">
        <f>_xlfn.XLOOKUP(C84,Tabla42[ADEP],Tabla42[Sector],"")</f>
        <v/>
      </c>
    </row>
    <row r="85" spans="1:20" x14ac:dyDescent="0.2">
      <c r="A85" s="13" t="s">
        <v>246</v>
      </c>
      <c r="B85" s="13" t="s">
        <v>18</v>
      </c>
      <c r="C85" s="13" t="s">
        <v>209</v>
      </c>
      <c r="D85" s="13" t="s">
        <v>28</v>
      </c>
      <c r="E85" s="13" t="s">
        <v>1696</v>
      </c>
      <c r="F85" s="14">
        <v>46302.768645833334</v>
      </c>
      <c r="G85" s="13" t="s">
        <v>21</v>
      </c>
      <c r="H85" s="13" t="s">
        <v>2765</v>
      </c>
      <c r="I85" s="15">
        <v>340</v>
      </c>
      <c r="J85" s="13" t="s">
        <v>22</v>
      </c>
      <c r="K85" s="13" t="s">
        <v>23</v>
      </c>
      <c r="L85" s="15">
        <v>384</v>
      </c>
      <c r="M85" s="13" t="s">
        <v>250</v>
      </c>
      <c r="N85" s="14">
        <v>46302.790092592593</v>
      </c>
      <c r="O85" s="15">
        <v>360</v>
      </c>
      <c r="P85" s="13" t="s">
        <v>25</v>
      </c>
      <c r="Q85" s="15">
        <v>40</v>
      </c>
      <c r="R85" s="3" t="str">
        <f>IF(OR(G85="12R",G85="12L"),_xlfn.XLOOKUP(C85,Tabla42[ADEP],Tabla42[SID 12R],""),IF(OR(G85="30L",G85="30R"),_xlfn.XLOOKUP(C85,Tabla42[ADEP],Tabla42[SID 30L],""),""))</f>
        <v>ENEBA</v>
      </c>
      <c r="S85" s="3">
        <f t="shared" si="1"/>
        <v>18</v>
      </c>
      <c r="T85" s="3" t="str">
        <f>_xlfn.XLOOKUP(C85,Tabla42[ADEP],Tabla42[Sector],"")</f>
        <v>Sector 3</v>
      </c>
    </row>
    <row r="86" spans="1:20" x14ac:dyDescent="0.2">
      <c r="A86" s="13" t="s">
        <v>221</v>
      </c>
      <c r="B86" s="13" t="s">
        <v>18</v>
      </c>
      <c r="C86" s="13" t="s">
        <v>42</v>
      </c>
      <c r="D86" s="13" t="s">
        <v>43</v>
      </c>
      <c r="E86" s="13" t="s">
        <v>2139</v>
      </c>
      <c r="F86" s="14">
        <v>46302.770844907413</v>
      </c>
      <c r="G86" s="13" t="s">
        <v>21</v>
      </c>
      <c r="H86" s="13" t="s">
        <v>2766</v>
      </c>
      <c r="I86" s="15">
        <v>360</v>
      </c>
      <c r="J86" s="13" t="s">
        <v>22</v>
      </c>
      <c r="K86" s="13" t="s">
        <v>23</v>
      </c>
      <c r="L86" s="15">
        <v>973</v>
      </c>
      <c r="M86" s="13" t="s">
        <v>2058</v>
      </c>
      <c r="N86" s="14">
        <v>46302.822187500002</v>
      </c>
      <c r="O86" s="15">
        <v>380</v>
      </c>
      <c r="P86" s="13" t="s">
        <v>25</v>
      </c>
      <c r="Q86" s="15">
        <v>190</v>
      </c>
      <c r="R86" s="3" t="str">
        <f>IF(OR(G86="12R",G86="12L"),_xlfn.XLOOKUP(C86,Tabla42[ADEP],Tabla42[SID 12R],""),IF(OR(G86="30L",G86="30R"),_xlfn.XLOOKUP(C86,Tabla42[ADEP],Tabla42[SID 30L],""),""))</f>
        <v>UDGUV</v>
      </c>
      <c r="S86" s="3">
        <f t="shared" si="1"/>
        <v>18</v>
      </c>
      <c r="T86" s="3" t="str">
        <f>_xlfn.XLOOKUP(C86,Tabla42[ADEP],Tabla42[Sector],"")</f>
        <v>Sector 2</v>
      </c>
    </row>
    <row r="87" spans="1:20" x14ac:dyDescent="0.2">
      <c r="A87" s="13" t="s">
        <v>203</v>
      </c>
      <c r="B87" s="13" t="s">
        <v>18</v>
      </c>
      <c r="C87" s="13" t="s">
        <v>204</v>
      </c>
      <c r="D87" s="13" t="s">
        <v>53</v>
      </c>
      <c r="E87" s="13" t="s">
        <v>2504</v>
      </c>
      <c r="F87" s="14">
        <v>46302.772164351853</v>
      </c>
      <c r="G87" s="13" t="s">
        <v>21</v>
      </c>
      <c r="H87" s="13" t="s">
        <v>2767</v>
      </c>
      <c r="I87" s="15">
        <v>390</v>
      </c>
      <c r="J87" s="13" t="s">
        <v>22</v>
      </c>
      <c r="K87" s="13" t="s">
        <v>23</v>
      </c>
      <c r="L87" s="15">
        <v>153</v>
      </c>
      <c r="M87" s="13" t="s">
        <v>111</v>
      </c>
      <c r="N87" s="14">
        <v>46302.78224537037</v>
      </c>
      <c r="O87" s="15">
        <v>291</v>
      </c>
      <c r="P87" s="13" t="s">
        <v>25</v>
      </c>
      <c r="Q87" s="15">
        <v>190</v>
      </c>
      <c r="R87" s="3" t="str">
        <f>IF(OR(G87="12R",G87="12L"),_xlfn.XLOOKUP(C87,Tabla42[ADEP],Tabla42[SID 12R],""),IF(OR(G87="30L",G87="30R"),_xlfn.XLOOKUP(C87,Tabla42[ADEP],Tabla42[SID 30L],""),""))</f>
        <v>TAKUX</v>
      </c>
      <c r="S87" s="3">
        <f t="shared" si="1"/>
        <v>18</v>
      </c>
      <c r="T87" s="3" t="str">
        <f>_xlfn.XLOOKUP(C87,Tabla42[ADEP],Tabla42[Sector],"")</f>
        <v>Sector 7</v>
      </c>
    </row>
    <row r="88" spans="1:20" x14ac:dyDescent="0.2">
      <c r="A88" s="13" t="s">
        <v>202</v>
      </c>
      <c r="B88" s="13" t="s">
        <v>18</v>
      </c>
      <c r="C88" s="13" t="s">
        <v>32</v>
      </c>
      <c r="D88" s="13" t="s">
        <v>20</v>
      </c>
      <c r="E88" s="13" t="s">
        <v>2024</v>
      </c>
      <c r="F88" s="14">
        <v>46302.776759259257</v>
      </c>
      <c r="G88" s="13" t="s">
        <v>21</v>
      </c>
      <c r="H88" s="13" t="s">
        <v>2768</v>
      </c>
      <c r="I88" s="15">
        <v>340</v>
      </c>
      <c r="J88" s="13" t="s">
        <v>22</v>
      </c>
      <c r="K88" s="13" t="s">
        <v>23</v>
      </c>
      <c r="L88" s="15">
        <v>919</v>
      </c>
      <c r="M88" s="13" t="s">
        <v>695</v>
      </c>
      <c r="N88" s="14">
        <v>46302.82677083333</v>
      </c>
      <c r="O88" s="15">
        <v>360</v>
      </c>
      <c r="P88" s="13" t="s">
        <v>25</v>
      </c>
      <c r="Q88" s="15">
        <v>190</v>
      </c>
      <c r="R88" s="3" t="str">
        <f>IF(OR(G88="12R",G88="12L"),_xlfn.XLOOKUP(C88,Tabla42[ADEP],Tabla42[SID 12R],""),IF(OR(G88="30L",G88="30R"),_xlfn.XLOOKUP(C88,Tabla42[ADEP],Tabla42[SID 30L],""),""))</f>
        <v>UDGUV</v>
      </c>
      <c r="S88" s="3">
        <f t="shared" si="1"/>
        <v>18</v>
      </c>
      <c r="T88" s="3" t="str">
        <f>_xlfn.XLOOKUP(C88,Tabla42[ADEP],Tabla42[Sector],"")</f>
        <v>Sector 2</v>
      </c>
    </row>
    <row r="89" spans="1:20" x14ac:dyDescent="0.2">
      <c r="A89" s="13" t="s">
        <v>211</v>
      </c>
      <c r="B89" s="13" t="s">
        <v>18</v>
      </c>
      <c r="C89" s="13" t="s">
        <v>212</v>
      </c>
      <c r="D89" s="13" t="s">
        <v>53</v>
      </c>
      <c r="E89" s="13" t="s">
        <v>2769</v>
      </c>
      <c r="F89" s="14">
        <v>46302.778217592597</v>
      </c>
      <c r="G89" s="13" t="s">
        <v>21</v>
      </c>
      <c r="H89" s="13" t="s">
        <v>2770</v>
      </c>
      <c r="I89" s="15">
        <v>370</v>
      </c>
      <c r="J89" s="13" t="s">
        <v>22</v>
      </c>
      <c r="K89" s="13" t="s">
        <v>23</v>
      </c>
      <c r="L89" s="15">
        <v>159</v>
      </c>
      <c r="M89" s="13" t="s">
        <v>2771</v>
      </c>
      <c r="N89" s="14">
        <v>46302.789097222223</v>
      </c>
      <c r="O89" s="15">
        <v>290</v>
      </c>
      <c r="P89" s="13" t="s">
        <v>25</v>
      </c>
      <c r="Q89" s="15">
        <v>190</v>
      </c>
      <c r="R89" s="3" t="str">
        <f>IF(OR(G89="12R",G89="12L"),_xlfn.XLOOKUP(C89,Tabla42[ADEP],Tabla42[SID 12R],""),IF(OR(G89="30L",G89="30R"),_xlfn.XLOOKUP(C89,Tabla42[ADEP],Tabla42[SID 30L],""),""))</f>
        <v>TAKUX</v>
      </c>
      <c r="S89" s="3">
        <f t="shared" si="1"/>
        <v>18</v>
      </c>
      <c r="T89" s="3" t="str">
        <f>_xlfn.XLOOKUP(C89,Tabla42[ADEP],Tabla42[Sector],"")</f>
        <v>Sector 7</v>
      </c>
    </row>
    <row r="90" spans="1:20" x14ac:dyDescent="0.2">
      <c r="A90" s="13" t="s">
        <v>213</v>
      </c>
      <c r="B90" s="13" t="s">
        <v>18</v>
      </c>
      <c r="C90" s="13" t="s">
        <v>19</v>
      </c>
      <c r="D90" s="13" t="s">
        <v>33</v>
      </c>
      <c r="E90" s="13" t="s">
        <v>491</v>
      </c>
      <c r="F90" s="14">
        <v>46302.780497685184</v>
      </c>
      <c r="G90" s="13" t="s">
        <v>21</v>
      </c>
      <c r="H90" s="13" t="s">
        <v>2772</v>
      </c>
      <c r="I90" s="15">
        <v>380</v>
      </c>
      <c r="J90" s="13" t="s">
        <v>22</v>
      </c>
      <c r="K90" s="13" t="s">
        <v>23</v>
      </c>
      <c r="L90" s="15">
        <v>944</v>
      </c>
      <c r="M90" s="13" t="s">
        <v>2773</v>
      </c>
      <c r="N90" s="14">
        <v>46302.830914351856</v>
      </c>
      <c r="O90" s="15">
        <v>380</v>
      </c>
      <c r="P90" s="13" t="s">
        <v>25</v>
      </c>
      <c r="Q90" s="15">
        <v>190</v>
      </c>
      <c r="R90" s="3" t="str">
        <f>IF(OR(G90="12R",G90="12L"),_xlfn.XLOOKUP(C90,Tabla42[ADEP],Tabla42[SID 12R],""),IF(OR(G90="30L",G90="30R"),_xlfn.XLOOKUP(C90,Tabla42[ADEP],Tabla42[SID 30L],""),""))</f>
        <v>UDGUV</v>
      </c>
      <c r="S90" s="3">
        <f t="shared" si="1"/>
        <v>18</v>
      </c>
      <c r="T90" s="3" t="str">
        <f>_xlfn.XLOOKUP(C90,Tabla42[ADEP],Tabla42[Sector],"")</f>
        <v>Sector 2</v>
      </c>
    </row>
    <row r="91" spans="1:20" x14ac:dyDescent="0.2">
      <c r="A91" s="13" t="s">
        <v>228</v>
      </c>
      <c r="B91" s="13" t="s">
        <v>18</v>
      </c>
      <c r="C91" s="13" t="s">
        <v>27</v>
      </c>
      <c r="D91" s="13" t="s">
        <v>28</v>
      </c>
      <c r="E91" s="13" t="s">
        <v>2774</v>
      </c>
      <c r="F91" s="14">
        <v>46302.78230324074</v>
      </c>
      <c r="G91" s="13" t="s">
        <v>21</v>
      </c>
      <c r="H91" s="13" t="s">
        <v>2775</v>
      </c>
      <c r="I91" s="15">
        <v>380</v>
      </c>
      <c r="J91" s="13" t="s">
        <v>22</v>
      </c>
      <c r="K91" s="13" t="s">
        <v>23</v>
      </c>
      <c r="L91" s="15">
        <v>435</v>
      </c>
      <c r="M91" s="13" t="s">
        <v>189</v>
      </c>
      <c r="N91" s="14">
        <v>46302.808807870373</v>
      </c>
      <c r="O91" s="15">
        <v>380</v>
      </c>
      <c r="P91" s="13" t="s">
        <v>25</v>
      </c>
      <c r="Q91" s="15">
        <v>40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13" t="s">
        <v>205</v>
      </c>
      <c r="B92" s="13" t="s">
        <v>18</v>
      </c>
      <c r="C92" s="13" t="s">
        <v>206</v>
      </c>
      <c r="D92" s="13" t="s">
        <v>20</v>
      </c>
      <c r="E92" s="13" t="s">
        <v>169</v>
      </c>
      <c r="F92" s="14">
        <v>46302.783483796295</v>
      </c>
      <c r="G92" s="13" t="s">
        <v>21</v>
      </c>
      <c r="H92" s="13" t="s">
        <v>2776</v>
      </c>
      <c r="I92" s="15">
        <v>360</v>
      </c>
      <c r="J92" s="13" t="s">
        <v>22</v>
      </c>
      <c r="K92" s="13" t="s">
        <v>23</v>
      </c>
      <c r="L92" s="15">
        <v>901</v>
      </c>
      <c r="M92" s="13" t="s">
        <v>94</v>
      </c>
      <c r="N92" s="14">
        <v>46302.831076388888</v>
      </c>
      <c r="O92" s="15">
        <v>360</v>
      </c>
      <c r="P92" s="13" t="s">
        <v>25</v>
      </c>
      <c r="Q92" s="15">
        <v>190</v>
      </c>
      <c r="R92" s="3" t="str">
        <f>IF(OR(G92="12R",G92="12L"),_xlfn.XLOOKUP(C92,Tabla42[ADEP],Tabla42[SID 12R],""),IF(OR(G92="30L",G92="30R"),_xlfn.XLOOKUP(C92,Tabla42[ADEP],Tabla42[SID 30L],""),""))</f>
        <v>UDGUV</v>
      </c>
      <c r="S92" s="3">
        <f t="shared" si="1"/>
        <v>18</v>
      </c>
      <c r="T92" s="3" t="str">
        <f>_xlfn.XLOOKUP(C92,Tabla42[ADEP],Tabla42[Sector],"")</f>
        <v>Sector 2</v>
      </c>
    </row>
    <row r="93" spans="1:20" x14ac:dyDescent="0.2">
      <c r="A93" s="13" t="s">
        <v>235</v>
      </c>
      <c r="B93" s="13" t="s">
        <v>18</v>
      </c>
      <c r="C93" s="13" t="s">
        <v>62</v>
      </c>
      <c r="D93" s="13" t="s">
        <v>33</v>
      </c>
      <c r="E93" s="13" t="s">
        <v>685</v>
      </c>
      <c r="F93" s="14">
        <v>46302.785034722227</v>
      </c>
      <c r="G93" s="13" t="s">
        <v>21</v>
      </c>
      <c r="H93" s="13" t="s">
        <v>2777</v>
      </c>
      <c r="I93" s="15">
        <v>380</v>
      </c>
      <c r="J93" s="13" t="s">
        <v>22</v>
      </c>
      <c r="K93" s="13" t="s">
        <v>23</v>
      </c>
      <c r="L93" s="15">
        <v>901</v>
      </c>
      <c r="M93" s="13" t="s">
        <v>2778</v>
      </c>
      <c r="N93" s="14">
        <v>46302.833020833335</v>
      </c>
      <c r="O93" s="15">
        <v>380</v>
      </c>
      <c r="P93" s="13" t="s">
        <v>25</v>
      </c>
      <c r="Q93" s="15">
        <v>190</v>
      </c>
      <c r="R93" s="3" t="str">
        <f>IF(OR(G93="12R",G93="12L"),_xlfn.XLOOKUP(C93,Tabla42[ADEP],Tabla42[SID 12R],""),IF(OR(G93="30L",G93="30R"),_xlfn.XLOOKUP(C93,Tabla42[ADEP],Tabla42[SID 30L],""),""))</f>
        <v>UDGUV</v>
      </c>
      <c r="S93" s="3">
        <f t="shared" si="1"/>
        <v>18</v>
      </c>
      <c r="T93" s="3" t="str">
        <f>_xlfn.XLOOKUP(C93,Tabla42[ADEP],Tabla42[Sector],"")</f>
        <v>Sector 2</v>
      </c>
    </row>
    <row r="94" spans="1:20" x14ac:dyDescent="0.2">
      <c r="A94" s="13" t="s">
        <v>240</v>
      </c>
      <c r="B94" s="13" t="s">
        <v>18</v>
      </c>
      <c r="C94" s="13" t="s">
        <v>116</v>
      </c>
      <c r="D94" s="13" t="s">
        <v>117</v>
      </c>
      <c r="E94" s="13" t="s">
        <v>2059</v>
      </c>
      <c r="F94" s="14">
        <v>46302.788576388892</v>
      </c>
      <c r="G94" s="13" t="s">
        <v>21</v>
      </c>
      <c r="H94" s="13" t="s">
        <v>2779</v>
      </c>
      <c r="I94" s="15">
        <v>340</v>
      </c>
      <c r="J94" s="13" t="s">
        <v>22</v>
      </c>
      <c r="K94" s="13" t="s">
        <v>23</v>
      </c>
      <c r="L94" s="15">
        <v>371</v>
      </c>
      <c r="M94" s="13" t="s">
        <v>250</v>
      </c>
      <c r="N94" s="14">
        <v>46302.809861111113</v>
      </c>
      <c r="O94" s="15">
        <v>360</v>
      </c>
      <c r="P94" s="13" t="s">
        <v>25</v>
      </c>
      <c r="Q94" s="15">
        <v>40</v>
      </c>
      <c r="R94" s="3" t="str">
        <f>IF(OR(G94="12R",G94="12L"),_xlfn.XLOOKUP(C94,Tabla42[ADEP],Tabla42[SID 12R],""),IF(OR(G94="30L",G94="30R"),_xlfn.XLOOKUP(C94,Tabla42[ADEP],Tabla42[SID 30L],""),""))</f>
        <v>ENEBA</v>
      </c>
      <c r="S94" s="3">
        <f t="shared" si="1"/>
        <v>18</v>
      </c>
      <c r="T94" s="3" t="str">
        <f>_xlfn.XLOOKUP(C94,Tabla42[ADEP],Tabla42[Sector],"")</f>
        <v>Sector 3</v>
      </c>
    </row>
    <row r="95" spans="1:20" x14ac:dyDescent="0.2">
      <c r="A95" s="13" t="s">
        <v>241</v>
      </c>
      <c r="B95" s="13" t="s">
        <v>18</v>
      </c>
      <c r="C95" s="13" t="s">
        <v>121</v>
      </c>
      <c r="D95" s="13" t="s">
        <v>60</v>
      </c>
      <c r="E95" s="13" t="s">
        <v>2780</v>
      </c>
      <c r="F95" s="14">
        <v>46302.789953703701</v>
      </c>
      <c r="G95" s="13" t="s">
        <v>21</v>
      </c>
      <c r="H95" s="13" t="s">
        <v>2781</v>
      </c>
      <c r="I95" s="15">
        <v>340</v>
      </c>
      <c r="J95" s="13" t="s">
        <v>22</v>
      </c>
      <c r="K95" s="13" t="s">
        <v>23</v>
      </c>
      <c r="L95" s="15">
        <v>444</v>
      </c>
      <c r="M95" s="13" t="s">
        <v>189</v>
      </c>
      <c r="N95" s="14">
        <v>46302.814351851848</v>
      </c>
      <c r="O95" s="15">
        <v>340</v>
      </c>
      <c r="P95" s="13" t="s">
        <v>25</v>
      </c>
      <c r="Q95" s="15">
        <v>40</v>
      </c>
      <c r="R95" s="3" t="str">
        <f>IF(OR(G95="12R",G95="12L"),_xlfn.XLOOKUP(C95,Tabla42[ADEP],Tabla42[SID 12R],""),IF(OR(G95="30L",G95="30R"),_xlfn.XLOOKUP(C95,Tabla42[ADEP],Tabla42[SID 30L],""),""))</f>
        <v>ENEBA</v>
      </c>
      <c r="S95" s="3">
        <f t="shared" si="1"/>
        <v>18</v>
      </c>
      <c r="T95" s="3" t="str">
        <f>_xlfn.XLOOKUP(C95,Tabla42[ADEP],Tabla42[Sector],"")</f>
        <v>Sector 3</v>
      </c>
    </row>
    <row r="96" spans="1:20" x14ac:dyDescent="0.2">
      <c r="A96" s="13" t="s">
        <v>227</v>
      </c>
      <c r="B96" s="13" t="s">
        <v>18</v>
      </c>
      <c r="C96" s="13" t="s">
        <v>133</v>
      </c>
      <c r="D96" s="13" t="s">
        <v>28</v>
      </c>
      <c r="E96" s="13" t="s">
        <v>2782</v>
      </c>
      <c r="F96" s="14">
        <v>46302.791585648149</v>
      </c>
      <c r="G96" s="13" t="s">
        <v>21</v>
      </c>
      <c r="H96" s="13" t="s">
        <v>2783</v>
      </c>
      <c r="I96" s="15">
        <v>340</v>
      </c>
      <c r="J96" s="13" t="s">
        <v>22</v>
      </c>
      <c r="K96" s="13" t="s">
        <v>23</v>
      </c>
      <c r="L96" s="15">
        <v>451</v>
      </c>
      <c r="M96" s="13" t="s">
        <v>189</v>
      </c>
      <c r="N96" s="14">
        <v>46302.815995370373</v>
      </c>
      <c r="O96" s="15">
        <v>320</v>
      </c>
      <c r="P96" s="13" t="s">
        <v>25</v>
      </c>
      <c r="Q96" s="15">
        <v>40</v>
      </c>
      <c r="R96" s="3" t="str">
        <f>IF(OR(G96="12R",G96="12L"),_xlfn.XLOOKUP(C96,Tabla42[ADEP],Tabla42[SID 12R],""),IF(OR(G96="30L",G96="30R"),_xlfn.XLOOKUP(C96,Tabla42[ADEP],Tabla42[SID 30L],""),""))</f>
        <v>OMSUK</v>
      </c>
      <c r="S96" s="3">
        <f t="shared" si="1"/>
        <v>18</v>
      </c>
      <c r="T96" s="3" t="str">
        <f>_xlfn.XLOOKUP(C96,Tabla42[ADEP],Tabla42[Sector],"")</f>
        <v>Sector 3</v>
      </c>
    </row>
    <row r="97" spans="1:20" x14ac:dyDescent="0.2">
      <c r="A97" s="13" t="s">
        <v>229</v>
      </c>
      <c r="B97" s="13" t="s">
        <v>18</v>
      </c>
      <c r="C97" s="13" t="s">
        <v>230</v>
      </c>
      <c r="D97" s="13" t="s">
        <v>231</v>
      </c>
      <c r="E97" s="13" t="s">
        <v>591</v>
      </c>
      <c r="F97" s="14">
        <v>46302.793136574073</v>
      </c>
      <c r="G97" s="13" t="s">
        <v>21</v>
      </c>
      <c r="H97" s="13" t="s">
        <v>2784</v>
      </c>
      <c r="I97" s="15">
        <v>100</v>
      </c>
      <c r="J97" s="13" t="s">
        <v>22</v>
      </c>
      <c r="K97" s="13" t="s">
        <v>23</v>
      </c>
      <c r="L97" s="15">
        <v>348</v>
      </c>
      <c r="M97" s="13" t="s">
        <v>230</v>
      </c>
      <c r="N97" s="14">
        <v>46302.853692129633</v>
      </c>
      <c r="O97" s="15">
        <v>0</v>
      </c>
      <c r="P97" s="13" t="s">
        <v>129</v>
      </c>
      <c r="Q97" s="15">
        <v>40</v>
      </c>
      <c r="R97" s="3" t="str">
        <f>IF(OR(G97="12R",G97="12L"),_xlfn.XLOOKUP(C97,Tabla42[ADEP],Tabla42[SID 12R],""),IF(OR(G97="30L",G97="30R"),_xlfn.XLOOKUP(C97,Tabla42[ADEP],Tabla42[SID 30L],""),""))</f>
        <v>CZM</v>
      </c>
      <c r="S97" s="3">
        <f t="shared" si="1"/>
        <v>19</v>
      </c>
      <c r="T97" s="3" t="str">
        <f>_xlfn.XLOOKUP(C97,Tabla42[ADEP],Tabla42[Sector],"")</f>
        <v>Sector 7</v>
      </c>
    </row>
    <row r="98" spans="1:20" x14ac:dyDescent="0.2">
      <c r="A98" s="13" t="s">
        <v>285</v>
      </c>
      <c r="B98" s="13" t="s">
        <v>18</v>
      </c>
      <c r="C98" s="13" t="s">
        <v>160</v>
      </c>
      <c r="D98" s="13" t="s">
        <v>53</v>
      </c>
      <c r="E98" s="13" t="s">
        <v>2785</v>
      </c>
      <c r="F98" s="14">
        <v>46302.795567129629</v>
      </c>
      <c r="G98" s="13" t="s">
        <v>21</v>
      </c>
      <c r="H98" s="13" t="s">
        <v>2786</v>
      </c>
      <c r="I98" s="15">
        <v>340</v>
      </c>
      <c r="J98" s="13" t="s">
        <v>22</v>
      </c>
      <c r="K98" s="13" t="s">
        <v>23</v>
      </c>
      <c r="L98" s="15">
        <v>332</v>
      </c>
      <c r="M98" s="13" t="s">
        <v>2787</v>
      </c>
      <c r="N98" s="14">
        <v>46302.814872685187</v>
      </c>
      <c r="O98" s="15">
        <v>340</v>
      </c>
      <c r="P98" s="13" t="s">
        <v>25</v>
      </c>
      <c r="Q98" s="15">
        <v>190</v>
      </c>
      <c r="R98" s="3" t="str">
        <f>IF(OR(G98="12R",G98="12L"),_xlfn.XLOOKUP(C98,Tabla42[ADEP],Tabla42[SID 12R],""),IF(OR(G98="30L",G98="30R"),_xlfn.XLOOKUP(C98,Tabla42[ADEP],Tabla42[SID 30L],""),""))</f>
        <v>CZM</v>
      </c>
      <c r="S98" s="3">
        <f t="shared" si="1"/>
        <v>19</v>
      </c>
      <c r="T98" s="3" t="str">
        <f>_xlfn.XLOOKUP(C98,Tabla42[ADEP],Tabla42[Sector],"")</f>
        <v>Sector 7</v>
      </c>
    </row>
    <row r="99" spans="1:20" x14ac:dyDescent="0.2">
      <c r="A99" s="13" t="s">
        <v>2788</v>
      </c>
      <c r="B99" s="13" t="s">
        <v>18</v>
      </c>
      <c r="C99" s="13" t="s">
        <v>209</v>
      </c>
      <c r="D99" s="13" t="s">
        <v>2789</v>
      </c>
      <c r="E99" s="13" t="s">
        <v>2790</v>
      </c>
      <c r="F99" s="14">
        <v>46302.798831018517</v>
      </c>
      <c r="G99" s="13" t="s">
        <v>21</v>
      </c>
      <c r="H99" s="13" t="s">
        <v>2791</v>
      </c>
      <c r="I99" s="15">
        <v>430</v>
      </c>
      <c r="J99" s="13" t="s">
        <v>22</v>
      </c>
      <c r="K99" s="13" t="s">
        <v>50</v>
      </c>
      <c r="L99" s="15">
        <v>438</v>
      </c>
      <c r="M99" s="13" t="s">
        <v>189</v>
      </c>
      <c r="N99" s="14">
        <v>46302.82366898148</v>
      </c>
      <c r="O99" s="15">
        <v>430</v>
      </c>
      <c r="P99" s="13" t="s">
        <v>25</v>
      </c>
      <c r="Q99" s="15">
        <v>40</v>
      </c>
      <c r="R99" s="3" t="str">
        <f>IF(OR(G99="12R",G99="12L"),_xlfn.XLOOKUP(C99,Tabla42[ADEP],Tabla42[SID 12R],""),IF(OR(G99="30L",G99="30R"),_xlfn.XLOOKUP(C99,Tabla42[ADEP],Tabla42[SID 30L],""),""))</f>
        <v>ENEBA</v>
      </c>
      <c r="S99" s="3">
        <f t="shared" si="1"/>
        <v>19</v>
      </c>
      <c r="T99" s="3" t="str">
        <f>_xlfn.XLOOKUP(C99,Tabla42[ADEP],Tabla42[Sector],"")</f>
        <v>Sector 3</v>
      </c>
    </row>
    <row r="100" spans="1:20" x14ac:dyDescent="0.2">
      <c r="A100" s="13" t="s">
        <v>173</v>
      </c>
      <c r="B100" s="13" t="s">
        <v>18</v>
      </c>
      <c r="C100" s="13" t="s">
        <v>18</v>
      </c>
      <c r="D100" s="13" t="s">
        <v>174</v>
      </c>
      <c r="E100" s="13"/>
      <c r="F100" s="14">
        <v>46302.802673611106</v>
      </c>
      <c r="G100" s="13" t="s">
        <v>21</v>
      </c>
      <c r="H100" s="13" t="s">
        <v>2792</v>
      </c>
      <c r="I100" s="15">
        <v>15</v>
      </c>
      <c r="J100" s="13" t="s">
        <v>130</v>
      </c>
      <c r="K100" s="13" t="s">
        <v>50</v>
      </c>
      <c r="L100" s="15">
        <v>127</v>
      </c>
      <c r="M100" s="13" t="s">
        <v>18</v>
      </c>
      <c r="N100" s="14">
        <v>46302.857824074075</v>
      </c>
      <c r="O100" s="15">
        <v>0</v>
      </c>
      <c r="P100" s="13" t="s">
        <v>129</v>
      </c>
      <c r="Q100" s="15">
        <v>15</v>
      </c>
      <c r="R100" s="3" t="str">
        <f>IF(OR(G100="12R",G100="12L"),_xlfn.XLOOKUP(C100,Tabla42[ADEP],Tabla42[SID 12R],""),IF(OR(G100="30L",G100="30R"),_xlfn.XLOOKUP(C100,Tabla42[ADEP],Tabla42[SID 30L],""),""))</f>
        <v/>
      </c>
      <c r="S100" s="3">
        <f t="shared" si="1"/>
        <v>19</v>
      </c>
      <c r="T100" s="3" t="str">
        <f>_xlfn.XLOOKUP(C100,Tabla42[ADEP],Tabla42[Sector],"")</f>
        <v/>
      </c>
    </row>
    <row r="101" spans="1:20" x14ac:dyDescent="0.2">
      <c r="A101" s="13" t="s">
        <v>600</v>
      </c>
      <c r="B101" s="13" t="s">
        <v>18</v>
      </c>
      <c r="C101" s="13" t="s">
        <v>293</v>
      </c>
      <c r="D101" s="13" t="s">
        <v>20</v>
      </c>
      <c r="E101" s="13" t="s">
        <v>2793</v>
      </c>
      <c r="F101" s="14">
        <v>46302.80405092593</v>
      </c>
      <c r="G101" s="13" t="s">
        <v>21</v>
      </c>
      <c r="H101" s="13" t="s">
        <v>2794</v>
      </c>
      <c r="I101" s="15">
        <v>340</v>
      </c>
      <c r="J101" s="13" t="s">
        <v>22</v>
      </c>
      <c r="K101" s="13" t="s">
        <v>23</v>
      </c>
      <c r="L101" s="15">
        <v>444</v>
      </c>
      <c r="M101" s="13" t="s">
        <v>189</v>
      </c>
      <c r="N101" s="14">
        <v>46302.829074074078</v>
      </c>
      <c r="O101" s="15">
        <v>300</v>
      </c>
      <c r="P101" s="13" t="s">
        <v>25</v>
      </c>
      <c r="Q101" s="15">
        <v>40</v>
      </c>
      <c r="R101" s="3" t="str">
        <f>IF(OR(G101="12R",G101="12L"),_xlfn.XLOOKUP(C101,Tabla42[ADEP],Tabla42[SID 12R],""),IF(OR(G101="30L",G101="30R"),_xlfn.XLOOKUP(C101,Tabla42[ADEP],Tabla42[SID 30L],""),""))</f>
        <v>UDGUV</v>
      </c>
      <c r="S101" s="3">
        <f t="shared" si="1"/>
        <v>19</v>
      </c>
      <c r="T101" s="3" t="str">
        <f>_xlfn.XLOOKUP(C101,Tabla42[ADEP],Tabla42[Sector],"")</f>
        <v>Sector 2</v>
      </c>
    </row>
    <row r="102" spans="1:20" x14ac:dyDescent="0.2">
      <c r="A102" s="13" t="s">
        <v>245</v>
      </c>
      <c r="B102" s="13" t="s">
        <v>18</v>
      </c>
      <c r="C102" s="13" t="s">
        <v>109</v>
      </c>
      <c r="D102" s="13" t="s">
        <v>122</v>
      </c>
      <c r="E102" s="13" t="s">
        <v>2795</v>
      </c>
      <c r="F102" s="14">
        <v>46302.81040509259</v>
      </c>
      <c r="G102" s="13" t="s">
        <v>21</v>
      </c>
      <c r="H102" s="13" t="s">
        <v>2297</v>
      </c>
      <c r="I102" s="15">
        <v>350</v>
      </c>
      <c r="J102" s="13" t="s">
        <v>22</v>
      </c>
      <c r="K102" s="13" t="s">
        <v>23</v>
      </c>
      <c r="L102" s="15">
        <v>153</v>
      </c>
      <c r="M102" s="13" t="s">
        <v>111</v>
      </c>
      <c r="N102" s="14">
        <v>46302.820891203708</v>
      </c>
      <c r="O102" s="15">
        <v>263</v>
      </c>
      <c r="P102" s="13" t="s">
        <v>25</v>
      </c>
      <c r="Q102" s="15">
        <v>190</v>
      </c>
      <c r="R102" s="3" t="str">
        <f>IF(OR(G102="12R",G102="12L"),_xlfn.XLOOKUP(C102,Tabla42[ADEP],Tabla42[SID 12R],""),IF(OR(G102="30L",G102="30R"),_xlfn.XLOOKUP(C102,Tabla42[ADEP],Tabla42[SID 30L],""),""))</f>
        <v>TAKUX</v>
      </c>
      <c r="S102" s="3">
        <f t="shared" si="1"/>
        <v>19</v>
      </c>
      <c r="T102" s="3" t="str">
        <f>_xlfn.XLOOKUP(C102,Tabla42[ADEP],Tabla42[Sector],"")</f>
        <v>Sector 7</v>
      </c>
    </row>
    <row r="103" spans="1:20" x14ac:dyDescent="0.2">
      <c r="A103" s="13" t="s">
        <v>247</v>
      </c>
      <c r="B103" s="13" t="s">
        <v>18</v>
      </c>
      <c r="C103" s="13" t="s">
        <v>137</v>
      </c>
      <c r="D103" s="13" t="s">
        <v>122</v>
      </c>
      <c r="E103" s="13" t="s">
        <v>2796</v>
      </c>
      <c r="F103" s="14">
        <v>46302.811874999999</v>
      </c>
      <c r="G103" s="13" t="s">
        <v>21</v>
      </c>
      <c r="H103" s="13" t="s">
        <v>1682</v>
      </c>
      <c r="I103" s="15">
        <v>330</v>
      </c>
      <c r="J103" s="13" t="s">
        <v>22</v>
      </c>
      <c r="K103" s="13" t="s">
        <v>23</v>
      </c>
      <c r="L103" s="15">
        <v>135</v>
      </c>
      <c r="M103" s="13" t="s">
        <v>39</v>
      </c>
      <c r="N103" s="14">
        <v>46302.820740740739</v>
      </c>
      <c r="O103" s="15">
        <v>224</v>
      </c>
      <c r="P103" s="13" t="s">
        <v>25</v>
      </c>
      <c r="Q103" s="15">
        <v>190</v>
      </c>
      <c r="R103" s="3" t="str">
        <f>IF(OR(G103="12R",G103="12L"),_xlfn.XLOOKUP(C103,Tabla42[ADEP],Tabla42[SID 12R],""),IF(OR(G103="30L",G103="30R"),_xlfn.XLOOKUP(C103,Tabla42[ADEP],Tabla42[SID 30L],""),""))</f>
        <v>NUDAL</v>
      </c>
      <c r="S103" s="3">
        <f t="shared" si="1"/>
        <v>19</v>
      </c>
      <c r="T103" s="3" t="str">
        <f>_xlfn.XLOOKUP(C103,Tabla42[ADEP],Tabla42[Sector],"")</f>
        <v>Sector 3</v>
      </c>
    </row>
    <row r="104" spans="1:20" x14ac:dyDescent="0.2">
      <c r="A104" s="13" t="s">
        <v>256</v>
      </c>
      <c r="B104" s="13" t="s">
        <v>18</v>
      </c>
      <c r="C104" s="13" t="s">
        <v>257</v>
      </c>
      <c r="D104" s="13" t="s">
        <v>117</v>
      </c>
      <c r="E104" s="13" t="s">
        <v>2797</v>
      </c>
      <c r="F104" s="14">
        <v>46302.813692129625</v>
      </c>
      <c r="G104" s="13" t="s">
        <v>21</v>
      </c>
      <c r="H104" s="13" t="s">
        <v>2798</v>
      </c>
      <c r="I104" s="15">
        <v>280</v>
      </c>
      <c r="J104" s="13" t="s">
        <v>22</v>
      </c>
      <c r="K104" s="13" t="s">
        <v>23</v>
      </c>
      <c r="L104" s="15">
        <v>460</v>
      </c>
      <c r="M104" s="13" t="s">
        <v>2799</v>
      </c>
      <c r="N104" s="14">
        <v>46302.837384259255</v>
      </c>
      <c r="O104" s="15">
        <v>280</v>
      </c>
      <c r="P104" s="13" t="s">
        <v>25</v>
      </c>
      <c r="Q104" s="15">
        <v>40</v>
      </c>
      <c r="R104" s="3" t="str">
        <f>IF(OR(G104="12R",G104="12L"),_xlfn.XLOOKUP(C104,Tabla42[ADEP],Tabla42[SID 12R],""),IF(OR(G104="30L",G104="30R"),_xlfn.XLOOKUP(C104,Tabla42[ADEP],Tabla42[SID 30L],""),""))</f>
        <v>UDGUV</v>
      </c>
      <c r="S104" s="3">
        <f t="shared" si="1"/>
        <v>19</v>
      </c>
      <c r="T104" s="3" t="str">
        <f>_xlfn.XLOOKUP(C104,Tabla42[ADEP],Tabla42[Sector],"")</f>
        <v>Sector 2</v>
      </c>
    </row>
    <row r="105" spans="1:20" x14ac:dyDescent="0.2">
      <c r="A105" s="13" t="s">
        <v>387</v>
      </c>
      <c r="B105" s="13" t="s">
        <v>18</v>
      </c>
      <c r="C105" s="13" t="s">
        <v>388</v>
      </c>
      <c r="D105" s="13" t="s">
        <v>60</v>
      </c>
      <c r="E105" s="13" t="s">
        <v>2800</v>
      </c>
      <c r="F105" s="14">
        <v>46302.814976851849</v>
      </c>
      <c r="G105" s="13" t="s">
        <v>21</v>
      </c>
      <c r="H105" s="13" t="s">
        <v>2801</v>
      </c>
      <c r="I105" s="15">
        <v>340</v>
      </c>
      <c r="J105" s="13" t="s">
        <v>22</v>
      </c>
      <c r="K105" s="13" t="s">
        <v>23</v>
      </c>
      <c r="L105" s="15">
        <v>377</v>
      </c>
      <c r="M105" s="13" t="s">
        <v>2802</v>
      </c>
      <c r="N105" s="14">
        <v>46302.835682870369</v>
      </c>
      <c r="O105" s="15">
        <v>340</v>
      </c>
      <c r="P105" s="13" t="s">
        <v>25</v>
      </c>
      <c r="Q105" s="15">
        <v>40</v>
      </c>
      <c r="R105" s="3" t="str">
        <f>IF(OR(G105="12R",G105="12L"),_xlfn.XLOOKUP(C105,Tabla42[ADEP],Tabla42[SID 12R],""),IF(OR(G105="30L",G105="30R"),_xlfn.XLOOKUP(C105,Tabla42[ADEP],Tabla42[SID 30L],""),""))</f>
        <v>ENEBA</v>
      </c>
      <c r="S105" s="3">
        <f t="shared" si="1"/>
        <v>19</v>
      </c>
      <c r="T105" s="3" t="str">
        <f>_xlfn.XLOOKUP(C105,Tabla42[ADEP],Tabla42[Sector],"")</f>
        <v>Sector 3</v>
      </c>
    </row>
    <row r="106" spans="1:20" x14ac:dyDescent="0.2">
      <c r="A106" s="13" t="s">
        <v>222</v>
      </c>
      <c r="B106" s="13" t="s">
        <v>18</v>
      </c>
      <c r="C106" s="13" t="s">
        <v>223</v>
      </c>
      <c r="D106" s="13" t="s">
        <v>28</v>
      </c>
      <c r="E106" s="13" t="s">
        <v>1202</v>
      </c>
      <c r="F106" s="14">
        <v>46302.81649305555</v>
      </c>
      <c r="G106" s="13" t="s">
        <v>21</v>
      </c>
      <c r="H106" s="13" t="s">
        <v>2803</v>
      </c>
      <c r="I106" s="15">
        <v>350</v>
      </c>
      <c r="J106" s="13" t="s">
        <v>22</v>
      </c>
      <c r="K106" s="13" t="s">
        <v>23</v>
      </c>
      <c r="L106" s="15">
        <v>353</v>
      </c>
      <c r="M106" s="13" t="s">
        <v>30</v>
      </c>
      <c r="N106" s="14">
        <v>46302.836053240739</v>
      </c>
      <c r="O106" s="15">
        <v>330</v>
      </c>
      <c r="P106" s="13" t="s">
        <v>25</v>
      </c>
      <c r="Q106" s="15">
        <v>40</v>
      </c>
      <c r="R106" s="3" t="str">
        <f>IF(OR(G106="12R",G106="12L"),_xlfn.XLOOKUP(C106,Tabla42[ADEP],Tabla42[SID 12R],""),IF(OR(G106="30L",G106="30R"),_xlfn.XLOOKUP(C106,Tabla42[ADEP],Tabla42[SID 30L],""),""))</f>
        <v>OMSUK</v>
      </c>
      <c r="S106" s="3">
        <f t="shared" si="1"/>
        <v>19</v>
      </c>
      <c r="T106" s="3" t="str">
        <f>_xlfn.XLOOKUP(C106,Tabla42[ADEP],Tabla42[Sector],"")</f>
        <v>Sector 3</v>
      </c>
    </row>
    <row r="107" spans="1:20" x14ac:dyDescent="0.2">
      <c r="A107" s="13" t="s">
        <v>2804</v>
      </c>
      <c r="B107" s="13" t="s">
        <v>18</v>
      </c>
      <c r="C107" s="13" t="s">
        <v>2664</v>
      </c>
      <c r="D107" s="13" t="s">
        <v>33</v>
      </c>
      <c r="E107" s="13" t="s">
        <v>368</v>
      </c>
      <c r="F107" s="14">
        <v>46302.817291666666</v>
      </c>
      <c r="G107" s="13" t="s">
        <v>21</v>
      </c>
      <c r="H107" s="13" t="s">
        <v>2805</v>
      </c>
      <c r="I107" s="15">
        <v>390</v>
      </c>
      <c r="J107" s="13" t="s">
        <v>22</v>
      </c>
      <c r="K107" s="13" t="s">
        <v>23</v>
      </c>
      <c r="L107" s="15">
        <v>136</v>
      </c>
      <c r="M107" s="13" t="s">
        <v>39</v>
      </c>
      <c r="N107" s="14">
        <v>46302.82607638889</v>
      </c>
      <c r="O107" s="15">
        <v>290</v>
      </c>
      <c r="P107" s="13" t="s">
        <v>25</v>
      </c>
      <c r="Q107" s="15">
        <v>190</v>
      </c>
      <c r="R107" s="3" t="str">
        <f>IF(OR(G107="12R",G107="12L"),_xlfn.XLOOKUP(C107,Tabla42[ADEP],Tabla42[SID 12R],""),IF(OR(G107="30L",G107="30R"),_xlfn.XLOOKUP(C107,Tabla42[ADEP],Tabla42[SID 30L],""),""))</f>
        <v/>
      </c>
      <c r="S107" s="3">
        <f t="shared" si="1"/>
        <v>19</v>
      </c>
      <c r="T107" s="3" t="str">
        <f>_xlfn.XLOOKUP(C107,Tabla42[ADEP],Tabla42[Sector],"")</f>
        <v/>
      </c>
    </row>
    <row r="108" spans="1:20" x14ac:dyDescent="0.2">
      <c r="A108" s="13" t="s">
        <v>251</v>
      </c>
      <c r="B108" s="13" t="s">
        <v>18</v>
      </c>
      <c r="C108" s="13" t="s">
        <v>126</v>
      </c>
      <c r="D108" s="13" t="s">
        <v>60</v>
      </c>
      <c r="E108" s="13" t="s">
        <v>659</v>
      </c>
      <c r="F108" s="14">
        <v>46302.818611111114</v>
      </c>
      <c r="G108" s="13" t="s">
        <v>21</v>
      </c>
      <c r="H108" s="13" t="s">
        <v>2806</v>
      </c>
      <c r="I108" s="15">
        <v>350</v>
      </c>
      <c r="J108" s="13" t="s">
        <v>22</v>
      </c>
      <c r="K108" s="13" t="s">
        <v>23</v>
      </c>
      <c r="L108" s="15">
        <v>358</v>
      </c>
      <c r="M108" s="13" t="s">
        <v>30</v>
      </c>
      <c r="N108" s="14">
        <v>46302.839502314819</v>
      </c>
      <c r="O108" s="15">
        <v>310</v>
      </c>
      <c r="P108" s="13" t="s">
        <v>25</v>
      </c>
      <c r="Q108" s="15">
        <v>40</v>
      </c>
      <c r="R108" s="3" t="str">
        <f>IF(OR(G108="12R",G108="12L"),_xlfn.XLOOKUP(C108,Tabla42[ADEP],Tabla42[SID 12R],""),IF(OR(G108="30L",G108="30R"),_xlfn.XLOOKUP(C108,Tabla42[ADEP],Tabla42[SID 30L],""),""))</f>
        <v>ENEBA</v>
      </c>
      <c r="S108" s="3">
        <f t="shared" si="1"/>
        <v>19</v>
      </c>
      <c r="T108" s="3" t="str">
        <f>_xlfn.XLOOKUP(C108,Tabla42[ADEP],Tabla42[Sector],"")</f>
        <v>Sector 3</v>
      </c>
    </row>
    <row r="109" spans="1:20" x14ac:dyDescent="0.2">
      <c r="A109" s="13" t="s">
        <v>259</v>
      </c>
      <c r="B109" s="13" t="s">
        <v>18</v>
      </c>
      <c r="C109" s="13" t="s">
        <v>32</v>
      </c>
      <c r="D109" s="13" t="s">
        <v>53</v>
      </c>
      <c r="E109" s="13" t="s">
        <v>2807</v>
      </c>
      <c r="F109" s="14">
        <v>46302.819722222222</v>
      </c>
      <c r="G109" s="13" t="s">
        <v>21</v>
      </c>
      <c r="H109" s="13" t="s">
        <v>2808</v>
      </c>
      <c r="I109" s="15">
        <v>380</v>
      </c>
      <c r="J109" s="13" t="s">
        <v>22</v>
      </c>
      <c r="K109" s="13" t="s">
        <v>23</v>
      </c>
      <c r="L109" s="15">
        <v>876</v>
      </c>
      <c r="M109" s="13" t="s">
        <v>953</v>
      </c>
      <c r="N109" s="14">
        <v>46302.866701388892</v>
      </c>
      <c r="O109" s="15">
        <v>380</v>
      </c>
      <c r="P109" s="13" t="s">
        <v>25</v>
      </c>
      <c r="Q109" s="15">
        <v>190</v>
      </c>
      <c r="R109" s="3" t="str">
        <f>IF(OR(G109="12R",G109="12L"),_xlfn.XLOOKUP(C109,Tabla42[ADEP],Tabla42[SID 12R],""),IF(OR(G109="30L",G109="30R"),_xlfn.XLOOKUP(C109,Tabla42[ADEP],Tabla42[SID 30L],""),""))</f>
        <v>UDGUV</v>
      </c>
      <c r="S109" s="3">
        <f t="shared" si="1"/>
        <v>19</v>
      </c>
      <c r="T109" s="3" t="str">
        <f>_xlfn.XLOOKUP(C109,Tabla42[ADEP],Tabla42[Sector],"")</f>
        <v>Sector 2</v>
      </c>
    </row>
    <row r="110" spans="1:20" x14ac:dyDescent="0.2">
      <c r="A110" s="13" t="s">
        <v>268</v>
      </c>
      <c r="B110" s="13" t="s">
        <v>18</v>
      </c>
      <c r="C110" s="13" t="s">
        <v>42</v>
      </c>
      <c r="D110" s="13" t="s">
        <v>43</v>
      </c>
      <c r="E110" s="13" t="s">
        <v>182</v>
      </c>
      <c r="F110" s="14">
        <v>46302.821377314816</v>
      </c>
      <c r="G110" s="13" t="s">
        <v>21</v>
      </c>
      <c r="H110" s="13" t="s">
        <v>2809</v>
      </c>
      <c r="I110" s="15">
        <v>360</v>
      </c>
      <c r="J110" s="13" t="s">
        <v>22</v>
      </c>
      <c r="K110" s="13" t="s">
        <v>23</v>
      </c>
      <c r="L110" s="15">
        <v>912</v>
      </c>
      <c r="M110" s="13" t="s">
        <v>2810</v>
      </c>
      <c r="N110" s="14">
        <v>46302.869363425925</v>
      </c>
      <c r="O110" s="15">
        <v>340</v>
      </c>
      <c r="P110" s="13" t="s">
        <v>25</v>
      </c>
      <c r="Q110" s="15">
        <v>190</v>
      </c>
      <c r="R110" s="3" t="str">
        <f>IF(OR(G110="12R",G110="12L"),_xlfn.XLOOKUP(C110,Tabla42[ADEP],Tabla42[SID 12R],""),IF(OR(G110="30L",G110="30R"),_xlfn.XLOOKUP(C110,Tabla42[ADEP],Tabla42[SID 30L],""),""))</f>
        <v>UDGUV</v>
      </c>
      <c r="S110" s="3">
        <f t="shared" si="1"/>
        <v>19</v>
      </c>
      <c r="T110" s="3" t="str">
        <f>_xlfn.XLOOKUP(C110,Tabla42[ADEP],Tabla42[Sector],"")</f>
        <v>Sector 2</v>
      </c>
    </row>
    <row r="111" spans="1:20" x14ac:dyDescent="0.2">
      <c r="A111" s="13" t="s">
        <v>253</v>
      </c>
      <c r="B111" s="13" t="s">
        <v>18</v>
      </c>
      <c r="C111" s="13" t="s">
        <v>254</v>
      </c>
      <c r="D111" s="13" t="s">
        <v>20</v>
      </c>
      <c r="E111" s="13" t="s">
        <v>2209</v>
      </c>
      <c r="F111" s="14">
        <v>46302.823148148149</v>
      </c>
      <c r="G111" s="13" t="s">
        <v>21</v>
      </c>
      <c r="H111" s="13" t="s">
        <v>2811</v>
      </c>
      <c r="I111" s="15">
        <v>340</v>
      </c>
      <c r="J111" s="13" t="s">
        <v>22</v>
      </c>
      <c r="K111" s="13" t="s">
        <v>23</v>
      </c>
      <c r="L111" s="15">
        <v>960</v>
      </c>
      <c r="M111" s="13" t="s">
        <v>2812</v>
      </c>
      <c r="N111" s="14">
        <v>46302.873831018514</v>
      </c>
      <c r="O111" s="15">
        <v>340</v>
      </c>
      <c r="P111" s="13" t="s">
        <v>25</v>
      </c>
      <c r="Q111" s="15">
        <v>190</v>
      </c>
      <c r="R111" s="3" t="str">
        <f>IF(OR(G111="12R",G111="12L"),_xlfn.XLOOKUP(C111,Tabla42[ADEP],Tabla42[SID 12R],""),IF(OR(G111="30L",G111="30R"),_xlfn.XLOOKUP(C111,Tabla42[ADEP],Tabla42[SID 30L],""),""))</f>
        <v>UDGUV</v>
      </c>
      <c r="S111" s="3">
        <f t="shared" si="1"/>
        <v>19</v>
      </c>
      <c r="T111" s="3" t="str">
        <f>_xlfn.XLOOKUP(C111,Tabla42[ADEP],Tabla42[Sector],"")</f>
        <v>Sector 2</v>
      </c>
    </row>
    <row r="112" spans="1:20" x14ac:dyDescent="0.2">
      <c r="A112" s="13" t="s">
        <v>389</v>
      </c>
      <c r="B112" s="13" t="s">
        <v>18</v>
      </c>
      <c r="C112" s="13" t="s">
        <v>242</v>
      </c>
      <c r="D112" s="13" t="s">
        <v>243</v>
      </c>
      <c r="E112" s="13" t="s">
        <v>534</v>
      </c>
      <c r="F112" s="14">
        <v>46302.824942129635</v>
      </c>
      <c r="G112" s="13" t="s">
        <v>21</v>
      </c>
      <c r="H112" s="13" t="s">
        <v>2813</v>
      </c>
      <c r="I112" s="15">
        <v>370</v>
      </c>
      <c r="J112" s="13" t="s">
        <v>22</v>
      </c>
      <c r="K112" s="13" t="s">
        <v>23</v>
      </c>
      <c r="L112" s="15">
        <v>359</v>
      </c>
      <c r="M112" s="13" t="s">
        <v>30</v>
      </c>
      <c r="N112" s="14">
        <v>46302.844467592593</v>
      </c>
      <c r="O112" s="15">
        <v>350</v>
      </c>
      <c r="P112" s="13" t="s">
        <v>40</v>
      </c>
      <c r="Q112" s="15">
        <v>40</v>
      </c>
      <c r="R112" s="3" t="str">
        <f>IF(OR(G112="12R",G112="12L"),_xlfn.XLOOKUP(C112,Tabla42[ADEP],Tabla42[SID 12R],""),IF(OR(G112="30L",G112="30R"),_xlfn.XLOOKUP(C112,Tabla42[ADEP],Tabla42[SID 30L],""),""))</f>
        <v>NUDAL</v>
      </c>
      <c r="S112" s="3">
        <f t="shared" si="1"/>
        <v>19</v>
      </c>
      <c r="T112" s="3" t="str">
        <f>_xlfn.XLOOKUP(C112,Tabla42[ADEP],Tabla42[Sector],"")</f>
        <v>Sector 3</v>
      </c>
    </row>
    <row r="113" spans="1:20" x14ac:dyDescent="0.2">
      <c r="A113" s="13" t="s">
        <v>261</v>
      </c>
      <c r="B113" s="13" t="s">
        <v>18</v>
      </c>
      <c r="C113" s="13" t="s">
        <v>158</v>
      </c>
      <c r="D113" s="13" t="s">
        <v>33</v>
      </c>
      <c r="E113" s="13" t="s">
        <v>2814</v>
      </c>
      <c r="F113" s="14">
        <v>46302.82644675926</v>
      </c>
      <c r="G113" s="13" t="s">
        <v>21</v>
      </c>
      <c r="H113" s="13" t="s">
        <v>2815</v>
      </c>
      <c r="I113" s="15">
        <v>350</v>
      </c>
      <c r="J113" s="13" t="s">
        <v>22</v>
      </c>
      <c r="K113" s="13" t="s">
        <v>23</v>
      </c>
      <c r="L113" s="15">
        <v>134</v>
      </c>
      <c r="M113" s="13" t="s">
        <v>39</v>
      </c>
      <c r="N113" s="14">
        <v>46302.8356712963</v>
      </c>
      <c r="O113" s="15">
        <v>229</v>
      </c>
      <c r="P113" s="13" t="s">
        <v>25</v>
      </c>
      <c r="Q113" s="15">
        <v>190</v>
      </c>
      <c r="R113" s="3" t="str">
        <f>IF(OR(G113="12R",G113="12L"),_xlfn.XLOOKUP(C113,Tabla42[ADEP],Tabla42[SID 12R],""),IF(OR(G113="30L",G113="30R"),_xlfn.XLOOKUP(C113,Tabla42[ADEP],Tabla42[SID 30L],""),""))</f>
        <v>OMSUK</v>
      </c>
      <c r="S113" s="3">
        <f t="shared" si="1"/>
        <v>19</v>
      </c>
      <c r="T113" s="3" t="str">
        <f>_xlfn.XLOOKUP(C113,Tabla42[ADEP],Tabla42[Sector],"")</f>
        <v>Sector 3</v>
      </c>
    </row>
    <row r="114" spans="1:20" x14ac:dyDescent="0.2">
      <c r="A114" s="13" t="s">
        <v>264</v>
      </c>
      <c r="B114" s="13" t="s">
        <v>18</v>
      </c>
      <c r="C114" s="13" t="s">
        <v>265</v>
      </c>
      <c r="D114" s="13" t="s">
        <v>33</v>
      </c>
      <c r="E114" s="13" t="s">
        <v>2816</v>
      </c>
      <c r="F114" s="14">
        <v>46302.827418981484</v>
      </c>
      <c r="G114" s="13" t="s">
        <v>21</v>
      </c>
      <c r="H114" s="13" t="s">
        <v>2817</v>
      </c>
      <c r="I114" s="15">
        <v>380</v>
      </c>
      <c r="J114" s="13" t="s">
        <v>22</v>
      </c>
      <c r="K114" s="13" t="s">
        <v>23</v>
      </c>
      <c r="L114" s="15">
        <v>929</v>
      </c>
      <c r="M114" s="13" t="s">
        <v>2818</v>
      </c>
      <c r="N114" s="14">
        <v>46302.87672453704</v>
      </c>
      <c r="O114" s="15">
        <v>380</v>
      </c>
      <c r="P114" s="13" t="s">
        <v>25</v>
      </c>
      <c r="Q114" s="15">
        <v>190</v>
      </c>
      <c r="R114" s="3" t="str">
        <f>IF(OR(G114="12R",G114="12L"),_xlfn.XLOOKUP(C114,Tabla42[ADEP],Tabla42[SID 12R],""),IF(OR(G114="30L",G114="30R"),_xlfn.XLOOKUP(C114,Tabla42[ADEP],Tabla42[SID 30L],""),""))</f>
        <v>UDGUV</v>
      </c>
      <c r="S114" s="3">
        <f t="shared" si="1"/>
        <v>19</v>
      </c>
      <c r="T114" s="3" t="str">
        <f>_xlfn.XLOOKUP(C114,Tabla42[ADEP],Tabla42[Sector],"")</f>
        <v>Sector 2</v>
      </c>
    </row>
    <row r="115" spans="1:20" x14ac:dyDescent="0.2">
      <c r="A115" s="13" t="s">
        <v>443</v>
      </c>
      <c r="B115" s="13" t="s">
        <v>18</v>
      </c>
      <c r="C115" s="13" t="s">
        <v>444</v>
      </c>
      <c r="D115" s="13" t="s">
        <v>122</v>
      </c>
      <c r="E115" s="13" t="s">
        <v>590</v>
      </c>
      <c r="F115" s="14">
        <v>46302.828414351854</v>
      </c>
      <c r="G115" s="13" t="s">
        <v>21</v>
      </c>
      <c r="H115" s="13" t="s">
        <v>2819</v>
      </c>
      <c r="I115" s="15">
        <v>340</v>
      </c>
      <c r="J115" s="13" t="s">
        <v>22</v>
      </c>
      <c r="K115" s="13" t="s">
        <v>23</v>
      </c>
      <c r="L115" s="15">
        <v>439</v>
      </c>
      <c r="M115" s="13" t="s">
        <v>189</v>
      </c>
      <c r="N115" s="14">
        <v>46302.851782407408</v>
      </c>
      <c r="O115" s="15">
        <v>340</v>
      </c>
      <c r="P115" s="13" t="s">
        <v>25</v>
      </c>
      <c r="Q115" s="15">
        <v>40</v>
      </c>
      <c r="R115" s="3" t="str">
        <f>IF(OR(G115="12R",G115="12L"),_xlfn.XLOOKUP(C115,Tabla42[ADEP],Tabla42[SID 12R],""),IF(OR(G115="30L",G115="30R"),_xlfn.XLOOKUP(C115,Tabla42[ADEP],Tabla42[SID 30L],""),""))</f>
        <v>ENEBA</v>
      </c>
      <c r="S115" s="3">
        <f t="shared" si="1"/>
        <v>19</v>
      </c>
      <c r="T115" s="3" t="str">
        <f>_xlfn.XLOOKUP(C115,Tabla42[ADEP],Tabla42[Sector],"")</f>
        <v>Sector 3</v>
      </c>
    </row>
    <row r="116" spans="1:20" x14ac:dyDescent="0.2">
      <c r="A116" s="13" t="s">
        <v>238</v>
      </c>
      <c r="B116" s="13" t="s">
        <v>18</v>
      </c>
      <c r="C116" s="13" t="s">
        <v>239</v>
      </c>
      <c r="D116" s="13" t="s">
        <v>20</v>
      </c>
      <c r="E116" s="13" t="s">
        <v>2141</v>
      </c>
      <c r="F116" s="14">
        <v>46302.829340277778</v>
      </c>
      <c r="G116" s="13" t="s">
        <v>21</v>
      </c>
      <c r="H116" s="13" t="s">
        <v>2820</v>
      </c>
      <c r="I116" s="15">
        <v>340</v>
      </c>
      <c r="J116" s="13" t="s">
        <v>22</v>
      </c>
      <c r="K116" s="13" t="s">
        <v>23</v>
      </c>
      <c r="L116" s="15">
        <v>938</v>
      </c>
      <c r="M116" s="13" t="s">
        <v>2821</v>
      </c>
      <c r="N116" s="14">
        <v>46302.87972222222</v>
      </c>
      <c r="O116" s="15">
        <v>340</v>
      </c>
      <c r="P116" s="13" t="s">
        <v>25</v>
      </c>
      <c r="Q116" s="15">
        <v>190</v>
      </c>
      <c r="R116" s="3" t="str">
        <f>IF(OR(G116="12R",G116="12L"),_xlfn.XLOOKUP(C116,Tabla42[ADEP],Tabla42[SID 12R],""),IF(OR(G116="30L",G116="30R"),_xlfn.XLOOKUP(C116,Tabla42[ADEP],Tabla42[SID 30L],""),""))</f>
        <v>UDGUV</v>
      </c>
      <c r="S116" s="3">
        <f t="shared" si="1"/>
        <v>19</v>
      </c>
      <c r="T116" s="3" t="str">
        <f>_xlfn.XLOOKUP(C116,Tabla42[ADEP],Tabla42[Sector],"")</f>
        <v>Sector 2</v>
      </c>
    </row>
    <row r="117" spans="1:20" x14ac:dyDescent="0.2">
      <c r="A117" s="13" t="s">
        <v>271</v>
      </c>
      <c r="B117" s="13" t="s">
        <v>18</v>
      </c>
      <c r="C117" s="13" t="s">
        <v>116</v>
      </c>
      <c r="D117" s="13" t="s">
        <v>43</v>
      </c>
      <c r="E117" s="13" t="s">
        <v>548</v>
      </c>
      <c r="F117" s="14">
        <v>46302.830393518518</v>
      </c>
      <c r="G117" s="13" t="s">
        <v>21</v>
      </c>
      <c r="H117" s="13" t="s">
        <v>2822</v>
      </c>
      <c r="I117" s="15">
        <v>380</v>
      </c>
      <c r="J117" s="13" t="s">
        <v>22</v>
      </c>
      <c r="K117" s="13" t="s">
        <v>23</v>
      </c>
      <c r="L117" s="15">
        <v>446</v>
      </c>
      <c r="M117" s="13" t="s">
        <v>189</v>
      </c>
      <c r="N117" s="14">
        <v>46302.854074074072</v>
      </c>
      <c r="O117" s="15">
        <v>380</v>
      </c>
      <c r="P117" s="13" t="s">
        <v>25</v>
      </c>
      <c r="Q117" s="15">
        <v>40</v>
      </c>
      <c r="R117" s="3" t="str">
        <f>IF(OR(G117="12R",G117="12L"),_xlfn.XLOOKUP(C117,Tabla42[ADEP],Tabla42[SID 12R],""),IF(OR(G117="30L",G117="30R"),_xlfn.XLOOKUP(C117,Tabla42[ADEP],Tabla42[SID 30L],""),""))</f>
        <v>ENEBA</v>
      </c>
      <c r="S117" s="3">
        <f t="shared" si="1"/>
        <v>19</v>
      </c>
      <c r="T117" s="3" t="str">
        <f>_xlfn.XLOOKUP(C117,Tabla42[ADEP],Tabla42[Sector],"")</f>
        <v>Sector 3</v>
      </c>
    </row>
    <row r="118" spans="1:20" x14ac:dyDescent="0.2">
      <c r="A118" s="13" t="s">
        <v>445</v>
      </c>
      <c r="B118" s="13" t="s">
        <v>18</v>
      </c>
      <c r="C118" s="13" t="s">
        <v>263</v>
      </c>
      <c r="D118" s="13" t="s">
        <v>122</v>
      </c>
      <c r="E118" s="13" t="s">
        <v>2823</v>
      </c>
      <c r="F118" s="14">
        <v>46302.831770833334</v>
      </c>
      <c r="G118" s="13" t="s">
        <v>21</v>
      </c>
      <c r="H118" s="13" t="s">
        <v>2824</v>
      </c>
      <c r="I118" s="15">
        <v>350</v>
      </c>
      <c r="J118" s="13" t="s">
        <v>22</v>
      </c>
      <c r="K118" s="13" t="s">
        <v>23</v>
      </c>
      <c r="L118" s="15">
        <v>134</v>
      </c>
      <c r="M118" s="13" t="s">
        <v>39</v>
      </c>
      <c r="N118" s="14">
        <v>46302.840497685189</v>
      </c>
      <c r="O118" s="15">
        <v>270</v>
      </c>
      <c r="P118" s="13" t="s">
        <v>25</v>
      </c>
      <c r="Q118" s="15">
        <v>190</v>
      </c>
      <c r="R118" s="3" t="str">
        <f>IF(OR(G118="12R",G118="12L"),_xlfn.XLOOKUP(C118,Tabla42[ADEP],Tabla42[SID 12R],""),IF(OR(G118="30L",G118="30R"),_xlfn.XLOOKUP(C118,Tabla42[ADEP],Tabla42[SID 30L],""),""))</f>
        <v>OMSUK</v>
      </c>
      <c r="S118" s="3">
        <f t="shared" si="1"/>
        <v>19</v>
      </c>
      <c r="T118" s="3" t="str">
        <f>_xlfn.XLOOKUP(C118,Tabla42[ADEP],Tabla42[Sector],"")</f>
        <v>Sector 3</v>
      </c>
    </row>
    <row r="119" spans="1:20" x14ac:dyDescent="0.2">
      <c r="A119" s="13" t="s">
        <v>266</v>
      </c>
      <c r="B119" s="13" t="s">
        <v>18</v>
      </c>
      <c r="C119" s="13" t="s">
        <v>184</v>
      </c>
      <c r="D119" s="13" t="s">
        <v>60</v>
      </c>
      <c r="E119" s="13" t="s">
        <v>2133</v>
      </c>
      <c r="F119" s="14">
        <v>46302.832951388889</v>
      </c>
      <c r="G119" s="13" t="s">
        <v>21</v>
      </c>
      <c r="H119" s="13" t="s">
        <v>2825</v>
      </c>
      <c r="I119" s="15">
        <v>330</v>
      </c>
      <c r="J119" s="13" t="s">
        <v>22</v>
      </c>
      <c r="K119" s="13" t="s">
        <v>23</v>
      </c>
      <c r="L119" s="15">
        <v>359</v>
      </c>
      <c r="M119" s="13" t="s">
        <v>30</v>
      </c>
      <c r="N119" s="14">
        <v>46302.852986111116</v>
      </c>
      <c r="O119" s="15">
        <v>330</v>
      </c>
      <c r="P119" s="13" t="s">
        <v>25</v>
      </c>
      <c r="Q119" s="15">
        <v>40</v>
      </c>
      <c r="R119" s="3" t="str">
        <f>IF(OR(G119="12R",G119="12L"),_xlfn.XLOOKUP(C119,Tabla42[ADEP],Tabla42[SID 12R],""),IF(OR(G119="30L",G119="30R"),_xlfn.XLOOKUP(C119,Tabla42[ADEP],Tabla42[SID 30L],""),""))</f>
        <v>OMSUK</v>
      </c>
      <c r="S119" s="3">
        <f t="shared" si="1"/>
        <v>19</v>
      </c>
      <c r="T119" s="3" t="str">
        <f>_xlfn.XLOOKUP(C119,Tabla42[ADEP],Tabla42[Sector],"")</f>
        <v>Sector 3</v>
      </c>
    </row>
    <row r="120" spans="1:20" x14ac:dyDescent="0.2">
      <c r="A120" s="13" t="s">
        <v>278</v>
      </c>
      <c r="B120" s="13" t="s">
        <v>18</v>
      </c>
      <c r="C120" s="13" t="s">
        <v>265</v>
      </c>
      <c r="D120" s="13" t="s">
        <v>53</v>
      </c>
      <c r="E120" s="13" t="s">
        <v>699</v>
      </c>
      <c r="F120" s="14">
        <v>46302.83388888889</v>
      </c>
      <c r="G120" s="13" t="s">
        <v>21</v>
      </c>
      <c r="H120" s="13" t="s">
        <v>2826</v>
      </c>
      <c r="I120" s="15">
        <v>380</v>
      </c>
      <c r="J120" s="13" t="s">
        <v>22</v>
      </c>
      <c r="K120" s="13" t="s">
        <v>23</v>
      </c>
      <c r="L120" s="15">
        <v>892</v>
      </c>
      <c r="M120" s="13" t="s">
        <v>2611</v>
      </c>
      <c r="N120" s="14">
        <v>46302.882777777777</v>
      </c>
      <c r="O120" s="15">
        <v>380</v>
      </c>
      <c r="P120" s="13" t="s">
        <v>25</v>
      </c>
      <c r="Q120" s="15">
        <v>190</v>
      </c>
      <c r="R120" s="3" t="str">
        <f>IF(OR(G120="12R",G120="12L"),_xlfn.XLOOKUP(C120,Tabla42[ADEP],Tabla42[SID 12R],""),IF(OR(G120="30L",G120="30R"),_xlfn.XLOOKUP(C120,Tabla42[ADEP],Tabla42[SID 30L],""),""))</f>
        <v>UDGUV</v>
      </c>
      <c r="S120" s="3">
        <f t="shared" si="1"/>
        <v>20</v>
      </c>
      <c r="T120" s="3" t="str">
        <f>_xlfn.XLOOKUP(C120,Tabla42[ADEP],Tabla42[Sector],"")</f>
        <v>Sector 2</v>
      </c>
    </row>
    <row r="121" spans="1:20" x14ac:dyDescent="0.2">
      <c r="A121" s="13" t="s">
        <v>284</v>
      </c>
      <c r="B121" s="13" t="s">
        <v>18</v>
      </c>
      <c r="C121" s="13" t="s">
        <v>137</v>
      </c>
      <c r="D121" s="13" t="s">
        <v>60</v>
      </c>
      <c r="E121" s="13" t="s">
        <v>758</v>
      </c>
      <c r="F121" s="14">
        <v>46302.83488425926</v>
      </c>
      <c r="G121" s="13" t="s">
        <v>21</v>
      </c>
      <c r="H121" s="13" t="s">
        <v>386</v>
      </c>
      <c r="I121" s="15">
        <v>330</v>
      </c>
      <c r="J121" s="13" t="s">
        <v>22</v>
      </c>
      <c r="K121" s="13" t="s">
        <v>23</v>
      </c>
      <c r="L121" s="15">
        <v>136</v>
      </c>
      <c r="M121" s="13" t="s">
        <v>39</v>
      </c>
      <c r="N121" s="14">
        <v>46302.843831018516</v>
      </c>
      <c r="O121" s="15">
        <v>246</v>
      </c>
      <c r="P121" s="13" t="s">
        <v>25</v>
      </c>
      <c r="Q121" s="15">
        <v>190</v>
      </c>
      <c r="R121" s="3" t="str">
        <f>IF(OR(G121="12R",G121="12L"),_xlfn.XLOOKUP(C121,Tabla42[ADEP],Tabla42[SID 12R],""),IF(OR(G121="30L",G121="30R"),_xlfn.XLOOKUP(C121,Tabla42[ADEP],Tabla42[SID 30L],""),""))</f>
        <v>NUDAL</v>
      </c>
      <c r="S121" s="3">
        <f t="shared" si="1"/>
        <v>20</v>
      </c>
      <c r="T121" s="3" t="str">
        <f>_xlfn.XLOOKUP(C121,Tabla42[ADEP],Tabla42[Sector],"")</f>
        <v>Sector 3</v>
      </c>
    </row>
    <row r="122" spans="1:20" x14ac:dyDescent="0.2">
      <c r="A122" s="13" t="s">
        <v>272</v>
      </c>
      <c r="B122" s="13" t="s">
        <v>18</v>
      </c>
      <c r="C122" s="13" t="s">
        <v>42</v>
      </c>
      <c r="D122" s="13" t="s">
        <v>20</v>
      </c>
      <c r="E122" s="13" t="s">
        <v>1010</v>
      </c>
      <c r="F122" s="14">
        <v>46302.837187500001</v>
      </c>
      <c r="G122" s="13" t="s">
        <v>21</v>
      </c>
      <c r="H122" s="13" t="s">
        <v>2827</v>
      </c>
      <c r="I122" s="15">
        <v>360</v>
      </c>
      <c r="J122" s="13" t="s">
        <v>22</v>
      </c>
      <c r="K122" s="13" t="s">
        <v>23</v>
      </c>
      <c r="L122" s="15">
        <v>893</v>
      </c>
      <c r="M122" s="13" t="s">
        <v>2828</v>
      </c>
      <c r="N122" s="14">
        <v>46302.884930555556</v>
      </c>
      <c r="O122" s="15">
        <v>360</v>
      </c>
      <c r="P122" s="13" t="s">
        <v>25</v>
      </c>
      <c r="Q122" s="15">
        <v>190</v>
      </c>
      <c r="R122" s="3" t="str">
        <f>IF(OR(G122="12R",G122="12L"),_xlfn.XLOOKUP(C122,Tabla42[ADEP],Tabla42[SID 12R],""),IF(OR(G122="30L",G122="30R"),_xlfn.XLOOKUP(C122,Tabla42[ADEP],Tabla42[SID 30L],""),""))</f>
        <v>UDGUV</v>
      </c>
      <c r="S122" s="3">
        <f t="shared" si="1"/>
        <v>20</v>
      </c>
      <c r="T122" s="3" t="str">
        <f>_xlfn.XLOOKUP(C122,Tabla42[ADEP],Tabla42[Sector],"")</f>
        <v>Sector 2</v>
      </c>
    </row>
    <row r="123" spans="1:20" x14ac:dyDescent="0.2">
      <c r="A123" s="13" t="s">
        <v>274</v>
      </c>
      <c r="B123" s="13" t="s">
        <v>18</v>
      </c>
      <c r="C123" s="13" t="s">
        <v>96</v>
      </c>
      <c r="D123" s="13" t="s">
        <v>53</v>
      </c>
      <c r="E123" s="13" t="s">
        <v>734</v>
      </c>
      <c r="F123" s="14">
        <v>46302.838495370372</v>
      </c>
      <c r="G123" s="13" t="s">
        <v>21</v>
      </c>
      <c r="H123" s="13" t="s">
        <v>2829</v>
      </c>
      <c r="I123" s="15">
        <v>380</v>
      </c>
      <c r="J123" s="13" t="s">
        <v>22</v>
      </c>
      <c r="K123" s="13" t="s">
        <v>23</v>
      </c>
      <c r="L123" s="15">
        <v>844</v>
      </c>
      <c r="M123" s="13" t="s">
        <v>2830</v>
      </c>
      <c r="N123" s="14">
        <v>46302.899108796293</v>
      </c>
      <c r="O123" s="15">
        <v>380</v>
      </c>
      <c r="P123" s="13" t="s">
        <v>25</v>
      </c>
      <c r="Q123" s="15">
        <v>190</v>
      </c>
      <c r="R123" s="3" t="str">
        <f>IF(OR(G123="12R",G123="12L"),_xlfn.XLOOKUP(C123,Tabla42[ADEP],Tabla42[SID 12R],""),IF(OR(G123="30L",G123="30R"),_xlfn.XLOOKUP(C123,Tabla42[ADEP],Tabla42[SID 30L],""),""))</f>
        <v>UDGUV</v>
      </c>
      <c r="S123" s="3">
        <f t="shared" si="1"/>
        <v>20</v>
      </c>
      <c r="T123" s="3" t="str">
        <f>_xlfn.XLOOKUP(C123,Tabla42[ADEP],Tabla42[Sector],"")</f>
        <v>Sector 2</v>
      </c>
    </row>
    <row r="124" spans="1:20" x14ac:dyDescent="0.2">
      <c r="A124" s="13" t="s">
        <v>744</v>
      </c>
      <c r="B124" s="13" t="s">
        <v>18</v>
      </c>
      <c r="C124" s="13" t="s">
        <v>188</v>
      </c>
      <c r="D124" s="13" t="s">
        <v>28</v>
      </c>
      <c r="E124" s="13" t="s">
        <v>2831</v>
      </c>
      <c r="F124" s="14">
        <v>46302.839872685188</v>
      </c>
      <c r="G124" s="13" t="s">
        <v>21</v>
      </c>
      <c r="H124" s="13" t="s">
        <v>2832</v>
      </c>
      <c r="I124" s="15">
        <v>340</v>
      </c>
      <c r="J124" s="13" t="s">
        <v>22</v>
      </c>
      <c r="K124" s="13" t="s">
        <v>23</v>
      </c>
      <c r="L124" s="15">
        <v>442</v>
      </c>
      <c r="M124" s="13" t="s">
        <v>189</v>
      </c>
      <c r="N124" s="14">
        <v>46302.863888888889</v>
      </c>
      <c r="O124" s="15">
        <v>380</v>
      </c>
      <c r="P124" s="13" t="s">
        <v>25</v>
      </c>
      <c r="Q124" s="15">
        <v>40</v>
      </c>
      <c r="R124" s="3" t="str">
        <f>IF(OR(G124="12R",G124="12L"),_xlfn.XLOOKUP(C124,Tabla42[ADEP],Tabla42[SID 12R],""),IF(OR(G124="30L",G124="30R"),_xlfn.XLOOKUP(C124,Tabla42[ADEP],Tabla42[SID 30L],""),""))</f>
        <v>ENEBA</v>
      </c>
      <c r="S124" s="3">
        <f t="shared" si="1"/>
        <v>20</v>
      </c>
      <c r="T124" s="3" t="str">
        <f>_xlfn.XLOOKUP(C124,Tabla42[ADEP],Tabla42[Sector],"")</f>
        <v>Sector 3</v>
      </c>
    </row>
    <row r="125" spans="1:20" x14ac:dyDescent="0.2">
      <c r="A125" s="13" t="s">
        <v>2095</v>
      </c>
      <c r="B125" s="13" t="s">
        <v>18</v>
      </c>
      <c r="C125" s="13" t="s">
        <v>121</v>
      </c>
      <c r="D125" s="13" t="s">
        <v>122</v>
      </c>
      <c r="E125" s="13" t="s">
        <v>2833</v>
      </c>
      <c r="F125" s="14">
        <v>46302.841979166667</v>
      </c>
      <c r="G125" s="13" t="s">
        <v>21</v>
      </c>
      <c r="H125" s="13" t="s">
        <v>2834</v>
      </c>
      <c r="I125" s="15">
        <v>360</v>
      </c>
      <c r="J125" s="13" t="s">
        <v>22</v>
      </c>
      <c r="K125" s="13" t="s">
        <v>23</v>
      </c>
      <c r="L125" s="15">
        <v>444</v>
      </c>
      <c r="M125" s="13" t="s">
        <v>189</v>
      </c>
      <c r="N125" s="14">
        <v>46302.867094907408</v>
      </c>
      <c r="O125" s="15">
        <v>360</v>
      </c>
      <c r="P125" s="13" t="s">
        <v>25</v>
      </c>
      <c r="Q125" s="15">
        <v>40</v>
      </c>
      <c r="R125" s="3" t="str">
        <f>IF(OR(G125="12R",G125="12L"),_xlfn.XLOOKUP(C125,Tabla42[ADEP],Tabla42[SID 12R],""),IF(OR(G125="30L",G125="30R"),_xlfn.XLOOKUP(C125,Tabla42[ADEP],Tabla42[SID 30L],""),""))</f>
        <v>ENEBA</v>
      </c>
      <c r="S125" s="3">
        <f t="shared" si="1"/>
        <v>20</v>
      </c>
      <c r="T125" s="3" t="str">
        <f>_xlfn.XLOOKUP(C125,Tabla42[ADEP],Tabla42[Sector],"")</f>
        <v>Sector 3</v>
      </c>
    </row>
    <row r="126" spans="1:20" x14ac:dyDescent="0.2">
      <c r="A126" s="13" t="s">
        <v>2835</v>
      </c>
      <c r="B126" s="13" t="s">
        <v>18</v>
      </c>
      <c r="C126" s="13" t="s">
        <v>49</v>
      </c>
      <c r="D126" s="13" t="s">
        <v>124</v>
      </c>
      <c r="E126" s="13"/>
      <c r="F126" s="14">
        <v>46302.843321759261</v>
      </c>
      <c r="G126" s="13" t="s">
        <v>21</v>
      </c>
      <c r="H126" s="13" t="s">
        <v>2836</v>
      </c>
      <c r="I126" s="15">
        <v>340</v>
      </c>
      <c r="J126" s="13" t="s">
        <v>22</v>
      </c>
      <c r="K126" s="13" t="s">
        <v>50</v>
      </c>
      <c r="L126" s="15">
        <v>870</v>
      </c>
      <c r="M126" s="13" t="s">
        <v>632</v>
      </c>
      <c r="N126" s="14">
        <v>46302.896273148144</v>
      </c>
      <c r="O126" s="15">
        <v>340</v>
      </c>
      <c r="P126" s="13" t="s">
        <v>25</v>
      </c>
      <c r="Q126" s="15">
        <v>30</v>
      </c>
      <c r="R126" s="3" t="str">
        <f>IF(OR(G126="12R",G126="12L"),_xlfn.XLOOKUP(C126,Tabla42[ADEP],Tabla42[SID 12R],""),IF(OR(G126="30L",G126="30R"),_xlfn.XLOOKUP(C126,Tabla42[ADEP],Tabla42[SID 30L],""),""))</f>
        <v>UDGUV</v>
      </c>
      <c r="S126" s="3">
        <f t="shared" si="1"/>
        <v>20</v>
      </c>
      <c r="T126" s="3" t="str">
        <f>_xlfn.XLOOKUP(C126,Tabla42[ADEP],Tabla42[Sector],"")</f>
        <v>Sector 2</v>
      </c>
    </row>
    <row r="127" spans="1:20" x14ac:dyDescent="0.2">
      <c r="A127" s="13" t="s">
        <v>199</v>
      </c>
      <c r="B127" s="13" t="s">
        <v>18</v>
      </c>
      <c r="C127" s="13" t="s">
        <v>200</v>
      </c>
      <c r="D127" s="13" t="s">
        <v>122</v>
      </c>
      <c r="E127" s="13" t="s">
        <v>1365</v>
      </c>
      <c r="F127" s="14">
        <v>46302.845092592594</v>
      </c>
      <c r="G127" s="13" t="s">
        <v>21</v>
      </c>
      <c r="H127" s="13" t="s">
        <v>2837</v>
      </c>
      <c r="I127" s="15">
        <v>340</v>
      </c>
      <c r="J127" s="13" t="s">
        <v>22</v>
      </c>
      <c r="K127" s="13" t="s">
        <v>23</v>
      </c>
      <c r="L127" s="15">
        <v>450</v>
      </c>
      <c r="M127" s="13" t="s">
        <v>189</v>
      </c>
      <c r="N127" s="14">
        <v>46302.868738425925</v>
      </c>
      <c r="O127" s="15">
        <v>320</v>
      </c>
      <c r="P127" s="13" t="s">
        <v>25</v>
      </c>
      <c r="Q127" s="15">
        <v>40</v>
      </c>
      <c r="R127" s="3" t="str">
        <f>IF(OR(G127="12R",G127="12L"),_xlfn.XLOOKUP(C127,Tabla42[ADEP],Tabla42[SID 12R],""),IF(OR(G127="30L",G127="30R"),_xlfn.XLOOKUP(C127,Tabla42[ADEP],Tabla42[SID 30L],""),""))</f>
        <v>OMSUK</v>
      </c>
      <c r="S127" s="3">
        <f t="shared" si="1"/>
        <v>20</v>
      </c>
      <c r="T127" s="3" t="str">
        <f>_xlfn.XLOOKUP(C127,Tabla42[ADEP],Tabla42[Sector],"")</f>
        <v>Sector 3</v>
      </c>
    </row>
    <row r="128" spans="1:20" x14ac:dyDescent="0.2">
      <c r="A128" s="13" t="s">
        <v>280</v>
      </c>
      <c r="B128" s="13" t="s">
        <v>18</v>
      </c>
      <c r="C128" s="13" t="s">
        <v>49</v>
      </c>
      <c r="D128" s="13" t="s">
        <v>53</v>
      </c>
      <c r="E128" s="13" t="s">
        <v>331</v>
      </c>
      <c r="F128" s="14">
        <v>46302.846157407403</v>
      </c>
      <c r="G128" s="13" t="s">
        <v>21</v>
      </c>
      <c r="H128" s="13" t="s">
        <v>2838</v>
      </c>
      <c r="I128" s="15">
        <v>380</v>
      </c>
      <c r="J128" s="13" t="s">
        <v>22</v>
      </c>
      <c r="K128" s="13" t="s">
        <v>23</v>
      </c>
      <c r="L128" s="15">
        <v>880</v>
      </c>
      <c r="M128" s="13" t="s">
        <v>2839</v>
      </c>
      <c r="N128" s="14">
        <v>46302.893900462965</v>
      </c>
      <c r="O128" s="15">
        <v>380</v>
      </c>
      <c r="P128" s="13" t="s">
        <v>25</v>
      </c>
      <c r="Q128" s="15">
        <v>190</v>
      </c>
      <c r="R128" s="3" t="str">
        <f>IF(OR(G128="12R",G128="12L"),_xlfn.XLOOKUP(C128,Tabla42[ADEP],Tabla42[SID 12R],""),IF(OR(G128="30L",G128="30R"),_xlfn.XLOOKUP(C128,Tabla42[ADEP],Tabla42[SID 30L],""),""))</f>
        <v>UDGUV</v>
      </c>
      <c r="S128" s="3">
        <f t="shared" si="1"/>
        <v>20</v>
      </c>
      <c r="T128" s="3" t="str">
        <f>_xlfn.XLOOKUP(C128,Tabla42[ADEP],Tabla42[Sector],"")</f>
        <v>Sector 2</v>
      </c>
    </row>
    <row r="129" spans="1:20" x14ac:dyDescent="0.2">
      <c r="A129" s="13" t="s">
        <v>307</v>
      </c>
      <c r="B129" s="13" t="s">
        <v>18</v>
      </c>
      <c r="C129" s="13" t="s">
        <v>190</v>
      </c>
      <c r="D129" s="13" t="s">
        <v>306</v>
      </c>
      <c r="E129" s="13" t="s">
        <v>2840</v>
      </c>
      <c r="F129" s="14">
        <v>46302.847210648149</v>
      </c>
      <c r="G129" s="13" t="s">
        <v>21</v>
      </c>
      <c r="H129" s="13" t="s">
        <v>191</v>
      </c>
      <c r="I129" s="15">
        <v>370</v>
      </c>
      <c r="J129" s="13" t="s">
        <v>22</v>
      </c>
      <c r="K129" s="13" t="s">
        <v>23</v>
      </c>
      <c r="L129" s="15">
        <v>136</v>
      </c>
      <c r="M129" s="13" t="s">
        <v>39</v>
      </c>
      <c r="N129" s="14">
        <v>46302.856793981482</v>
      </c>
      <c r="O129" s="15">
        <v>232</v>
      </c>
      <c r="P129" s="13" t="s">
        <v>25</v>
      </c>
      <c r="Q129" s="15">
        <v>190</v>
      </c>
      <c r="R129" s="3" t="str">
        <f>IF(OR(G129="12R",G129="12L"),_xlfn.XLOOKUP(C129,Tabla42[ADEP],Tabla42[SID 12R],""),IF(OR(G129="30L",G129="30R"),_xlfn.XLOOKUP(C129,Tabla42[ADEP],Tabla42[SID 30L],""),""))</f>
        <v>NUDAL</v>
      </c>
      <c r="S129" s="3">
        <f t="shared" si="1"/>
        <v>20</v>
      </c>
      <c r="T129" s="3" t="str">
        <f>_xlfn.XLOOKUP(C129,Tabla42[ADEP],Tabla42[Sector],"")</f>
        <v>Sector 3</v>
      </c>
    </row>
    <row r="130" spans="1:20" x14ac:dyDescent="0.2">
      <c r="A130" s="13" t="s">
        <v>2265</v>
      </c>
      <c r="B130" s="13" t="s">
        <v>18</v>
      </c>
      <c r="C130" s="13" t="s">
        <v>32</v>
      </c>
      <c r="D130" s="13" t="s">
        <v>60</v>
      </c>
      <c r="E130" s="13" t="s">
        <v>2841</v>
      </c>
      <c r="F130" s="14">
        <v>46302.85125</v>
      </c>
      <c r="G130" s="13" t="s">
        <v>21</v>
      </c>
      <c r="H130" s="13" t="s">
        <v>2842</v>
      </c>
      <c r="I130" s="15">
        <v>340</v>
      </c>
      <c r="J130" s="13" t="s">
        <v>22</v>
      </c>
      <c r="K130" s="13" t="s">
        <v>23</v>
      </c>
      <c r="L130" s="15">
        <v>889</v>
      </c>
      <c r="M130" s="13" t="s">
        <v>35</v>
      </c>
      <c r="N130" s="14">
        <v>46302.899479166663</v>
      </c>
      <c r="O130" s="15">
        <v>340</v>
      </c>
      <c r="P130" s="13" t="s">
        <v>25</v>
      </c>
      <c r="Q130" s="15">
        <v>190</v>
      </c>
      <c r="R130" s="3" t="str">
        <f>IF(OR(G130="12R",G130="12L"),_xlfn.XLOOKUP(C130,Tabla42[ADEP],Tabla42[SID 12R],""),IF(OR(G130="30L",G130="30R"),_xlfn.XLOOKUP(C130,Tabla42[ADEP],Tabla42[SID 30L],""),""))</f>
        <v>UDGUV</v>
      </c>
      <c r="S130" s="3">
        <f t="shared" si="1"/>
        <v>20</v>
      </c>
      <c r="T130" s="3" t="str">
        <f>_xlfn.XLOOKUP(C130,Tabla42[ADEP],Tabla42[Sector],"")</f>
        <v>Sector 2</v>
      </c>
    </row>
    <row r="131" spans="1:20" x14ac:dyDescent="0.2">
      <c r="A131" s="13" t="s">
        <v>475</v>
      </c>
      <c r="B131" s="13" t="s">
        <v>18</v>
      </c>
      <c r="C131" s="13" t="s">
        <v>293</v>
      </c>
      <c r="D131" s="13" t="s">
        <v>28</v>
      </c>
      <c r="E131" s="13" t="s">
        <v>2270</v>
      </c>
      <c r="F131" s="14">
        <v>46302.856180555551</v>
      </c>
      <c r="G131" s="13" t="s">
        <v>21</v>
      </c>
      <c r="H131" s="13" t="s">
        <v>2843</v>
      </c>
      <c r="I131" s="15">
        <v>340</v>
      </c>
      <c r="J131" s="13" t="s">
        <v>22</v>
      </c>
      <c r="K131" s="13" t="s">
        <v>23</v>
      </c>
      <c r="L131" s="15">
        <v>447</v>
      </c>
      <c r="M131" s="13" t="s">
        <v>189</v>
      </c>
      <c r="N131" s="14">
        <v>46302.879826388889</v>
      </c>
      <c r="O131" s="15">
        <v>320</v>
      </c>
      <c r="P131" s="13" t="s">
        <v>25</v>
      </c>
      <c r="Q131" s="15">
        <v>40</v>
      </c>
      <c r="R131" s="3" t="str">
        <f>IF(OR(G131="12R",G131="12L"),_xlfn.XLOOKUP(C131,Tabla42[ADEP],Tabla42[SID 12R],""),IF(OR(G131="30L",G131="30R"),_xlfn.XLOOKUP(C131,Tabla42[ADEP],Tabla42[SID 30L],""),""))</f>
        <v>UDGUV</v>
      </c>
      <c r="S131" s="3">
        <f t="shared" ref="S131:S194" si="2">HOUR(F131)</f>
        <v>20</v>
      </c>
      <c r="T131" s="3" t="str">
        <f>_xlfn.XLOOKUP(C131,Tabla42[ADEP],Tabla42[Sector],"")</f>
        <v>Sector 2</v>
      </c>
    </row>
    <row r="132" spans="1:20" x14ac:dyDescent="0.2">
      <c r="A132" s="13" t="s">
        <v>282</v>
      </c>
      <c r="B132" s="13" t="s">
        <v>18</v>
      </c>
      <c r="C132" s="13" t="s">
        <v>42</v>
      </c>
      <c r="D132" s="13" t="s">
        <v>60</v>
      </c>
      <c r="E132" s="13" t="s">
        <v>1992</v>
      </c>
      <c r="F132" s="14">
        <v>46302.859768518523</v>
      </c>
      <c r="G132" s="13" t="s">
        <v>21</v>
      </c>
      <c r="H132" s="13" t="s">
        <v>2844</v>
      </c>
      <c r="I132" s="15">
        <v>360</v>
      </c>
      <c r="J132" s="13" t="s">
        <v>22</v>
      </c>
      <c r="K132" s="13" t="s">
        <v>23</v>
      </c>
      <c r="L132" s="15">
        <v>919</v>
      </c>
      <c r="M132" s="13" t="s">
        <v>2845</v>
      </c>
      <c r="N132" s="14">
        <v>46302.908194444448</v>
      </c>
      <c r="O132" s="15">
        <v>360</v>
      </c>
      <c r="P132" s="13" t="s">
        <v>25</v>
      </c>
      <c r="Q132" s="15">
        <v>190</v>
      </c>
      <c r="R132" s="3" t="str">
        <f>IF(OR(G132="12R",G132="12L"),_xlfn.XLOOKUP(C132,Tabla42[ADEP],Tabla42[SID 12R],""),IF(OR(G132="30L",G132="30R"),_xlfn.XLOOKUP(C132,Tabla42[ADEP],Tabla42[SID 30L],""),""))</f>
        <v>UDGUV</v>
      </c>
      <c r="S132" s="3">
        <f t="shared" si="2"/>
        <v>20</v>
      </c>
      <c r="T132" s="3" t="str">
        <f>_xlfn.XLOOKUP(C132,Tabla42[ADEP],Tabla42[Sector],"")</f>
        <v>Sector 2</v>
      </c>
    </row>
    <row r="133" spans="1:20" x14ac:dyDescent="0.2">
      <c r="A133" s="13" t="s">
        <v>262</v>
      </c>
      <c r="B133" s="13" t="s">
        <v>18</v>
      </c>
      <c r="C133" s="13" t="s">
        <v>263</v>
      </c>
      <c r="D133" s="13" t="s">
        <v>33</v>
      </c>
      <c r="E133" s="13" t="s">
        <v>2846</v>
      </c>
      <c r="F133" s="14">
        <v>46302.860717592594</v>
      </c>
      <c r="G133" s="13" t="s">
        <v>21</v>
      </c>
      <c r="H133" s="13" t="s">
        <v>2847</v>
      </c>
      <c r="I133" s="15">
        <v>370</v>
      </c>
      <c r="J133" s="13" t="s">
        <v>22</v>
      </c>
      <c r="K133" s="13" t="s">
        <v>23</v>
      </c>
      <c r="L133" s="15">
        <v>136</v>
      </c>
      <c r="M133" s="13" t="s">
        <v>39</v>
      </c>
      <c r="N133" s="14">
        <v>46302.870115740741</v>
      </c>
      <c r="O133" s="15">
        <v>271</v>
      </c>
      <c r="P133" s="13" t="s">
        <v>25</v>
      </c>
      <c r="Q133" s="15">
        <v>190</v>
      </c>
      <c r="R133" s="3" t="str">
        <f>IF(OR(G133="12R",G133="12L"),_xlfn.XLOOKUP(C133,Tabla42[ADEP],Tabla42[SID 12R],""),IF(OR(G133="30L",G133="30R"),_xlfn.XLOOKUP(C133,Tabla42[ADEP],Tabla42[SID 30L],""),""))</f>
        <v>OMSUK</v>
      </c>
      <c r="S133" s="3">
        <f t="shared" si="2"/>
        <v>20</v>
      </c>
      <c r="T133" s="3" t="str">
        <f>_xlfn.XLOOKUP(C133,Tabla42[ADEP],Tabla42[Sector],"")</f>
        <v>Sector 3</v>
      </c>
    </row>
    <row r="134" spans="1:20" x14ac:dyDescent="0.2">
      <c r="A134" s="13" t="s">
        <v>283</v>
      </c>
      <c r="B134" s="13" t="s">
        <v>18</v>
      </c>
      <c r="C134" s="13" t="s">
        <v>126</v>
      </c>
      <c r="D134" s="13" t="s">
        <v>117</v>
      </c>
      <c r="E134" s="13" t="s">
        <v>2848</v>
      </c>
      <c r="F134" s="14">
        <v>46302.861956018518</v>
      </c>
      <c r="G134" s="13" t="s">
        <v>21</v>
      </c>
      <c r="H134" s="13" t="s">
        <v>2849</v>
      </c>
      <c r="I134" s="15">
        <v>330</v>
      </c>
      <c r="J134" s="13" t="s">
        <v>22</v>
      </c>
      <c r="K134" s="13" t="s">
        <v>23</v>
      </c>
      <c r="L134" s="15">
        <v>359</v>
      </c>
      <c r="M134" s="13" t="s">
        <v>30</v>
      </c>
      <c r="N134" s="14">
        <v>46302.881666666668</v>
      </c>
      <c r="O134" s="15">
        <v>330</v>
      </c>
      <c r="P134" s="13" t="s">
        <v>25</v>
      </c>
      <c r="Q134" s="15">
        <v>40</v>
      </c>
      <c r="R134" s="3" t="str">
        <f>IF(OR(G134="12R",G134="12L"),_xlfn.XLOOKUP(C134,Tabla42[ADEP],Tabla42[SID 12R],""),IF(OR(G134="30L",G134="30R"),_xlfn.XLOOKUP(C134,Tabla42[ADEP],Tabla42[SID 30L],""),""))</f>
        <v>ENEBA</v>
      </c>
      <c r="S134" s="3">
        <f t="shared" si="2"/>
        <v>20</v>
      </c>
      <c r="T134" s="3" t="str">
        <f>_xlfn.XLOOKUP(C134,Tabla42[ADEP],Tabla42[Sector],"")</f>
        <v>Sector 3</v>
      </c>
    </row>
    <row r="135" spans="1:20" x14ac:dyDescent="0.2">
      <c r="A135" s="13" t="s">
        <v>2850</v>
      </c>
      <c r="B135" s="13" t="s">
        <v>18</v>
      </c>
      <c r="C135" s="13" t="s">
        <v>93</v>
      </c>
      <c r="D135" s="13" t="s">
        <v>2442</v>
      </c>
      <c r="E135" s="13"/>
      <c r="F135" s="14">
        <v>46302.866435185184</v>
      </c>
      <c r="G135" s="13" t="s">
        <v>21</v>
      </c>
      <c r="H135" s="13" t="s">
        <v>2851</v>
      </c>
      <c r="I135" s="15">
        <v>280</v>
      </c>
      <c r="J135" s="13" t="s">
        <v>22</v>
      </c>
      <c r="K135" s="13" t="s">
        <v>50</v>
      </c>
      <c r="L135" s="15">
        <v>876</v>
      </c>
      <c r="M135" s="13" t="s">
        <v>94</v>
      </c>
      <c r="N135" s="14">
        <v>46302.929745370369</v>
      </c>
      <c r="O135" s="15">
        <v>209</v>
      </c>
      <c r="P135" s="13" t="s">
        <v>129</v>
      </c>
      <c r="Q135" s="15">
        <v>30</v>
      </c>
      <c r="R135" s="3" t="str">
        <f>IF(OR(G135="12R",G135="12L"),_xlfn.XLOOKUP(C135,Tabla42[ADEP],Tabla42[SID 12R],""),IF(OR(G135="30L",G135="30R"),_xlfn.XLOOKUP(C135,Tabla42[ADEP],Tabla42[SID 30L],""),""))</f>
        <v>UDGUV</v>
      </c>
      <c r="S135" s="3">
        <f t="shared" si="2"/>
        <v>20</v>
      </c>
      <c r="T135" s="3" t="str">
        <f>_xlfn.XLOOKUP(C135,Tabla42[ADEP],Tabla42[Sector],"")</f>
        <v>Sector 2</v>
      </c>
    </row>
    <row r="136" spans="1:20" x14ac:dyDescent="0.2">
      <c r="A136" s="13" t="s">
        <v>476</v>
      </c>
      <c r="B136" s="13" t="s">
        <v>18</v>
      </c>
      <c r="C136" s="13" t="s">
        <v>188</v>
      </c>
      <c r="D136" s="13" t="s">
        <v>43</v>
      </c>
      <c r="E136" s="13" t="s">
        <v>954</v>
      </c>
      <c r="F136" s="14">
        <v>46302.868483796294</v>
      </c>
      <c r="G136" s="13" t="s">
        <v>21</v>
      </c>
      <c r="H136" s="13" t="s">
        <v>2852</v>
      </c>
      <c r="I136" s="15">
        <v>360</v>
      </c>
      <c r="J136" s="13" t="s">
        <v>22</v>
      </c>
      <c r="K136" s="13" t="s">
        <v>23</v>
      </c>
      <c r="L136" s="15">
        <v>389</v>
      </c>
      <c r="M136" s="13" t="s">
        <v>2853</v>
      </c>
      <c r="N136" s="14">
        <v>46302.89025462963</v>
      </c>
      <c r="O136" s="15">
        <v>340</v>
      </c>
      <c r="P136" s="13" t="s">
        <v>25</v>
      </c>
      <c r="Q136" s="15">
        <v>40</v>
      </c>
      <c r="R136" s="3" t="str">
        <f>IF(OR(G136="12R",G136="12L"),_xlfn.XLOOKUP(C136,Tabla42[ADEP],Tabla42[SID 12R],""),IF(OR(G136="30L",G136="30R"),_xlfn.XLOOKUP(C136,Tabla42[ADEP],Tabla42[SID 30L],""),""))</f>
        <v>ENEBA</v>
      </c>
      <c r="S136" s="3">
        <f t="shared" si="2"/>
        <v>20</v>
      </c>
      <c r="T136" s="3" t="str">
        <f>_xlfn.XLOOKUP(C136,Tabla42[ADEP],Tabla42[Sector],"")</f>
        <v>Sector 3</v>
      </c>
    </row>
    <row r="137" spans="1:20" x14ac:dyDescent="0.2">
      <c r="A137" s="13" t="s">
        <v>292</v>
      </c>
      <c r="B137" s="13" t="s">
        <v>18</v>
      </c>
      <c r="C137" s="13" t="s">
        <v>293</v>
      </c>
      <c r="D137" s="13" t="s">
        <v>43</v>
      </c>
      <c r="E137" s="13" t="s">
        <v>2104</v>
      </c>
      <c r="F137" s="14">
        <v>46302.870509259257</v>
      </c>
      <c r="G137" s="13" t="s">
        <v>21</v>
      </c>
      <c r="H137" s="13" t="s">
        <v>2854</v>
      </c>
      <c r="I137" s="15">
        <v>360</v>
      </c>
      <c r="J137" s="13" t="s">
        <v>22</v>
      </c>
      <c r="K137" s="13" t="s">
        <v>23</v>
      </c>
      <c r="L137" s="15">
        <v>422</v>
      </c>
      <c r="M137" s="13" t="s">
        <v>2855</v>
      </c>
      <c r="N137" s="14">
        <v>46302.893946759257</v>
      </c>
      <c r="O137" s="15">
        <v>320</v>
      </c>
      <c r="P137" s="13" t="s">
        <v>25</v>
      </c>
      <c r="Q137" s="15">
        <v>40</v>
      </c>
      <c r="R137" s="3" t="str">
        <f>IF(OR(G137="12R",G137="12L"),_xlfn.XLOOKUP(C137,Tabla42[ADEP],Tabla42[SID 12R],""),IF(OR(G137="30L",G137="30R"),_xlfn.XLOOKUP(C137,Tabla42[ADEP],Tabla42[SID 30L],""),""))</f>
        <v>UDGUV</v>
      </c>
      <c r="S137" s="3">
        <f t="shared" si="2"/>
        <v>20</v>
      </c>
      <c r="T137" s="3" t="str">
        <f>_xlfn.XLOOKUP(C137,Tabla42[ADEP],Tabla42[Sector],"")</f>
        <v>Sector 2</v>
      </c>
    </row>
    <row r="138" spans="1:20" x14ac:dyDescent="0.2">
      <c r="A138" s="13" t="s">
        <v>294</v>
      </c>
      <c r="B138" s="13" t="s">
        <v>18</v>
      </c>
      <c r="C138" s="13" t="s">
        <v>128</v>
      </c>
      <c r="D138" s="13" t="s">
        <v>43</v>
      </c>
      <c r="E138" s="13" t="s">
        <v>767</v>
      </c>
      <c r="F138" s="14">
        <v>46302.872881944444</v>
      </c>
      <c r="G138" s="13" t="s">
        <v>21</v>
      </c>
      <c r="H138" s="13" t="s">
        <v>2856</v>
      </c>
      <c r="I138" s="15">
        <v>330</v>
      </c>
      <c r="J138" s="13" t="s">
        <v>22</v>
      </c>
      <c r="K138" s="13" t="s">
        <v>23</v>
      </c>
      <c r="L138" s="15">
        <v>359</v>
      </c>
      <c r="M138" s="13" t="s">
        <v>30</v>
      </c>
      <c r="N138" s="14">
        <v>46302.893310185187</v>
      </c>
      <c r="O138" s="15">
        <v>330</v>
      </c>
      <c r="P138" s="13" t="s">
        <v>25</v>
      </c>
      <c r="Q138" s="15">
        <v>40</v>
      </c>
      <c r="R138" s="3" t="str">
        <f>IF(OR(G138="12R",G138="12L"),_xlfn.XLOOKUP(C138,Tabla42[ADEP],Tabla42[SID 12R],""),IF(OR(G138="30L",G138="30R"),_xlfn.XLOOKUP(C138,Tabla42[ADEP],Tabla42[SID 30L],""),""))</f>
        <v>OMSUK</v>
      </c>
      <c r="S138" s="3">
        <f t="shared" si="2"/>
        <v>20</v>
      </c>
      <c r="T138" s="3" t="str">
        <f>_xlfn.XLOOKUP(C138,Tabla42[ADEP],Tabla42[Sector],"")</f>
        <v>Sector 3</v>
      </c>
    </row>
    <row r="139" spans="1:20" x14ac:dyDescent="0.2">
      <c r="A139" s="13" t="s">
        <v>467</v>
      </c>
      <c r="B139" s="13" t="s">
        <v>18</v>
      </c>
      <c r="C139" s="13" t="s">
        <v>184</v>
      </c>
      <c r="D139" s="13" t="s">
        <v>60</v>
      </c>
      <c r="E139" s="13" t="s">
        <v>2857</v>
      </c>
      <c r="F139" s="14">
        <v>46302.874745370369</v>
      </c>
      <c r="G139" s="13" t="s">
        <v>21</v>
      </c>
      <c r="H139" s="13" t="s">
        <v>2858</v>
      </c>
      <c r="I139" s="15">
        <v>370</v>
      </c>
      <c r="J139" s="13" t="s">
        <v>22</v>
      </c>
      <c r="K139" s="13" t="s">
        <v>23</v>
      </c>
      <c r="L139" s="15">
        <v>387</v>
      </c>
      <c r="M139" s="13" t="s">
        <v>30</v>
      </c>
      <c r="N139" s="14">
        <v>46302.895648148144</v>
      </c>
      <c r="O139" s="15">
        <v>370</v>
      </c>
      <c r="P139" s="13" t="s">
        <v>25</v>
      </c>
      <c r="Q139" s="15">
        <v>40</v>
      </c>
      <c r="R139" s="3" t="str">
        <f>IF(OR(G139="12R",G139="12L"),_xlfn.XLOOKUP(C139,Tabla42[ADEP],Tabla42[SID 12R],""),IF(OR(G139="30L",G139="30R"),_xlfn.XLOOKUP(C139,Tabla42[ADEP],Tabla42[SID 30L],""),""))</f>
        <v>OMSUK</v>
      </c>
      <c r="S139" s="3">
        <f t="shared" si="2"/>
        <v>20</v>
      </c>
      <c r="T139" s="3" t="str">
        <f>_xlfn.XLOOKUP(C139,Tabla42[ADEP],Tabla42[Sector],"")</f>
        <v>Sector 3</v>
      </c>
    </row>
    <row r="140" spans="1:20" x14ac:dyDescent="0.2">
      <c r="A140" s="13" t="s">
        <v>289</v>
      </c>
      <c r="B140" s="13" t="s">
        <v>18</v>
      </c>
      <c r="C140" s="13" t="s">
        <v>290</v>
      </c>
      <c r="D140" s="13" t="s">
        <v>33</v>
      </c>
      <c r="E140" s="13" t="s">
        <v>2589</v>
      </c>
      <c r="F140" s="14">
        <v>46302.877766203703</v>
      </c>
      <c r="G140" s="13" t="s">
        <v>21</v>
      </c>
      <c r="H140" s="13" t="s">
        <v>2859</v>
      </c>
      <c r="I140" s="15">
        <v>330</v>
      </c>
      <c r="J140" s="13" t="s">
        <v>22</v>
      </c>
      <c r="K140" s="13" t="s">
        <v>23</v>
      </c>
      <c r="L140" s="15">
        <v>198</v>
      </c>
      <c r="M140" s="13" t="s">
        <v>997</v>
      </c>
      <c r="N140" s="14">
        <v>46302.890601851846</v>
      </c>
      <c r="O140" s="15">
        <v>278</v>
      </c>
      <c r="P140" s="13" t="s">
        <v>25</v>
      </c>
      <c r="Q140" s="15">
        <v>190</v>
      </c>
      <c r="R140" s="3" t="str">
        <f>IF(OR(G140="12R",G140="12L"),_xlfn.XLOOKUP(C140,Tabla42[ADEP],Tabla42[SID 12R],""),IF(OR(G140="30L",G140="30R"),_xlfn.XLOOKUP(C140,Tabla42[ADEP],Tabla42[SID 30L],""),""))</f>
        <v>CZM</v>
      </c>
      <c r="S140" s="3">
        <f t="shared" si="2"/>
        <v>21</v>
      </c>
      <c r="T140" s="3" t="str">
        <f>_xlfn.XLOOKUP(C140,Tabla42[ADEP],Tabla42[Sector],"")</f>
        <v>Sector 7</v>
      </c>
    </row>
    <row r="141" spans="1:20" x14ac:dyDescent="0.2">
      <c r="A141" s="13" t="s">
        <v>399</v>
      </c>
      <c r="B141" s="13" t="s">
        <v>18</v>
      </c>
      <c r="C141" s="13" t="s">
        <v>400</v>
      </c>
      <c r="D141" s="13" t="s">
        <v>53</v>
      </c>
      <c r="E141" s="13" t="s">
        <v>376</v>
      </c>
      <c r="F141" s="14">
        <v>46302.879652777774</v>
      </c>
      <c r="G141" s="13" t="s">
        <v>21</v>
      </c>
      <c r="H141" s="13" t="s">
        <v>2860</v>
      </c>
      <c r="I141" s="15">
        <v>380</v>
      </c>
      <c r="J141" s="13" t="s">
        <v>22</v>
      </c>
      <c r="K141" s="13" t="s">
        <v>23</v>
      </c>
      <c r="L141" s="15">
        <v>899</v>
      </c>
      <c r="M141" s="13" t="s">
        <v>273</v>
      </c>
      <c r="N141" s="14">
        <v>46302.927812499998</v>
      </c>
      <c r="O141" s="15">
        <v>380</v>
      </c>
      <c r="P141" s="13" t="s">
        <v>25</v>
      </c>
      <c r="Q141" s="15">
        <v>190</v>
      </c>
      <c r="R141" s="3" t="str">
        <f>IF(OR(G141="12R",G141="12L"),_xlfn.XLOOKUP(C141,Tabla42[ADEP],Tabla42[SID 12R],""),IF(OR(G141="30L",G141="30R"),_xlfn.XLOOKUP(C141,Tabla42[ADEP],Tabla42[SID 30L],""),""))</f>
        <v>UDGUV</v>
      </c>
      <c r="S141" s="3">
        <f t="shared" si="2"/>
        <v>21</v>
      </c>
      <c r="T141" s="3" t="str">
        <f>_xlfn.XLOOKUP(C141,Tabla42[ADEP],Tabla42[Sector],"")</f>
        <v>Sector 2</v>
      </c>
    </row>
    <row r="142" spans="1:20" x14ac:dyDescent="0.2">
      <c r="A142" s="13" t="s">
        <v>232</v>
      </c>
      <c r="B142" s="13" t="s">
        <v>18</v>
      </c>
      <c r="C142" s="13" t="s">
        <v>233</v>
      </c>
      <c r="D142" s="13" t="s">
        <v>110</v>
      </c>
      <c r="E142" s="13" t="s">
        <v>722</v>
      </c>
      <c r="F142" s="14">
        <v>46302.882245370369</v>
      </c>
      <c r="G142" s="13" t="s">
        <v>21</v>
      </c>
      <c r="H142" s="13" t="s">
        <v>2861</v>
      </c>
      <c r="I142" s="15">
        <v>360</v>
      </c>
      <c r="J142" s="13" t="s">
        <v>22</v>
      </c>
      <c r="K142" s="13" t="s">
        <v>23</v>
      </c>
      <c r="L142" s="15">
        <v>447</v>
      </c>
      <c r="M142" s="13" t="s">
        <v>189</v>
      </c>
      <c r="N142" s="14">
        <v>46302.906446759254</v>
      </c>
      <c r="O142" s="15">
        <v>400</v>
      </c>
      <c r="P142" s="13" t="s">
        <v>25</v>
      </c>
      <c r="Q142" s="15">
        <v>40</v>
      </c>
      <c r="R142" s="3" t="str">
        <f>IF(OR(G142="12R",G142="12L"),_xlfn.XLOOKUP(C142,Tabla42[ADEP],Tabla42[SID 12R],""),IF(OR(G142="30L",G142="30R"),_xlfn.XLOOKUP(C142,Tabla42[ADEP],Tabla42[SID 30L],""),""))</f>
        <v>UDGUV</v>
      </c>
      <c r="S142" s="3">
        <f t="shared" si="2"/>
        <v>21</v>
      </c>
      <c r="T142" s="3" t="str">
        <f>_xlfn.XLOOKUP(C142,Tabla42[ADEP],Tabla42[Sector],"")</f>
        <v>Sector 2</v>
      </c>
    </row>
    <row r="143" spans="1:20" x14ac:dyDescent="0.2">
      <c r="A143" s="13" t="s">
        <v>654</v>
      </c>
      <c r="B143" s="13" t="s">
        <v>18</v>
      </c>
      <c r="C143" s="13" t="s">
        <v>49</v>
      </c>
      <c r="D143" s="13" t="s">
        <v>655</v>
      </c>
      <c r="E143" s="13"/>
      <c r="F143" s="14">
        <v>46302.883518518516</v>
      </c>
      <c r="G143" s="13" t="s">
        <v>21</v>
      </c>
      <c r="H143" s="13" t="s">
        <v>2862</v>
      </c>
      <c r="I143" s="15">
        <v>400</v>
      </c>
      <c r="J143" s="13" t="s">
        <v>22</v>
      </c>
      <c r="K143" s="13" t="s">
        <v>50</v>
      </c>
      <c r="L143" s="15">
        <v>874</v>
      </c>
      <c r="M143" s="13" t="s">
        <v>2650</v>
      </c>
      <c r="N143" s="14">
        <v>46302.928657407407</v>
      </c>
      <c r="O143" s="15">
        <v>400</v>
      </c>
      <c r="P143" s="13" t="s">
        <v>25</v>
      </c>
      <c r="Q143" s="15">
        <v>30</v>
      </c>
      <c r="R143" s="3" t="str">
        <f>IF(OR(G143="12R",G143="12L"),_xlfn.XLOOKUP(C143,Tabla42[ADEP],Tabla42[SID 12R],""),IF(OR(G143="30L",G143="30R"),_xlfn.XLOOKUP(C143,Tabla42[ADEP],Tabla42[SID 30L],""),""))</f>
        <v>UDGUV</v>
      </c>
      <c r="S143" s="3">
        <f t="shared" si="2"/>
        <v>21</v>
      </c>
      <c r="T143" s="3" t="str">
        <f>_xlfn.XLOOKUP(C143,Tabla42[ADEP],Tabla42[Sector],"")</f>
        <v>Sector 2</v>
      </c>
    </row>
    <row r="144" spans="1:20" x14ac:dyDescent="0.2">
      <c r="A144" s="13" t="s">
        <v>302</v>
      </c>
      <c r="B144" s="13" t="s">
        <v>18</v>
      </c>
      <c r="C144" s="13" t="s">
        <v>303</v>
      </c>
      <c r="D144" s="13" t="s">
        <v>28</v>
      </c>
      <c r="E144" s="13" t="s">
        <v>2863</v>
      </c>
      <c r="F144" s="14">
        <v>46302.884884259256</v>
      </c>
      <c r="G144" s="13" t="s">
        <v>21</v>
      </c>
      <c r="H144" s="13" t="s">
        <v>2864</v>
      </c>
      <c r="I144" s="15">
        <v>360</v>
      </c>
      <c r="J144" s="13" t="s">
        <v>22</v>
      </c>
      <c r="K144" s="13" t="s">
        <v>23</v>
      </c>
      <c r="L144" s="15">
        <v>454</v>
      </c>
      <c r="M144" s="13" t="s">
        <v>1063</v>
      </c>
      <c r="N144" s="14">
        <v>46302.910127314812</v>
      </c>
      <c r="O144" s="15">
        <v>360</v>
      </c>
      <c r="P144" s="13" t="s">
        <v>25</v>
      </c>
      <c r="Q144" s="15">
        <v>40</v>
      </c>
      <c r="R144" s="3" t="str">
        <f>IF(OR(G144="12R",G144="12L"),_xlfn.XLOOKUP(C144,Tabla42[ADEP],Tabla42[SID 12R],""),IF(OR(G144="30L",G144="30R"),_xlfn.XLOOKUP(C144,Tabla42[ADEP],Tabla42[SID 30L],""),""))</f>
        <v>OMSUK</v>
      </c>
      <c r="S144" s="3">
        <f t="shared" si="2"/>
        <v>21</v>
      </c>
      <c r="T144" s="3" t="str">
        <f>_xlfn.XLOOKUP(C144,Tabla42[ADEP],Tabla42[Sector],"")</f>
        <v>Sector 3</v>
      </c>
    </row>
    <row r="145" spans="1:20" x14ac:dyDescent="0.2">
      <c r="A145" s="13" t="s">
        <v>745</v>
      </c>
      <c r="B145" s="13" t="s">
        <v>18</v>
      </c>
      <c r="C145" s="13" t="s">
        <v>121</v>
      </c>
      <c r="D145" s="13" t="s">
        <v>122</v>
      </c>
      <c r="E145" s="13" t="s">
        <v>2865</v>
      </c>
      <c r="F145" s="14">
        <v>46302.886284722219</v>
      </c>
      <c r="G145" s="13" t="s">
        <v>21</v>
      </c>
      <c r="H145" s="13" t="s">
        <v>2866</v>
      </c>
      <c r="I145" s="15">
        <v>360</v>
      </c>
      <c r="J145" s="13" t="s">
        <v>22</v>
      </c>
      <c r="K145" s="13" t="s">
        <v>23</v>
      </c>
      <c r="L145" s="15">
        <v>520</v>
      </c>
      <c r="M145" s="13" t="s">
        <v>2867</v>
      </c>
      <c r="N145" s="14">
        <v>46302.914548611108</v>
      </c>
      <c r="O145" s="15">
        <v>320</v>
      </c>
      <c r="P145" s="13" t="s">
        <v>25</v>
      </c>
      <c r="Q145" s="15">
        <v>40</v>
      </c>
      <c r="R145" s="3" t="str">
        <f>IF(OR(G145="12R",G145="12L"),_xlfn.XLOOKUP(C145,Tabla42[ADEP],Tabla42[SID 12R],""),IF(OR(G145="30L",G145="30R"),_xlfn.XLOOKUP(C145,Tabla42[ADEP],Tabla42[SID 30L],""),""))</f>
        <v>ENEBA</v>
      </c>
      <c r="S145" s="3">
        <f t="shared" si="2"/>
        <v>21</v>
      </c>
      <c r="T145" s="3" t="str">
        <f>_xlfn.XLOOKUP(C145,Tabla42[ADEP],Tabla42[Sector],"")</f>
        <v>Sector 3</v>
      </c>
    </row>
    <row r="146" spans="1:20" x14ac:dyDescent="0.2">
      <c r="A146" s="13" t="s">
        <v>314</v>
      </c>
      <c r="B146" s="13" t="s">
        <v>18</v>
      </c>
      <c r="C146" s="13" t="s">
        <v>179</v>
      </c>
      <c r="D146" s="13" t="s">
        <v>53</v>
      </c>
      <c r="E146" s="13" t="s">
        <v>675</v>
      </c>
      <c r="F146" s="14">
        <v>46302.88961805556</v>
      </c>
      <c r="G146" s="13" t="s">
        <v>21</v>
      </c>
      <c r="H146" s="13" t="s">
        <v>2868</v>
      </c>
      <c r="I146" s="15">
        <v>380</v>
      </c>
      <c r="J146" s="13" t="s">
        <v>22</v>
      </c>
      <c r="K146" s="13" t="s">
        <v>23</v>
      </c>
      <c r="L146" s="15">
        <v>840</v>
      </c>
      <c r="M146" s="13" t="s">
        <v>179</v>
      </c>
      <c r="N146" s="14">
        <v>46302.93476851852</v>
      </c>
      <c r="O146" s="15">
        <v>15</v>
      </c>
      <c r="P146" s="13" t="s">
        <v>25</v>
      </c>
      <c r="Q146" s="15">
        <v>190</v>
      </c>
      <c r="R146" s="3" t="str">
        <f>IF(OR(G146="12R",G146="12L"),_xlfn.XLOOKUP(C146,Tabla42[ADEP],Tabla42[SID 12R],""),IF(OR(G146="30L",G146="30R"),_xlfn.XLOOKUP(C146,Tabla42[ADEP],Tabla42[SID 30L],""),""))</f>
        <v>UDGUV</v>
      </c>
      <c r="S146" s="3">
        <f t="shared" si="2"/>
        <v>21</v>
      </c>
      <c r="T146" s="3" t="str">
        <f>_xlfn.XLOOKUP(C146,Tabla42[ADEP],Tabla42[Sector],"")</f>
        <v>Sector 2</v>
      </c>
    </row>
    <row r="147" spans="1:20" x14ac:dyDescent="0.2">
      <c r="A147" s="13" t="s">
        <v>301</v>
      </c>
      <c r="B147" s="13" t="s">
        <v>18</v>
      </c>
      <c r="C147" s="13" t="s">
        <v>32</v>
      </c>
      <c r="D147" s="13" t="s">
        <v>53</v>
      </c>
      <c r="E147" s="13" t="s">
        <v>277</v>
      </c>
      <c r="F147" s="14">
        <v>46302.89435185185</v>
      </c>
      <c r="G147" s="13" t="s">
        <v>21</v>
      </c>
      <c r="H147" s="13" t="s">
        <v>2869</v>
      </c>
      <c r="I147" s="15">
        <v>360</v>
      </c>
      <c r="J147" s="13" t="s">
        <v>22</v>
      </c>
      <c r="K147" s="13" t="s">
        <v>23</v>
      </c>
      <c r="L147" s="15">
        <v>929</v>
      </c>
      <c r="M147" s="13" t="s">
        <v>2870</v>
      </c>
      <c r="N147" s="14">
        <v>46302.943090277782</v>
      </c>
      <c r="O147" s="15">
        <v>360</v>
      </c>
      <c r="P147" s="13" t="s">
        <v>25</v>
      </c>
      <c r="Q147" s="15">
        <v>190</v>
      </c>
      <c r="R147" s="3" t="str">
        <f>IF(OR(G147="12R",G147="12L"),_xlfn.XLOOKUP(C147,Tabla42[ADEP],Tabla42[SID 12R],""),IF(OR(G147="30L",G147="30R"),_xlfn.XLOOKUP(C147,Tabla42[ADEP],Tabla42[SID 30L],""),""))</f>
        <v>UDGUV</v>
      </c>
      <c r="S147" s="3">
        <f t="shared" si="2"/>
        <v>21</v>
      </c>
      <c r="T147" s="3" t="str">
        <f>_xlfn.XLOOKUP(C147,Tabla42[ADEP],Tabla42[Sector],"")</f>
        <v>Sector 2</v>
      </c>
    </row>
    <row r="148" spans="1:20" x14ac:dyDescent="0.2">
      <c r="A148" s="13" t="s">
        <v>477</v>
      </c>
      <c r="B148" s="13" t="s">
        <v>18</v>
      </c>
      <c r="C148" s="13" t="s">
        <v>478</v>
      </c>
      <c r="D148" s="13" t="s">
        <v>20</v>
      </c>
      <c r="E148" s="13" t="s">
        <v>2871</v>
      </c>
      <c r="F148" s="14">
        <v>46302.895381944443</v>
      </c>
      <c r="G148" s="13" t="s">
        <v>21</v>
      </c>
      <c r="H148" s="13" t="s">
        <v>2872</v>
      </c>
      <c r="I148" s="15">
        <v>340</v>
      </c>
      <c r="J148" s="13" t="s">
        <v>22</v>
      </c>
      <c r="K148" s="13" t="s">
        <v>23</v>
      </c>
      <c r="L148" s="15">
        <v>546</v>
      </c>
      <c r="M148" s="13" t="s">
        <v>123</v>
      </c>
      <c r="N148" s="14">
        <v>46302.924131944441</v>
      </c>
      <c r="O148" s="15">
        <v>340</v>
      </c>
      <c r="P148" s="13" t="s">
        <v>25</v>
      </c>
      <c r="Q148" s="15">
        <v>40</v>
      </c>
      <c r="R148" s="3" t="str">
        <f>IF(OR(G148="12R",G148="12L"),_xlfn.XLOOKUP(C148,Tabla42[ADEP],Tabla42[SID 12R],""),IF(OR(G148="30L",G148="30R"),_xlfn.XLOOKUP(C148,Tabla42[ADEP],Tabla42[SID 30L],""),""))</f>
        <v>ENEBA</v>
      </c>
      <c r="S148" s="3">
        <f t="shared" si="2"/>
        <v>21</v>
      </c>
      <c r="T148" s="3" t="str">
        <f>_xlfn.XLOOKUP(C148,Tabla42[ADEP],Tabla42[Sector],"")</f>
        <v>Sector 3</v>
      </c>
    </row>
    <row r="149" spans="1:20" x14ac:dyDescent="0.2">
      <c r="A149" s="13" t="s">
        <v>299</v>
      </c>
      <c r="B149" s="13" t="s">
        <v>18</v>
      </c>
      <c r="C149" s="13" t="s">
        <v>300</v>
      </c>
      <c r="D149" s="13" t="s">
        <v>117</v>
      </c>
      <c r="E149" s="13" t="s">
        <v>2873</v>
      </c>
      <c r="F149" s="14">
        <v>46302.897743055553</v>
      </c>
      <c r="G149" s="13" t="s">
        <v>21</v>
      </c>
      <c r="H149" s="13" t="s">
        <v>2874</v>
      </c>
      <c r="I149" s="15">
        <v>340</v>
      </c>
      <c r="J149" s="13" t="s">
        <v>22</v>
      </c>
      <c r="K149" s="13" t="s">
        <v>23</v>
      </c>
      <c r="L149" s="15">
        <v>478</v>
      </c>
      <c r="M149" s="13" t="s">
        <v>2875</v>
      </c>
      <c r="N149" s="14">
        <v>46302.924201388887</v>
      </c>
      <c r="O149" s="15">
        <v>339</v>
      </c>
      <c r="P149" s="13" t="s">
        <v>25</v>
      </c>
      <c r="Q149" s="15">
        <v>40</v>
      </c>
      <c r="R149" s="3" t="str">
        <f>IF(OR(G149="12R",G149="12L"),_xlfn.XLOOKUP(C149,Tabla42[ADEP],Tabla42[SID 12R],""),IF(OR(G149="30L",G149="30R"),_xlfn.XLOOKUP(C149,Tabla42[ADEP],Tabla42[SID 30L],""),""))</f>
        <v>OMSUK</v>
      </c>
      <c r="S149" s="3">
        <f t="shared" si="2"/>
        <v>21</v>
      </c>
      <c r="T149" s="3" t="str">
        <f>_xlfn.XLOOKUP(C149,Tabla42[ADEP],Tabla42[Sector],"")</f>
        <v>Sector 3</v>
      </c>
    </row>
    <row r="150" spans="1:20" x14ac:dyDescent="0.2">
      <c r="A150" s="13" t="s">
        <v>2876</v>
      </c>
      <c r="B150" s="13" t="s">
        <v>18</v>
      </c>
      <c r="C150" s="13" t="s">
        <v>403</v>
      </c>
      <c r="D150" s="13" t="s">
        <v>340</v>
      </c>
      <c r="E150" s="13" t="s">
        <v>702</v>
      </c>
      <c r="F150" s="14">
        <v>46302.899467592593</v>
      </c>
      <c r="G150" s="13" t="s">
        <v>21</v>
      </c>
      <c r="H150" s="13" t="s">
        <v>2877</v>
      </c>
      <c r="I150" s="15">
        <v>390</v>
      </c>
      <c r="J150" s="13" t="s">
        <v>22</v>
      </c>
      <c r="K150" s="13" t="s">
        <v>23</v>
      </c>
      <c r="L150" s="15">
        <v>360</v>
      </c>
      <c r="M150" s="13" t="s">
        <v>528</v>
      </c>
      <c r="N150" s="14">
        <v>46302.918935185182</v>
      </c>
      <c r="O150" s="15">
        <v>390</v>
      </c>
      <c r="P150" s="13" t="s">
        <v>40</v>
      </c>
      <c r="Q150" s="15">
        <v>40</v>
      </c>
      <c r="R150" s="3" t="str">
        <f>IF(OR(G150="12R",G150="12L"),_xlfn.XLOOKUP(C150,Tabla42[ADEP],Tabla42[SID 12R],""),IF(OR(G150="30L",G150="30R"),_xlfn.XLOOKUP(C150,Tabla42[ADEP],Tabla42[SID 30L],""),""))</f>
        <v>NUDAL</v>
      </c>
      <c r="S150" s="3">
        <f t="shared" si="2"/>
        <v>21</v>
      </c>
      <c r="T150" s="3" t="str">
        <f>_xlfn.XLOOKUP(C150,Tabla42[ADEP],Tabla42[Sector],"")</f>
        <v>Sector 3</v>
      </c>
    </row>
    <row r="151" spans="1:20" x14ac:dyDescent="0.2">
      <c r="A151" s="13" t="s">
        <v>405</v>
      </c>
      <c r="B151" s="13" t="s">
        <v>18</v>
      </c>
      <c r="C151" s="13" t="s">
        <v>195</v>
      </c>
      <c r="D151" s="13" t="s">
        <v>28</v>
      </c>
      <c r="E151" s="13" t="s">
        <v>2315</v>
      </c>
      <c r="F151" s="14">
        <v>46302.902592592596</v>
      </c>
      <c r="G151" s="13" t="s">
        <v>21</v>
      </c>
      <c r="H151" s="13" t="s">
        <v>2878</v>
      </c>
      <c r="I151" s="15">
        <v>390</v>
      </c>
      <c r="J151" s="13" t="s">
        <v>22</v>
      </c>
      <c r="K151" s="13" t="s">
        <v>23</v>
      </c>
      <c r="L151" s="15">
        <v>152</v>
      </c>
      <c r="M151" s="13" t="s">
        <v>111</v>
      </c>
      <c r="N151" s="14">
        <v>46302.913124999999</v>
      </c>
      <c r="O151" s="15">
        <v>238</v>
      </c>
      <c r="P151" s="13" t="s">
        <v>25</v>
      </c>
      <c r="Q151" s="15">
        <v>190</v>
      </c>
      <c r="R151" s="3" t="str">
        <f>IF(OR(G151="12R",G151="12L"),_xlfn.XLOOKUP(C151,Tabla42[ADEP],Tabla42[SID 12R],""),IF(OR(G151="30L",G151="30R"),_xlfn.XLOOKUP(C151,Tabla42[ADEP],Tabla42[SID 30L],""),""))</f>
        <v>HECAT</v>
      </c>
      <c r="S151" s="3">
        <f t="shared" si="2"/>
        <v>21</v>
      </c>
      <c r="T151" s="3" t="str">
        <f>_xlfn.XLOOKUP(C151,Tabla42[ADEP],Tabla42[Sector],"")</f>
        <v>Sector 7</v>
      </c>
    </row>
    <row r="152" spans="1:20" x14ac:dyDescent="0.2">
      <c r="A152" s="13" t="s">
        <v>315</v>
      </c>
      <c r="B152" s="13" t="s">
        <v>18</v>
      </c>
      <c r="C152" s="13" t="s">
        <v>96</v>
      </c>
      <c r="D152" s="13" t="s">
        <v>20</v>
      </c>
      <c r="E152" s="13" t="s">
        <v>1005</v>
      </c>
      <c r="F152" s="14">
        <v>46302.905289351853</v>
      </c>
      <c r="G152" s="13" t="s">
        <v>21</v>
      </c>
      <c r="H152" s="13" t="s">
        <v>2879</v>
      </c>
      <c r="I152" s="15">
        <v>360</v>
      </c>
      <c r="J152" s="13" t="s">
        <v>22</v>
      </c>
      <c r="K152" s="13" t="s">
        <v>141</v>
      </c>
      <c r="L152" s="15">
        <v>887</v>
      </c>
      <c r="M152" s="13" t="s">
        <v>2880</v>
      </c>
      <c r="N152" s="14">
        <v>46302.952847222223</v>
      </c>
      <c r="O152" s="15">
        <v>360</v>
      </c>
      <c r="P152" s="13" t="s">
        <v>25</v>
      </c>
      <c r="Q152" s="15">
        <v>190</v>
      </c>
      <c r="R152" s="3" t="str">
        <f>IF(OR(G152="12R",G152="12L"),_xlfn.XLOOKUP(C152,Tabla42[ADEP],Tabla42[SID 12R],""),IF(OR(G152="30L",G152="30R"),_xlfn.XLOOKUP(C152,Tabla42[ADEP],Tabla42[SID 30L],""),""))</f>
        <v>UDGUV</v>
      </c>
      <c r="S152" s="3">
        <f t="shared" si="2"/>
        <v>21</v>
      </c>
      <c r="T152" s="3" t="str">
        <f>_xlfn.XLOOKUP(C152,Tabla42[ADEP],Tabla42[Sector],"")</f>
        <v>Sector 2</v>
      </c>
    </row>
    <row r="153" spans="1:20" x14ac:dyDescent="0.2">
      <c r="A153" s="13" t="s">
        <v>309</v>
      </c>
      <c r="B153" s="13" t="s">
        <v>18</v>
      </c>
      <c r="C153" s="13" t="s">
        <v>19</v>
      </c>
      <c r="D153" s="13" t="s">
        <v>53</v>
      </c>
      <c r="E153" s="13" t="s">
        <v>1023</v>
      </c>
      <c r="F153" s="14">
        <v>46302.907650462963</v>
      </c>
      <c r="G153" s="13" t="s">
        <v>21</v>
      </c>
      <c r="H153" s="13" t="s">
        <v>2881</v>
      </c>
      <c r="I153" s="15">
        <v>380</v>
      </c>
      <c r="J153" s="13" t="s">
        <v>22</v>
      </c>
      <c r="K153" s="13" t="s">
        <v>23</v>
      </c>
      <c r="L153" s="15">
        <v>920</v>
      </c>
      <c r="M153" s="13" t="s">
        <v>2845</v>
      </c>
      <c r="N153" s="14">
        <v>46302.957650462966</v>
      </c>
      <c r="O153" s="15">
        <v>380</v>
      </c>
      <c r="P153" s="13" t="s">
        <v>25</v>
      </c>
      <c r="Q153" s="15">
        <v>190</v>
      </c>
      <c r="R153" s="3" t="str">
        <f>IF(OR(G153="12R",G153="12L"),_xlfn.XLOOKUP(C153,Tabla42[ADEP],Tabla42[SID 12R],""),IF(OR(G153="30L",G153="30R"),_xlfn.XLOOKUP(C153,Tabla42[ADEP],Tabla42[SID 30L],""),""))</f>
        <v>UDGUV</v>
      </c>
      <c r="S153" s="3">
        <f t="shared" si="2"/>
        <v>21</v>
      </c>
      <c r="T153" s="3" t="str">
        <f>_xlfn.XLOOKUP(C153,Tabla42[ADEP],Tabla42[Sector],"")</f>
        <v>Sector 2</v>
      </c>
    </row>
    <row r="154" spans="1:20" x14ac:dyDescent="0.2">
      <c r="A154" s="13" t="s">
        <v>311</v>
      </c>
      <c r="B154" s="13" t="s">
        <v>18</v>
      </c>
      <c r="C154" s="13" t="s">
        <v>109</v>
      </c>
      <c r="D154" s="13" t="s">
        <v>122</v>
      </c>
      <c r="E154" s="13" t="s">
        <v>2882</v>
      </c>
      <c r="F154" s="14">
        <v>46302.910416666666</v>
      </c>
      <c r="G154" s="13" t="s">
        <v>21</v>
      </c>
      <c r="H154" s="13" t="s">
        <v>2883</v>
      </c>
      <c r="I154" s="15">
        <v>350</v>
      </c>
      <c r="J154" s="13" t="s">
        <v>22</v>
      </c>
      <c r="K154" s="13" t="s">
        <v>23</v>
      </c>
      <c r="L154" s="15">
        <v>149</v>
      </c>
      <c r="M154" s="13" t="s">
        <v>111</v>
      </c>
      <c r="N154" s="14">
        <v>46302.920532407406</v>
      </c>
      <c r="O154" s="15">
        <v>290</v>
      </c>
      <c r="P154" s="13" t="s">
        <v>25</v>
      </c>
      <c r="Q154" s="15">
        <v>190</v>
      </c>
      <c r="R154" s="3" t="str">
        <f>IF(OR(G154="12R",G154="12L"),_xlfn.XLOOKUP(C154,Tabla42[ADEP],Tabla42[SID 12R],""),IF(OR(G154="30L",G154="30R"),_xlfn.XLOOKUP(C154,Tabla42[ADEP],Tabla42[SID 30L],""),""))</f>
        <v>TAKUX</v>
      </c>
      <c r="S154" s="3">
        <f t="shared" si="2"/>
        <v>21</v>
      </c>
      <c r="T154" s="3" t="str">
        <f>_xlfn.XLOOKUP(C154,Tabla42[ADEP],Tabla42[Sector],"")</f>
        <v>Sector 7</v>
      </c>
    </row>
    <row r="155" spans="1:20" x14ac:dyDescent="0.2">
      <c r="A155" s="13" t="s">
        <v>2884</v>
      </c>
      <c r="B155" s="13" t="s">
        <v>18</v>
      </c>
      <c r="C155" s="13" t="s">
        <v>406</v>
      </c>
      <c r="D155" s="13" t="s">
        <v>243</v>
      </c>
      <c r="E155" s="13" t="s">
        <v>288</v>
      </c>
      <c r="F155" s="14">
        <v>46302.91196759259</v>
      </c>
      <c r="G155" s="13" t="s">
        <v>21</v>
      </c>
      <c r="H155" s="13" t="s">
        <v>2885</v>
      </c>
      <c r="I155" s="15">
        <v>390</v>
      </c>
      <c r="J155" s="13" t="s">
        <v>22</v>
      </c>
      <c r="K155" s="13" t="s">
        <v>23</v>
      </c>
      <c r="L155" s="15">
        <v>354</v>
      </c>
      <c r="M155" s="13" t="s">
        <v>2886</v>
      </c>
      <c r="N155" s="14">
        <v>46302.931215277778</v>
      </c>
      <c r="O155" s="15">
        <v>390</v>
      </c>
      <c r="P155" s="13" t="s">
        <v>40</v>
      </c>
      <c r="Q155" s="15">
        <v>40</v>
      </c>
      <c r="R155" s="3" t="str">
        <f>IF(OR(G155="12R",G155="12L"),_xlfn.XLOOKUP(C155,Tabla42[ADEP],Tabla42[SID 12R],""),IF(OR(G155="30L",G155="30R"),_xlfn.XLOOKUP(C155,Tabla42[ADEP],Tabla42[SID 30L],""),""))</f>
        <v>NUDAL</v>
      </c>
      <c r="S155" s="3">
        <f t="shared" si="2"/>
        <v>21</v>
      </c>
      <c r="T155" s="3" t="str">
        <f>_xlfn.XLOOKUP(C155,Tabla42[ADEP],Tabla42[Sector],"")</f>
        <v>Sector 3</v>
      </c>
    </row>
    <row r="156" spans="1:20" x14ac:dyDescent="0.2">
      <c r="A156" t="s">
        <v>384</v>
      </c>
      <c r="B156" t="s">
        <v>18</v>
      </c>
      <c r="C156" t="s">
        <v>96</v>
      </c>
      <c r="D156" t="s">
        <v>53</v>
      </c>
      <c r="E156" t="s">
        <v>106</v>
      </c>
      <c r="F156" s="2">
        <v>46302.914710648147</v>
      </c>
      <c r="G156" t="s">
        <v>21</v>
      </c>
      <c r="H156" t="s">
        <v>2887</v>
      </c>
      <c r="I156" s="3">
        <v>380</v>
      </c>
      <c r="J156" t="s">
        <v>22</v>
      </c>
      <c r="K156" t="s">
        <v>141</v>
      </c>
      <c r="L156" s="3">
        <v>912</v>
      </c>
      <c r="M156" t="s">
        <v>2672</v>
      </c>
      <c r="N156" s="2">
        <v>46302.963402777779</v>
      </c>
      <c r="O156" s="3">
        <v>380</v>
      </c>
      <c r="P156" t="s">
        <v>25</v>
      </c>
      <c r="Q156" s="3">
        <v>190</v>
      </c>
      <c r="R156" s="3" t="str">
        <f>IF(OR(G156="12R",G156="12L"),_xlfn.XLOOKUP(C156,Tabla42[ADEP],Tabla42[SID 12R],""),IF(OR(G156="30L",G156="30R"),_xlfn.XLOOKUP(C156,Tabla42[ADEP],Tabla42[SID 30L],""),""))</f>
        <v>UDGUV</v>
      </c>
      <c r="S156" s="3">
        <f t="shared" si="2"/>
        <v>21</v>
      </c>
      <c r="T156" s="3" t="str">
        <f>_xlfn.XLOOKUP(C156,Tabla42[ADEP],Tabla42[Sector],"")</f>
        <v>Sector 2</v>
      </c>
    </row>
    <row r="157" spans="1:20" x14ac:dyDescent="0.2">
      <c r="A157" t="s">
        <v>2888</v>
      </c>
      <c r="B157" t="s">
        <v>18</v>
      </c>
      <c r="C157" t="s">
        <v>49</v>
      </c>
      <c r="D157" t="s">
        <v>2476</v>
      </c>
      <c r="E157" t="s">
        <v>2477</v>
      </c>
      <c r="F157" s="2">
        <v>46302.916238425925</v>
      </c>
      <c r="G157" t="s">
        <v>21</v>
      </c>
      <c r="H157" t="s">
        <v>2889</v>
      </c>
      <c r="I157" s="3">
        <v>400</v>
      </c>
      <c r="J157" t="s">
        <v>22</v>
      </c>
      <c r="K157" t="s">
        <v>141</v>
      </c>
      <c r="L157" s="3">
        <v>947</v>
      </c>
      <c r="M157" t="s">
        <v>2890</v>
      </c>
      <c r="N157" s="2">
        <v>46302.974317129629</v>
      </c>
      <c r="O157" s="3">
        <v>400</v>
      </c>
      <c r="P157" t="s">
        <v>129</v>
      </c>
      <c r="Q157" s="3">
        <v>30</v>
      </c>
      <c r="R157" s="3" t="str">
        <f>IF(OR(G157="12R",G157="12L"),_xlfn.XLOOKUP(C157,Tabla42[ADEP],Tabla42[SID 12R],""),IF(OR(G157="30L",G157="30R"),_xlfn.XLOOKUP(C157,Tabla42[ADEP],Tabla42[SID 30L],""),""))</f>
        <v>UDGUV</v>
      </c>
      <c r="S157" s="3">
        <f t="shared" si="2"/>
        <v>21</v>
      </c>
      <c r="T157" s="3" t="str">
        <f>_xlfn.XLOOKUP(C157,Tabla42[ADEP],Tabla42[Sector],"")</f>
        <v>Sector 2</v>
      </c>
    </row>
    <row r="158" spans="1:20" x14ac:dyDescent="0.2">
      <c r="A158" t="s">
        <v>1751</v>
      </c>
      <c r="B158" t="s">
        <v>18</v>
      </c>
      <c r="C158" t="s">
        <v>814</v>
      </c>
      <c r="D158" t="s">
        <v>306</v>
      </c>
      <c r="E158" t="s">
        <v>1752</v>
      </c>
      <c r="F158" s="2">
        <v>46302.917280092588</v>
      </c>
      <c r="G158" t="s">
        <v>21</v>
      </c>
      <c r="H158" t="s">
        <v>2891</v>
      </c>
      <c r="I158" s="3">
        <v>360</v>
      </c>
      <c r="J158" t="s">
        <v>22</v>
      </c>
      <c r="K158" t="s">
        <v>23</v>
      </c>
      <c r="L158" s="3">
        <v>453</v>
      </c>
      <c r="M158" t="s">
        <v>189</v>
      </c>
      <c r="N158" s="2">
        <v>46302.942094907412</v>
      </c>
      <c r="O158" s="3">
        <v>360</v>
      </c>
      <c r="P158" t="s">
        <v>25</v>
      </c>
      <c r="Q158" s="3">
        <v>40</v>
      </c>
      <c r="R158" s="3" t="str">
        <f>IF(OR(G158="12R",G158="12L"),_xlfn.XLOOKUP(C158,Tabla42[ADEP],Tabla42[SID 12R],""),IF(OR(G158="30L",G158="30R"),_xlfn.XLOOKUP(C158,Tabla42[ADEP],Tabla42[SID 30L],""),""))</f>
        <v>ENEBA</v>
      </c>
      <c r="S158" s="3">
        <f t="shared" si="2"/>
        <v>22</v>
      </c>
      <c r="T158" s="3" t="str">
        <f>_xlfn.XLOOKUP(C158,Tabla42[ADEP],Tabla42[Sector],"")</f>
        <v>Sector 3</v>
      </c>
    </row>
    <row r="159" spans="1:20" x14ac:dyDescent="0.2">
      <c r="A159" t="s">
        <v>312</v>
      </c>
      <c r="B159" t="s">
        <v>18</v>
      </c>
      <c r="C159" t="s">
        <v>204</v>
      </c>
      <c r="D159" t="s">
        <v>33</v>
      </c>
      <c r="E159" t="s">
        <v>2892</v>
      </c>
      <c r="F159" s="2">
        <v>46302.92050925926</v>
      </c>
      <c r="G159" t="s">
        <v>21</v>
      </c>
      <c r="H159" t="s">
        <v>2893</v>
      </c>
      <c r="I159" s="3">
        <v>350</v>
      </c>
      <c r="J159" t="s">
        <v>22</v>
      </c>
      <c r="K159" t="s">
        <v>23</v>
      </c>
      <c r="L159" s="3">
        <v>150</v>
      </c>
      <c r="M159" t="s">
        <v>111</v>
      </c>
      <c r="N159" s="2">
        <v>46302.930798611109</v>
      </c>
      <c r="O159" s="3">
        <v>269</v>
      </c>
      <c r="P159" t="s">
        <v>25</v>
      </c>
      <c r="Q159" s="3">
        <v>190</v>
      </c>
      <c r="R159" s="3" t="str">
        <f>IF(OR(G159="12R",G159="12L"),_xlfn.XLOOKUP(C159,Tabla42[ADEP],Tabla42[SID 12R],""),IF(OR(G159="30L",G159="30R"),_xlfn.XLOOKUP(C159,Tabla42[ADEP],Tabla42[SID 30L],""),""))</f>
        <v>TAKUX</v>
      </c>
      <c r="S159" s="3">
        <f t="shared" si="2"/>
        <v>22</v>
      </c>
      <c r="T159" s="3" t="str">
        <f>_xlfn.XLOOKUP(C159,Tabla42[ADEP],Tabla42[Sector],"")</f>
        <v>Sector 7</v>
      </c>
    </row>
    <row r="160" spans="1:20" x14ac:dyDescent="0.2">
      <c r="A160" t="s">
        <v>291</v>
      </c>
      <c r="B160" t="s">
        <v>18</v>
      </c>
      <c r="C160" t="s">
        <v>209</v>
      </c>
      <c r="D160" t="s">
        <v>110</v>
      </c>
      <c r="E160" t="s">
        <v>390</v>
      </c>
      <c r="F160" s="2">
        <v>46302.921921296293</v>
      </c>
      <c r="G160" t="s">
        <v>21</v>
      </c>
      <c r="H160" t="s">
        <v>2894</v>
      </c>
      <c r="I160" s="3">
        <v>360</v>
      </c>
      <c r="J160" t="s">
        <v>22</v>
      </c>
      <c r="K160" t="s">
        <v>23</v>
      </c>
      <c r="L160" s="3">
        <v>480</v>
      </c>
      <c r="M160" t="s">
        <v>2895</v>
      </c>
      <c r="N160" s="2">
        <v>46302.947476851856</v>
      </c>
      <c r="O160" s="3">
        <v>380</v>
      </c>
      <c r="P160" t="s">
        <v>25</v>
      </c>
      <c r="Q160" s="3">
        <v>40</v>
      </c>
      <c r="R160" s="3" t="str">
        <f>IF(OR(G160="12R",G160="12L"),_xlfn.XLOOKUP(C160,Tabla42[ADEP],Tabla42[SID 12R],""),IF(OR(G160="30L",G160="30R"),_xlfn.XLOOKUP(C160,Tabla42[ADEP],Tabla42[SID 30L],""),""))</f>
        <v>ENEBA</v>
      </c>
      <c r="S160" s="3">
        <f t="shared" si="2"/>
        <v>22</v>
      </c>
      <c r="T160" s="3" t="str">
        <f>_xlfn.XLOOKUP(C160,Tabla42[ADEP],Tabla42[Sector],"")</f>
        <v>Sector 3</v>
      </c>
    </row>
    <row r="161" spans="1:20" x14ac:dyDescent="0.2">
      <c r="A161" t="s">
        <v>318</v>
      </c>
      <c r="B161" t="s">
        <v>18</v>
      </c>
      <c r="C161" t="s">
        <v>116</v>
      </c>
      <c r="D161" t="s">
        <v>43</v>
      </c>
      <c r="E161" t="s">
        <v>1004</v>
      </c>
      <c r="F161" s="2">
        <v>46302.935324074075</v>
      </c>
      <c r="G161" t="s">
        <v>21</v>
      </c>
      <c r="H161" t="s">
        <v>2896</v>
      </c>
      <c r="I161" s="3">
        <v>360</v>
      </c>
      <c r="J161" t="s">
        <v>22</v>
      </c>
      <c r="K161" t="s">
        <v>23</v>
      </c>
      <c r="L161" s="3">
        <v>441</v>
      </c>
      <c r="M161" t="s">
        <v>189</v>
      </c>
      <c r="N161" s="2">
        <v>46302.958414351851</v>
      </c>
      <c r="O161" s="3">
        <v>360</v>
      </c>
      <c r="P161" t="s">
        <v>25</v>
      </c>
      <c r="Q161" s="3">
        <v>40</v>
      </c>
      <c r="R161" s="3" t="str">
        <f>IF(OR(G161="12R",G161="12L"),_xlfn.XLOOKUP(C161,Tabla42[ADEP],Tabla42[SID 12R],""),IF(OR(G161="30L",G161="30R"),_xlfn.XLOOKUP(C161,Tabla42[ADEP],Tabla42[SID 30L],""),""))</f>
        <v>ENEBA</v>
      </c>
      <c r="S161" s="3">
        <f t="shared" si="2"/>
        <v>22</v>
      </c>
      <c r="T161" s="3" t="str">
        <f>_xlfn.XLOOKUP(C161,Tabla42[ADEP],Tabla42[Sector],"")</f>
        <v>Sector 3</v>
      </c>
    </row>
    <row r="162" spans="1:20" x14ac:dyDescent="0.2">
      <c r="A162" t="s">
        <v>328</v>
      </c>
      <c r="B162" t="s">
        <v>18</v>
      </c>
      <c r="C162" t="s">
        <v>42</v>
      </c>
      <c r="D162" t="s">
        <v>43</v>
      </c>
      <c r="E162" t="s">
        <v>1006</v>
      </c>
      <c r="F162" s="2">
        <v>46302.940717592588</v>
      </c>
      <c r="G162" t="s">
        <v>21</v>
      </c>
      <c r="H162" t="s">
        <v>2897</v>
      </c>
      <c r="I162" s="3">
        <v>360</v>
      </c>
      <c r="J162" t="s">
        <v>22</v>
      </c>
      <c r="K162" t="s">
        <v>23</v>
      </c>
      <c r="L162" s="3">
        <v>925</v>
      </c>
      <c r="M162" t="s">
        <v>2898</v>
      </c>
      <c r="N162" s="2">
        <v>46302.991041666668</v>
      </c>
      <c r="O162" s="3">
        <v>360</v>
      </c>
      <c r="P162" t="s">
        <v>25</v>
      </c>
      <c r="Q162" s="3">
        <v>190</v>
      </c>
      <c r="R162" s="3" t="str">
        <f>IF(OR(G162="12R",G162="12L"),_xlfn.XLOOKUP(C162,Tabla42[ADEP],Tabla42[SID 12R],""),IF(OR(G162="30L",G162="30R"),_xlfn.XLOOKUP(C162,Tabla42[ADEP],Tabla42[SID 30L],""),""))</f>
        <v>UDGUV</v>
      </c>
      <c r="S162" s="3">
        <f t="shared" si="2"/>
        <v>22</v>
      </c>
      <c r="T162" s="3" t="str">
        <f>_xlfn.XLOOKUP(C162,Tabla42[ADEP],Tabla42[Sector],"")</f>
        <v>Sector 2</v>
      </c>
    </row>
    <row r="163" spans="1:20" x14ac:dyDescent="0.2">
      <c r="A163" t="s">
        <v>319</v>
      </c>
      <c r="B163" t="s">
        <v>18</v>
      </c>
      <c r="C163" t="s">
        <v>320</v>
      </c>
      <c r="D163" t="s">
        <v>53</v>
      </c>
      <c r="E163" t="s">
        <v>516</v>
      </c>
      <c r="F163" s="2">
        <v>46302.949664351851</v>
      </c>
      <c r="G163" t="s">
        <v>21</v>
      </c>
      <c r="H163" t="s">
        <v>2899</v>
      </c>
      <c r="I163" s="3">
        <v>380</v>
      </c>
      <c r="J163" t="s">
        <v>22</v>
      </c>
      <c r="K163" t="s">
        <v>23</v>
      </c>
      <c r="L163" s="3">
        <v>963</v>
      </c>
      <c r="M163" t="s">
        <v>786</v>
      </c>
      <c r="N163" s="2">
        <v>46303.000046296293</v>
      </c>
      <c r="O163" s="3">
        <v>380</v>
      </c>
      <c r="P163" t="s">
        <v>25</v>
      </c>
      <c r="Q163" s="3">
        <v>190</v>
      </c>
      <c r="R163" s="3" t="str">
        <f>IF(OR(G163="12R",G163="12L"),_xlfn.XLOOKUP(C163,Tabla42[ADEP],Tabla42[SID 12R],""),IF(OR(G163="30L",G163="30R"),_xlfn.XLOOKUP(C163,Tabla42[ADEP],Tabla42[SID 30L],""),""))</f>
        <v>UDGUV</v>
      </c>
      <c r="S163" s="3">
        <f t="shared" si="2"/>
        <v>22</v>
      </c>
      <c r="T163" s="3" t="str">
        <f>_xlfn.XLOOKUP(C163,Tabla42[ADEP],Tabla42[Sector],"")</f>
        <v>Sector 2</v>
      </c>
    </row>
    <row r="164" spans="1:20" x14ac:dyDescent="0.2">
      <c r="A164" t="s">
        <v>324</v>
      </c>
      <c r="B164" t="s">
        <v>18</v>
      </c>
      <c r="C164" t="s">
        <v>206</v>
      </c>
      <c r="D164" t="s">
        <v>53</v>
      </c>
      <c r="E164" t="s">
        <v>2900</v>
      </c>
      <c r="F164" s="2">
        <v>46302.951215277775</v>
      </c>
      <c r="G164" t="s">
        <v>21</v>
      </c>
      <c r="H164" t="s">
        <v>2901</v>
      </c>
      <c r="I164" s="3">
        <v>380</v>
      </c>
      <c r="J164" t="s">
        <v>22</v>
      </c>
      <c r="K164" t="s">
        <v>23</v>
      </c>
      <c r="L164" s="3">
        <v>968</v>
      </c>
      <c r="M164" t="s">
        <v>2058</v>
      </c>
      <c r="N164" s="2">
        <v>46303.003460648149</v>
      </c>
      <c r="O164" s="3">
        <v>380</v>
      </c>
      <c r="P164" t="s">
        <v>25</v>
      </c>
      <c r="Q164" s="3">
        <v>190</v>
      </c>
      <c r="R164" s="3" t="str">
        <f>IF(OR(G164="12R",G164="12L"),_xlfn.XLOOKUP(C164,Tabla42[ADEP],Tabla42[SID 12R],""),IF(OR(G164="30L",G164="30R"),_xlfn.XLOOKUP(C164,Tabla42[ADEP],Tabla42[SID 30L],""),""))</f>
        <v>UDGUV</v>
      </c>
      <c r="S164" s="3">
        <f t="shared" si="2"/>
        <v>22</v>
      </c>
      <c r="T164" s="3" t="str">
        <f>_xlfn.XLOOKUP(C164,Tabla42[ADEP],Tabla42[Sector],"")</f>
        <v>Sector 2</v>
      </c>
    </row>
    <row r="165" spans="1:20" x14ac:dyDescent="0.2">
      <c r="A165" t="s">
        <v>2312</v>
      </c>
      <c r="B165" t="s">
        <v>18</v>
      </c>
      <c r="C165" t="s">
        <v>396</v>
      </c>
      <c r="D165" t="s">
        <v>397</v>
      </c>
      <c r="E165" t="s">
        <v>512</v>
      </c>
      <c r="F165" s="2">
        <v>46302.952372685184</v>
      </c>
      <c r="G165" t="s">
        <v>21</v>
      </c>
      <c r="H165" t="s">
        <v>2902</v>
      </c>
      <c r="I165" s="3">
        <v>370</v>
      </c>
      <c r="J165" t="s">
        <v>22</v>
      </c>
      <c r="K165" t="s">
        <v>23</v>
      </c>
      <c r="L165" s="3">
        <v>150</v>
      </c>
      <c r="M165" t="s">
        <v>111</v>
      </c>
      <c r="N165" s="2">
        <v>46302.961956018524</v>
      </c>
      <c r="O165" s="3">
        <v>253</v>
      </c>
      <c r="P165" t="s">
        <v>40</v>
      </c>
      <c r="Q165" s="3">
        <v>190</v>
      </c>
      <c r="R165" s="3" t="str">
        <f>IF(OR(G165="12R",G165="12L"),_xlfn.XLOOKUP(C165,Tabla42[ADEP],Tabla42[SID 12R],""),IF(OR(G165="30L",G165="30R"),_xlfn.XLOOKUP(C165,Tabla42[ADEP],Tabla42[SID 30L],""),""))</f>
        <v>CZM</v>
      </c>
      <c r="S165" s="3">
        <f t="shared" si="2"/>
        <v>22</v>
      </c>
      <c r="T165" s="3" t="str">
        <f>_xlfn.XLOOKUP(C165,Tabla42[ADEP],Tabla42[Sector],"")</f>
        <v>Sector 7</v>
      </c>
    </row>
    <row r="166" spans="1:20" x14ac:dyDescent="0.2">
      <c r="A166" t="s">
        <v>412</v>
      </c>
      <c r="B166" t="s">
        <v>18</v>
      </c>
      <c r="C166" t="s">
        <v>84</v>
      </c>
      <c r="D166" t="s">
        <v>85</v>
      </c>
      <c r="E166" t="s">
        <v>2903</v>
      </c>
      <c r="F166" s="2">
        <v>46302.964942129634</v>
      </c>
      <c r="G166" t="s">
        <v>21</v>
      </c>
      <c r="H166" t="s">
        <v>2904</v>
      </c>
      <c r="I166" s="3">
        <v>350</v>
      </c>
      <c r="J166" t="s">
        <v>22</v>
      </c>
      <c r="K166" t="s">
        <v>23</v>
      </c>
      <c r="L166" s="3">
        <v>132</v>
      </c>
      <c r="M166" t="s">
        <v>39</v>
      </c>
      <c r="N166" s="2">
        <v>46302.974490740744</v>
      </c>
      <c r="O166" s="3">
        <v>180</v>
      </c>
      <c r="P166" t="s">
        <v>40</v>
      </c>
      <c r="Q166" s="3">
        <v>190</v>
      </c>
      <c r="R166" s="3" t="str">
        <f>IF(OR(G166="12R",G166="12L"),_xlfn.XLOOKUP(C166,Tabla42[ADEP],Tabla42[SID 12R],""),IF(OR(G166="30L",G166="30R"),_xlfn.XLOOKUP(C166,Tabla42[ADEP],Tabla42[SID 30L],""),""))</f>
        <v>NUDAL</v>
      </c>
      <c r="S166" s="3">
        <f t="shared" si="2"/>
        <v>23</v>
      </c>
      <c r="T166" s="3" t="str">
        <f>_xlfn.XLOOKUP(C166,Tabla42[ADEP],Tabla42[Sector],"")</f>
        <v>Sector 3</v>
      </c>
    </row>
    <row r="167" spans="1:20" x14ac:dyDescent="0.2">
      <c r="A167" t="s">
        <v>330</v>
      </c>
      <c r="B167" t="s">
        <v>18</v>
      </c>
      <c r="C167" t="s">
        <v>62</v>
      </c>
      <c r="D167" t="s">
        <v>53</v>
      </c>
      <c r="E167" t="s">
        <v>325</v>
      </c>
      <c r="F167" s="2">
        <v>46302.971076388887</v>
      </c>
      <c r="G167" t="s">
        <v>21</v>
      </c>
      <c r="H167" t="s">
        <v>2905</v>
      </c>
      <c r="I167" s="3">
        <v>380</v>
      </c>
      <c r="J167" t="s">
        <v>22</v>
      </c>
      <c r="K167" t="s">
        <v>23</v>
      </c>
      <c r="L167" s="3">
        <v>896</v>
      </c>
      <c r="M167" t="s">
        <v>630</v>
      </c>
      <c r="N167" s="2">
        <v>46303.019178240742</v>
      </c>
      <c r="O167" s="3">
        <v>380</v>
      </c>
      <c r="P167" t="s">
        <v>25</v>
      </c>
      <c r="Q167" s="3">
        <v>190</v>
      </c>
      <c r="R167" s="3" t="str">
        <f>IF(OR(G167="12R",G167="12L"),_xlfn.XLOOKUP(C167,Tabla42[ADEP],Tabla42[SID 12R],""),IF(OR(G167="30L",G167="30R"),_xlfn.XLOOKUP(C167,Tabla42[ADEP],Tabla42[SID 30L],""),""))</f>
        <v>UDGUV</v>
      </c>
      <c r="S167" s="3">
        <f t="shared" si="2"/>
        <v>23</v>
      </c>
      <c r="T167" s="3" t="str">
        <f>_xlfn.XLOOKUP(C167,Tabla42[ADEP],Tabla42[Sector],"")</f>
        <v>Sector 2</v>
      </c>
    </row>
    <row r="168" spans="1:20" x14ac:dyDescent="0.2">
      <c r="A168" t="s">
        <v>332</v>
      </c>
      <c r="B168" t="s">
        <v>18</v>
      </c>
      <c r="C168" t="s">
        <v>257</v>
      </c>
      <c r="D168" t="s">
        <v>122</v>
      </c>
      <c r="E168" t="s">
        <v>2906</v>
      </c>
      <c r="F168" s="2">
        <v>46302.971967592588</v>
      </c>
      <c r="G168" t="s">
        <v>21</v>
      </c>
      <c r="H168" t="s">
        <v>2907</v>
      </c>
      <c r="I168" s="3">
        <v>340</v>
      </c>
      <c r="J168" t="s">
        <v>22</v>
      </c>
      <c r="K168" t="s">
        <v>23</v>
      </c>
      <c r="L168" s="3">
        <v>484</v>
      </c>
      <c r="M168" t="s">
        <v>2283</v>
      </c>
      <c r="N168" s="2">
        <v>46302.996412037042</v>
      </c>
      <c r="O168" s="3">
        <v>340</v>
      </c>
      <c r="P168" t="s">
        <v>25</v>
      </c>
      <c r="Q168" s="3">
        <v>190</v>
      </c>
      <c r="R168" s="3" t="str">
        <f>IF(OR(G168="12R",G168="12L"),_xlfn.XLOOKUP(C168,Tabla42[ADEP],Tabla42[SID 12R],""),IF(OR(G168="30L",G168="30R"),_xlfn.XLOOKUP(C168,Tabla42[ADEP],Tabla42[SID 30L],""),""))</f>
        <v>UDGUV</v>
      </c>
      <c r="S168" s="3">
        <f t="shared" si="2"/>
        <v>23</v>
      </c>
      <c r="T168" s="3" t="str">
        <f>_xlfn.XLOOKUP(C168,Tabla42[ADEP],Tabla42[Sector],"")</f>
        <v>Sector 2</v>
      </c>
    </row>
    <row r="169" spans="1:20" x14ac:dyDescent="0.2">
      <c r="A169" t="s">
        <v>409</v>
      </c>
      <c r="B169" t="s">
        <v>18</v>
      </c>
      <c r="C169" t="s">
        <v>254</v>
      </c>
      <c r="D169" t="s">
        <v>33</v>
      </c>
      <c r="E169" t="s">
        <v>831</v>
      </c>
      <c r="F169" s="2">
        <v>46302.973136574074</v>
      </c>
      <c r="G169" t="s">
        <v>21</v>
      </c>
      <c r="H169" t="s">
        <v>2908</v>
      </c>
      <c r="I169" s="3">
        <v>360</v>
      </c>
      <c r="J169" t="s">
        <v>22</v>
      </c>
      <c r="K169" t="s">
        <v>23</v>
      </c>
      <c r="L169" s="3">
        <v>911</v>
      </c>
      <c r="M169" t="s">
        <v>664</v>
      </c>
      <c r="N169" s="2">
        <v>46303.02208333333</v>
      </c>
      <c r="O169" s="3">
        <v>360</v>
      </c>
      <c r="P169" t="s">
        <v>25</v>
      </c>
      <c r="Q169" s="3">
        <v>190</v>
      </c>
      <c r="R169" s="3" t="str">
        <f>IF(OR(G169="12R",G169="12L"),_xlfn.XLOOKUP(C169,Tabla42[ADEP],Tabla42[SID 12R],""),IF(OR(G169="30L",G169="30R"),_xlfn.XLOOKUP(C169,Tabla42[ADEP],Tabla42[SID 30L],""),""))</f>
        <v>UDGUV</v>
      </c>
      <c r="S169" s="3">
        <f t="shared" si="2"/>
        <v>23</v>
      </c>
      <c r="T169" s="3" t="str">
        <f>_xlfn.XLOOKUP(C169,Tabla42[ADEP],Tabla42[Sector],"")</f>
        <v>Sector 2</v>
      </c>
    </row>
    <row r="170" spans="1:20" x14ac:dyDescent="0.2">
      <c r="A170" t="s">
        <v>333</v>
      </c>
      <c r="B170" t="s">
        <v>18</v>
      </c>
      <c r="C170" t="s">
        <v>204</v>
      </c>
      <c r="D170" t="s">
        <v>33</v>
      </c>
      <c r="E170" t="s">
        <v>2909</v>
      </c>
      <c r="F170" s="2">
        <v>46302.975486111114</v>
      </c>
      <c r="G170" t="s">
        <v>21</v>
      </c>
      <c r="H170" t="s">
        <v>2910</v>
      </c>
      <c r="I170" s="3">
        <v>330</v>
      </c>
      <c r="J170" t="s">
        <v>22</v>
      </c>
      <c r="K170" t="s">
        <v>23</v>
      </c>
      <c r="L170" s="3">
        <v>150</v>
      </c>
      <c r="M170" t="s">
        <v>111</v>
      </c>
      <c r="N170" s="2">
        <v>46302.985833333332</v>
      </c>
      <c r="O170" s="3">
        <v>252</v>
      </c>
      <c r="P170" t="s">
        <v>25</v>
      </c>
      <c r="Q170" s="3">
        <v>190</v>
      </c>
      <c r="R170" s="3" t="str">
        <f>IF(OR(G170="12R",G170="12L"),_xlfn.XLOOKUP(C170,Tabla42[ADEP],Tabla42[SID 12R],""),IF(OR(G170="30L",G170="30R"),_xlfn.XLOOKUP(C170,Tabla42[ADEP],Tabla42[SID 30L],""),""))</f>
        <v>TAKUX</v>
      </c>
      <c r="S170" s="3">
        <f t="shared" si="2"/>
        <v>23</v>
      </c>
      <c r="T170" s="3" t="str">
        <f>_xlfn.XLOOKUP(C170,Tabla42[ADEP],Tabla42[Sector],"")</f>
        <v>Sector 7</v>
      </c>
    </row>
    <row r="171" spans="1:20" x14ac:dyDescent="0.2">
      <c r="A171" t="s">
        <v>308</v>
      </c>
      <c r="B171" t="s">
        <v>18</v>
      </c>
      <c r="C171" t="s">
        <v>137</v>
      </c>
      <c r="D171" t="s">
        <v>122</v>
      </c>
      <c r="E171" t="s">
        <v>2911</v>
      </c>
      <c r="F171" s="2">
        <v>46302.976608796293</v>
      </c>
      <c r="G171" t="s">
        <v>21</v>
      </c>
      <c r="H171" t="s">
        <v>2912</v>
      </c>
      <c r="I171" s="3">
        <v>370</v>
      </c>
      <c r="J171" t="s">
        <v>22</v>
      </c>
      <c r="K171" t="s">
        <v>23</v>
      </c>
      <c r="L171" s="3">
        <v>135</v>
      </c>
      <c r="M171" t="s">
        <v>2913</v>
      </c>
      <c r="N171" s="2">
        <v>46302.985578703709</v>
      </c>
      <c r="O171" s="3">
        <v>261</v>
      </c>
      <c r="P171" t="s">
        <v>25</v>
      </c>
      <c r="Q171" s="3">
        <v>190</v>
      </c>
      <c r="R171" s="3" t="str">
        <f>IF(OR(G171="12R",G171="12L"),_xlfn.XLOOKUP(C171,Tabla42[ADEP],Tabla42[SID 12R],""),IF(OR(G171="30L",G171="30R"),_xlfn.XLOOKUP(C171,Tabla42[ADEP],Tabla42[SID 30L],""),""))</f>
        <v>NUDAL</v>
      </c>
      <c r="S171" s="3">
        <f t="shared" si="2"/>
        <v>23</v>
      </c>
      <c r="T171" s="3" t="str">
        <f>_xlfn.XLOOKUP(C171,Tabla42[ADEP],Tabla42[Sector],"")</f>
        <v>Sector 3</v>
      </c>
    </row>
    <row r="172" spans="1:20" x14ac:dyDescent="0.2">
      <c r="A172" t="s">
        <v>334</v>
      </c>
      <c r="B172" t="s">
        <v>18</v>
      </c>
      <c r="C172" t="s">
        <v>42</v>
      </c>
      <c r="D172" t="s">
        <v>122</v>
      </c>
      <c r="E172" t="s">
        <v>1008</v>
      </c>
      <c r="F172" s="2">
        <v>46302.995949074073</v>
      </c>
      <c r="G172" t="s">
        <v>21</v>
      </c>
      <c r="H172" t="s">
        <v>2914</v>
      </c>
      <c r="I172" s="3">
        <v>380</v>
      </c>
      <c r="J172" t="s">
        <v>22</v>
      </c>
      <c r="K172" t="s">
        <v>23</v>
      </c>
      <c r="L172" s="3">
        <v>886</v>
      </c>
      <c r="M172" t="s">
        <v>2915</v>
      </c>
      <c r="N172" s="2">
        <v>46303.043888888889</v>
      </c>
      <c r="O172" s="3">
        <v>380</v>
      </c>
      <c r="P172" t="s">
        <v>25</v>
      </c>
      <c r="Q172" s="3">
        <v>190</v>
      </c>
      <c r="R172" s="3" t="str">
        <f>IF(OR(G172="12R",G172="12L"),_xlfn.XLOOKUP(C172,Tabla42[ADEP],Tabla42[SID 12R],""),IF(OR(G172="30L",G172="30R"),_xlfn.XLOOKUP(C172,Tabla42[ADEP],Tabla42[SID 30L],""),""))</f>
        <v>UDGUV</v>
      </c>
      <c r="S172" s="3">
        <f t="shared" si="2"/>
        <v>23</v>
      </c>
      <c r="T172" s="3" t="str">
        <f>_xlfn.XLOOKUP(C172,Tabla42[ADEP],Tabla42[Sector],"")</f>
        <v>Sector 2</v>
      </c>
    </row>
    <row r="173" spans="1:20" x14ac:dyDescent="0.2">
      <c r="F173" s="2"/>
      <c r="I173" s="3"/>
      <c r="L173" s="3"/>
      <c r="N173" s="2"/>
      <c r="O173" s="3"/>
      <c r="Q173" s="3"/>
      <c r="R173" s="3" t="str">
        <f>IF(OR(G173="12R",G173="12L"),_xlfn.XLOOKUP(C173,Tabla42[ADEP],Tabla42[SID 12R],""),IF(OR(G173="30L",G173="30R"),_xlfn.XLOOKUP(C173,Tabla42[ADEP],Tabla42[SID 30L],""),""))</f>
        <v/>
      </c>
      <c r="S173" s="3">
        <f t="shared" si="2"/>
        <v>0</v>
      </c>
      <c r="T173" s="3" t="str">
        <f>_xlfn.XLOOKUP(C173,Tabla42[ADEP],Tabla42[Sector],"")</f>
        <v/>
      </c>
    </row>
    <row r="174" spans="1:20" x14ac:dyDescent="0.2">
      <c r="F174" s="2"/>
      <c r="I174" s="3"/>
      <c r="L174" s="3"/>
      <c r="N174" s="2"/>
      <c r="O174" s="3"/>
      <c r="Q174" s="3"/>
      <c r="R174" s="3" t="str">
        <f>IF(OR(G174="12R",G174="12L"),_xlfn.XLOOKUP(C174,Tabla42[ADEP],Tabla42[SID 12R],""),IF(OR(G174="30L",G174="30R"),_xlfn.XLOOKUP(C174,Tabla42[ADEP],Tabla42[SID 30L],""),""))</f>
        <v/>
      </c>
      <c r="S174" s="3">
        <f t="shared" si="2"/>
        <v>0</v>
      </c>
      <c r="T174" s="3" t="str">
        <f>_xlfn.XLOOKUP(C174,Tabla42[ADEP],Tabla42[Sector],"")</f>
        <v/>
      </c>
    </row>
    <row r="175" spans="1:20" x14ac:dyDescent="0.2">
      <c r="F175" s="2"/>
      <c r="I175" s="3"/>
      <c r="L175" s="3"/>
      <c r="N175" s="2"/>
      <c r="O175" s="3"/>
      <c r="Q175" s="3"/>
      <c r="R175" s="3" t="str">
        <f>IF(OR(G175="12R",G175="12L"),_xlfn.XLOOKUP(C175,Tabla42[ADEP],Tabla42[SID 12R],""),IF(OR(G175="30L",G175="30R"),_xlfn.XLOOKUP(C175,Tabla42[ADEP],Tabla42[SID 30L],""),""))</f>
        <v/>
      </c>
      <c r="S175" s="3">
        <f t="shared" si="2"/>
        <v>0</v>
      </c>
      <c r="T175" s="3" t="str">
        <f>_xlfn.XLOOKUP(C175,Tabla42[ADEP],Tabla42[Sector],"")</f>
        <v/>
      </c>
    </row>
    <row r="176" spans="1:20" x14ac:dyDescent="0.2">
      <c r="F176" s="2"/>
      <c r="I176" s="3"/>
      <c r="L176" s="3"/>
      <c r="N176" s="2"/>
      <c r="O176" s="3"/>
      <c r="Q176" s="3"/>
      <c r="R176" s="3" t="str">
        <f>IF(OR(G176="12R",G176="12L"),_xlfn.XLOOKUP(C176,Tabla42[ADEP],Tabla42[SID 12R],""),IF(OR(G176="30L",G176="30R"),_xlfn.XLOOKUP(C176,Tabla42[ADEP],Tabla42[SID 30L],""),""))</f>
        <v/>
      </c>
      <c r="S176" s="3">
        <f t="shared" si="2"/>
        <v>0</v>
      </c>
      <c r="T176" s="3" t="str">
        <f>_xlfn.XLOOKUP(C176,Tabla42[ADEP],Tabla42[Sector],"")</f>
        <v/>
      </c>
    </row>
    <row r="177" spans="6:20" x14ac:dyDescent="0.2">
      <c r="F177" s="2"/>
      <c r="I177" s="3"/>
      <c r="L177" s="3"/>
      <c r="N177" s="2"/>
      <c r="O177" s="3"/>
      <c r="Q177" s="3"/>
      <c r="R177" s="3" t="str">
        <f>IF(OR(G177="12R",G177="12L"),_xlfn.XLOOKUP(C177,Tabla42[ADEP],Tabla42[SID 12R],""),IF(OR(G177="30L",G177="30R"),_xlfn.XLOOKUP(C177,Tabla42[ADEP],Tabla42[SID 30L],""),""))</f>
        <v/>
      </c>
      <c r="S177" s="3">
        <f t="shared" si="2"/>
        <v>0</v>
      </c>
      <c r="T177" s="3" t="str">
        <f>_xlfn.XLOOKUP(C177,Tabla42[ADEP],Tabla42[Sector],"")</f>
        <v/>
      </c>
    </row>
    <row r="178" spans="6:20" x14ac:dyDescent="0.2">
      <c r="F178" s="2"/>
      <c r="I178" s="3"/>
      <c r="L178" s="3"/>
      <c r="N178" s="2"/>
      <c r="O178" s="3"/>
      <c r="Q178" s="3"/>
      <c r="R178" s="3" t="str">
        <f>IF(OR(G178="12R",G178="12L"),_xlfn.XLOOKUP(C178,Tabla42[ADEP],Tabla42[SID 12R],""),IF(OR(G178="30L",G178="30R"),_xlfn.XLOOKUP(C178,Tabla42[ADEP],Tabla42[SID 30L],""),""))</f>
        <v/>
      </c>
      <c r="S178" s="3">
        <f t="shared" si="2"/>
        <v>0</v>
      </c>
      <c r="T178" s="3" t="str">
        <f>_xlfn.XLOOKUP(C178,Tabla42[ADEP],Tabla42[Sector],"")</f>
        <v/>
      </c>
    </row>
    <row r="179" spans="6:20" x14ac:dyDescent="0.2">
      <c r="F179" s="2"/>
      <c r="I179" s="3"/>
      <c r="L179" s="3"/>
      <c r="N179" s="2"/>
      <c r="O179" s="3"/>
      <c r="Q179" s="3"/>
      <c r="R179" s="3" t="str">
        <f>IF(OR(G179="12R",G179="12L"),_xlfn.XLOOKUP(C179,Tabla42[ADEP],Tabla42[SID 12R],""),IF(OR(G179="30L",G179="30R"),_xlfn.XLOOKUP(C179,Tabla42[ADEP],Tabla42[SID 30L],""),""))</f>
        <v/>
      </c>
      <c r="S179" s="3">
        <f t="shared" si="2"/>
        <v>0</v>
      </c>
      <c r="T179" s="3" t="str">
        <f>_xlfn.XLOOKUP(C179,Tabla42[ADEP],Tabla42[Sector],"")</f>
        <v/>
      </c>
    </row>
    <row r="180" spans="6:20" x14ac:dyDescent="0.2">
      <c r="F180" s="2"/>
      <c r="I180" s="3"/>
      <c r="L180" s="3"/>
      <c r="N180" s="2"/>
      <c r="O180" s="3"/>
      <c r="Q180" s="3"/>
      <c r="R180" s="3" t="str">
        <f>IF(OR(G180="12R",G180="12L"),_xlfn.XLOOKUP(C180,Tabla42[ADEP],Tabla42[SID 12R],""),IF(OR(G180="30L",G180="30R"),_xlfn.XLOOKUP(C180,Tabla42[ADEP],Tabla42[SID 30L],""),""))</f>
        <v/>
      </c>
      <c r="S180" s="3">
        <f t="shared" si="2"/>
        <v>0</v>
      </c>
      <c r="T180" s="3" t="str">
        <f>_xlfn.XLOOKUP(C180,Tabla42[ADEP],Tabla42[Sector],"")</f>
        <v/>
      </c>
    </row>
    <row r="181" spans="6:20" x14ac:dyDescent="0.2">
      <c r="F181" s="2"/>
      <c r="I181" s="3"/>
      <c r="L181" s="3"/>
      <c r="N181" s="2"/>
      <c r="O181" s="3"/>
      <c r="Q181" s="3"/>
      <c r="R181" s="3" t="str">
        <f>IF(OR(G181="12R",G181="12L"),_xlfn.XLOOKUP(C181,Tabla42[ADEP],Tabla42[SID 12R],""),IF(OR(G181="30L",G181="30R"),_xlfn.XLOOKUP(C181,Tabla42[ADEP],Tabla42[SID 30L],""),""))</f>
        <v/>
      </c>
      <c r="S181" s="3">
        <f t="shared" si="2"/>
        <v>0</v>
      </c>
      <c r="T181" s="3" t="str">
        <f>_xlfn.XLOOKUP(C181,Tabla42[ADEP],Tabla42[Sector],"")</f>
        <v/>
      </c>
    </row>
    <row r="182" spans="6:20" x14ac:dyDescent="0.2">
      <c r="F182" s="2"/>
      <c r="I182" s="3"/>
      <c r="L182" s="3"/>
      <c r="N182" s="2"/>
      <c r="O182" s="3"/>
      <c r="Q182" s="3"/>
      <c r="R182" s="3" t="str">
        <f>IF(OR(G182="12R",G182="12L"),_xlfn.XLOOKUP(C182,Tabla42[ADEP],Tabla42[SID 12R],""),IF(OR(G182="30L",G182="30R"),_xlfn.XLOOKUP(C182,Tabla42[ADEP],Tabla42[SID 30L],""),""))</f>
        <v/>
      </c>
      <c r="S182" s="3">
        <f t="shared" si="2"/>
        <v>0</v>
      </c>
      <c r="T182" s="3" t="str">
        <f>_xlfn.XLOOKUP(C182,Tabla42[ADEP],Tabla42[Sector],"")</f>
        <v/>
      </c>
    </row>
    <row r="183" spans="6:20" x14ac:dyDescent="0.2">
      <c r="F183" s="2"/>
      <c r="I183" s="3"/>
      <c r="L183" s="3"/>
      <c r="N183" s="2"/>
      <c r="O183" s="3"/>
      <c r="Q183" s="3"/>
      <c r="R183" s="3" t="str">
        <f>IF(OR(G183="12R",G183="12L"),_xlfn.XLOOKUP(C183,Tabla42[ADEP],Tabla42[SID 12R],""),IF(OR(G183="30L",G183="30R"),_xlfn.XLOOKUP(C183,Tabla42[ADEP],Tabla42[SID 30L],""),""))</f>
        <v/>
      </c>
      <c r="S183" s="3">
        <f t="shared" si="2"/>
        <v>0</v>
      </c>
      <c r="T183" s="3" t="str">
        <f>_xlfn.XLOOKUP(C183,Tabla42[ADEP],Tabla42[Sector],"")</f>
        <v/>
      </c>
    </row>
    <row r="184" spans="6:20" x14ac:dyDescent="0.2">
      <c r="F184" s="2"/>
      <c r="I184" s="3"/>
      <c r="L184" s="3"/>
      <c r="N184" s="2"/>
      <c r="O184" s="3"/>
      <c r="Q184" s="3"/>
      <c r="R184" s="3" t="str">
        <f>IF(OR(G184="12R",G184="12L"),_xlfn.XLOOKUP(C184,Tabla42[ADEP],Tabla42[SID 12R],""),IF(OR(G184="30L",G184="30R"),_xlfn.XLOOKUP(C184,Tabla42[ADEP],Tabla42[SID 30L],""),""))</f>
        <v/>
      </c>
      <c r="S184" s="3">
        <f t="shared" si="2"/>
        <v>0</v>
      </c>
      <c r="T184" s="3" t="str">
        <f>_xlfn.XLOOKUP(C184,Tabla42[ADEP],Tabla42[Sector],"")</f>
        <v/>
      </c>
    </row>
    <row r="185" spans="6:20" x14ac:dyDescent="0.2">
      <c r="F185" s="2"/>
      <c r="I185" s="3"/>
      <c r="L185" s="3"/>
      <c r="N185" s="2"/>
      <c r="O185" s="3"/>
      <c r="Q185" s="3"/>
      <c r="R185" s="3" t="str">
        <f>IF(OR(G185="12R",G185="12L"),_xlfn.XLOOKUP(C185,Tabla42[ADEP],Tabla42[SID 12R],""),IF(OR(G185="30L",G185="30R"),_xlfn.XLOOKUP(C185,Tabla42[ADEP],Tabla42[SID 30L],""),""))</f>
        <v/>
      </c>
      <c r="S185" s="3">
        <f t="shared" si="2"/>
        <v>0</v>
      </c>
      <c r="T185" s="3" t="str">
        <f>_xlfn.XLOOKUP(C185,Tabla42[ADEP],Tabla42[Sector],"")</f>
        <v/>
      </c>
    </row>
    <row r="186" spans="6:20" x14ac:dyDescent="0.2">
      <c r="F186" s="2"/>
      <c r="I186" s="3"/>
      <c r="L186" s="3"/>
      <c r="N186" s="2"/>
      <c r="O186" s="3"/>
      <c r="Q186" s="3"/>
      <c r="R186" s="3" t="str">
        <f>IF(OR(G186="12R",G186="12L"),_xlfn.XLOOKUP(C186,Tabla42[ADEP],Tabla42[SID 12R],""),IF(OR(G186="30L",G186="30R"),_xlfn.XLOOKUP(C186,Tabla42[ADEP],Tabla42[SID 30L],""),""))</f>
        <v/>
      </c>
      <c r="S186" s="3">
        <f t="shared" si="2"/>
        <v>0</v>
      </c>
      <c r="T186" s="3" t="str">
        <f>_xlfn.XLOOKUP(C186,Tabla42[ADEP],Tabla42[Sector],"")</f>
        <v/>
      </c>
    </row>
    <row r="187" spans="6:20" x14ac:dyDescent="0.2">
      <c r="F187" s="2"/>
      <c r="I187" s="3"/>
      <c r="L187" s="3"/>
      <c r="N187" s="2"/>
      <c r="O187" s="3"/>
      <c r="Q187" s="3"/>
      <c r="R187" s="3" t="str">
        <f>IF(OR(G187="12R",G187="12L"),_xlfn.XLOOKUP(C187,Tabla42[ADEP],Tabla42[SID 12R],""),IF(OR(G187="30L",G187="30R"),_xlfn.XLOOKUP(C187,Tabla42[ADEP],Tabla42[SID 30L],""),""))</f>
        <v/>
      </c>
      <c r="S187" s="3">
        <f t="shared" si="2"/>
        <v>0</v>
      </c>
      <c r="T187" s="3" t="str">
        <f>_xlfn.XLOOKUP(C187,Tabla42[ADEP],Tabla42[Sector],"")</f>
        <v/>
      </c>
    </row>
    <row r="188" spans="6:20" x14ac:dyDescent="0.2">
      <c r="F188" s="2"/>
      <c r="I188" s="3"/>
      <c r="L188" s="3"/>
      <c r="N188" s="2"/>
      <c r="O188" s="3"/>
      <c r="Q188" s="3"/>
      <c r="R188" s="3" t="str">
        <f>IF(OR(G188="12R",G188="12L"),_xlfn.XLOOKUP(C188,Tabla42[ADEP],Tabla42[SID 12R],""),IF(OR(G188="30L",G188="30R"),_xlfn.XLOOKUP(C188,Tabla42[ADEP],Tabla42[SID 30L],""),""))</f>
        <v/>
      </c>
      <c r="S188" s="3">
        <f t="shared" si="2"/>
        <v>0</v>
      </c>
      <c r="T188" s="3" t="str">
        <f>_xlfn.XLOOKUP(C188,Tabla42[ADEP],Tabla42[Sector],"")</f>
        <v/>
      </c>
    </row>
    <row r="189" spans="6:20" x14ac:dyDescent="0.2">
      <c r="F189" s="2"/>
      <c r="I189" s="3"/>
      <c r="L189" s="3"/>
      <c r="N189" s="2"/>
      <c r="O189" s="3"/>
      <c r="Q189" s="3"/>
      <c r="R189" s="3" t="str">
        <f>IF(OR(G189="12R",G189="12L"),_xlfn.XLOOKUP(C189,Tabla42[ADEP],Tabla42[SID 12R],""),IF(OR(G189="30L",G189="30R"),_xlfn.XLOOKUP(C189,Tabla42[ADEP],Tabla42[SID 30L],""),""))</f>
        <v/>
      </c>
      <c r="S189" s="3">
        <f t="shared" si="2"/>
        <v>0</v>
      </c>
      <c r="T189" s="3" t="str">
        <f>_xlfn.XLOOKUP(C189,Tabla42[ADEP],Tabla42[Sector],"")</f>
        <v/>
      </c>
    </row>
    <row r="190" spans="6: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6: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6: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1</v>
      </c>
      <c r="I227" s="9">
        <f t="shared" ref="I227:I235" si="5">SUM(B227:H227)</f>
        <v>2</v>
      </c>
    </row>
    <row r="228" spans="1:9" x14ac:dyDescent="0.2">
      <c r="A228" s="7">
        <v>15</v>
      </c>
      <c r="B228" s="8">
        <f t="shared" si="4"/>
        <v>0</v>
      </c>
      <c r="C228" s="8">
        <f t="shared" si="4"/>
        <v>0</v>
      </c>
      <c r="D228" s="8">
        <f t="shared" si="4"/>
        <v>0</v>
      </c>
      <c r="E228" s="8">
        <f t="shared" si="4"/>
        <v>0</v>
      </c>
      <c r="F228" s="8">
        <f t="shared" si="4"/>
        <v>2</v>
      </c>
      <c r="G228" s="8">
        <f t="shared" si="4"/>
        <v>0</v>
      </c>
      <c r="H228" s="8">
        <f t="shared" si="4"/>
        <v>8</v>
      </c>
      <c r="I228" s="9">
        <f t="shared" si="5"/>
        <v>10</v>
      </c>
    </row>
    <row r="229" spans="1:9" x14ac:dyDescent="0.2">
      <c r="A229" s="7">
        <v>16</v>
      </c>
      <c r="B229" s="8">
        <f t="shared" si="4"/>
        <v>1</v>
      </c>
      <c r="C229" s="8">
        <f t="shared" si="4"/>
        <v>1</v>
      </c>
      <c r="D229" s="8">
        <f t="shared" si="4"/>
        <v>0</v>
      </c>
      <c r="E229" s="8">
        <f t="shared" si="4"/>
        <v>1</v>
      </c>
      <c r="F229" s="8">
        <f t="shared" si="4"/>
        <v>3</v>
      </c>
      <c r="G229" s="8">
        <f t="shared" si="4"/>
        <v>1</v>
      </c>
      <c r="H229" s="8">
        <f t="shared" si="4"/>
        <v>6</v>
      </c>
      <c r="I229" s="9">
        <f t="shared" si="5"/>
        <v>13</v>
      </c>
    </row>
    <row r="230" spans="1:9" x14ac:dyDescent="0.2">
      <c r="A230" s="7">
        <v>17</v>
      </c>
      <c r="B230" s="8">
        <f t="shared" si="4"/>
        <v>0</v>
      </c>
      <c r="C230" s="8">
        <f t="shared" si="4"/>
        <v>4</v>
      </c>
      <c r="D230" s="8">
        <f t="shared" si="4"/>
        <v>0</v>
      </c>
      <c r="E230" s="8">
        <f t="shared" si="4"/>
        <v>0</v>
      </c>
      <c r="F230" s="8">
        <f t="shared" si="4"/>
        <v>2</v>
      </c>
      <c r="G230" s="8">
        <f t="shared" si="4"/>
        <v>1</v>
      </c>
      <c r="H230" s="8">
        <f t="shared" si="4"/>
        <v>4</v>
      </c>
      <c r="I230" s="9">
        <f t="shared" si="5"/>
        <v>11</v>
      </c>
    </row>
    <row r="231" spans="1:9" x14ac:dyDescent="0.2">
      <c r="A231" s="7">
        <v>18</v>
      </c>
      <c r="B231" s="8">
        <f t="shared" si="4"/>
        <v>0</v>
      </c>
      <c r="C231" s="8">
        <f t="shared" si="4"/>
        <v>5</v>
      </c>
      <c r="D231" s="8">
        <f t="shared" si="4"/>
        <v>0</v>
      </c>
      <c r="E231" s="8">
        <f t="shared" si="4"/>
        <v>0</v>
      </c>
      <c r="F231" s="8">
        <f t="shared" si="4"/>
        <v>5</v>
      </c>
      <c r="G231" s="8">
        <f t="shared" si="4"/>
        <v>2</v>
      </c>
      <c r="H231" s="8">
        <f t="shared" si="4"/>
        <v>7</v>
      </c>
      <c r="I231" s="9">
        <f t="shared" si="5"/>
        <v>19</v>
      </c>
    </row>
    <row r="232" spans="1:9" x14ac:dyDescent="0.2">
      <c r="A232" s="7">
        <v>19</v>
      </c>
      <c r="B232" s="8">
        <f t="shared" si="4"/>
        <v>2</v>
      </c>
      <c r="C232" s="8">
        <f t="shared" si="4"/>
        <v>5</v>
      </c>
      <c r="D232" s="8">
        <f t="shared" si="4"/>
        <v>0</v>
      </c>
      <c r="E232" s="8">
        <f t="shared" si="4"/>
        <v>2</v>
      </c>
      <c r="F232" s="8">
        <f t="shared" si="4"/>
        <v>4</v>
      </c>
      <c r="G232" s="8">
        <f t="shared" si="4"/>
        <v>1</v>
      </c>
      <c r="H232" s="8">
        <f t="shared" si="4"/>
        <v>7</v>
      </c>
      <c r="I232" s="9">
        <f t="shared" si="5"/>
        <v>21</v>
      </c>
    </row>
    <row r="233" spans="1:9" x14ac:dyDescent="0.2">
      <c r="A233" s="7">
        <v>20</v>
      </c>
      <c r="B233" s="8">
        <f t="shared" si="4"/>
        <v>0</v>
      </c>
      <c r="C233" s="8">
        <f t="shared" si="4"/>
        <v>4</v>
      </c>
      <c r="D233" s="8">
        <f t="shared" si="4"/>
        <v>0</v>
      </c>
      <c r="E233" s="8">
        <f t="shared" si="4"/>
        <v>2</v>
      </c>
      <c r="F233" s="8">
        <f t="shared" si="4"/>
        <v>4</v>
      </c>
      <c r="G233" s="8">
        <f t="shared" si="4"/>
        <v>0</v>
      </c>
      <c r="H233" s="8">
        <f t="shared" si="4"/>
        <v>10</v>
      </c>
      <c r="I233" s="9">
        <f t="shared" si="5"/>
        <v>20</v>
      </c>
    </row>
    <row r="234" spans="1:9" x14ac:dyDescent="0.2">
      <c r="A234" s="7">
        <v>21</v>
      </c>
      <c r="B234" s="8">
        <f t="shared" si="4"/>
        <v>1</v>
      </c>
      <c r="C234" s="8">
        <f t="shared" si="4"/>
        <v>2</v>
      </c>
      <c r="D234" s="8">
        <f t="shared" si="4"/>
        <v>1</v>
      </c>
      <c r="E234" s="8">
        <f t="shared" si="4"/>
        <v>2</v>
      </c>
      <c r="F234" s="8">
        <f t="shared" si="4"/>
        <v>2</v>
      </c>
      <c r="G234" s="8">
        <f t="shared" si="4"/>
        <v>1</v>
      </c>
      <c r="H234" s="8">
        <f t="shared" si="4"/>
        <v>9</v>
      </c>
      <c r="I234" s="9">
        <f t="shared" si="5"/>
        <v>18</v>
      </c>
    </row>
    <row r="235" spans="1:9" x14ac:dyDescent="0.2">
      <c r="A235" s="10">
        <v>22</v>
      </c>
      <c r="B235" s="11">
        <f t="shared" si="4"/>
        <v>1</v>
      </c>
      <c r="C235" s="11">
        <f t="shared" si="4"/>
        <v>3</v>
      </c>
      <c r="D235" s="11">
        <f t="shared" si="4"/>
        <v>0</v>
      </c>
      <c r="E235" s="11">
        <f t="shared" si="4"/>
        <v>0</v>
      </c>
      <c r="F235" s="11">
        <f t="shared" si="4"/>
        <v>0</v>
      </c>
      <c r="G235" s="11">
        <f t="shared" si="4"/>
        <v>1</v>
      </c>
      <c r="H235" s="11">
        <f t="shared" si="4"/>
        <v>3</v>
      </c>
      <c r="I235" s="12">
        <f t="shared" si="5"/>
        <v>8</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8</v>
      </c>
      <c r="C264" s="8">
        <f t="shared" si="6"/>
        <v>2</v>
      </c>
      <c r="D264" s="8">
        <f t="shared" si="6"/>
        <v>0</v>
      </c>
      <c r="E264" s="9">
        <f t="shared" si="7"/>
        <v>10</v>
      </c>
    </row>
    <row r="265" spans="1:9" x14ac:dyDescent="0.2">
      <c r="A265" s="7">
        <v>16</v>
      </c>
      <c r="B265" s="8">
        <f t="shared" si="6"/>
        <v>6</v>
      </c>
      <c r="C265" s="8">
        <f t="shared" si="6"/>
        <v>5</v>
      </c>
      <c r="D265" s="8">
        <f t="shared" si="6"/>
        <v>2</v>
      </c>
      <c r="E265" s="9">
        <f t="shared" si="7"/>
        <v>13</v>
      </c>
    </row>
    <row r="266" spans="1:9" x14ac:dyDescent="0.2">
      <c r="A266" s="7">
        <v>17</v>
      </c>
      <c r="B266" s="8">
        <f t="shared" si="6"/>
        <v>4</v>
      </c>
      <c r="C266" s="8">
        <f t="shared" si="6"/>
        <v>6</v>
      </c>
      <c r="D266" s="8">
        <f t="shared" si="6"/>
        <v>1</v>
      </c>
      <c r="E266" s="9">
        <f t="shared" si="7"/>
        <v>11</v>
      </c>
    </row>
    <row r="267" spans="1:9" x14ac:dyDescent="0.2">
      <c r="A267" s="7">
        <v>18</v>
      </c>
      <c r="B267" s="8">
        <f t="shared" si="6"/>
        <v>7</v>
      </c>
      <c r="C267" s="8">
        <f t="shared" si="6"/>
        <v>10</v>
      </c>
      <c r="D267" s="8">
        <f t="shared" si="6"/>
        <v>2</v>
      </c>
      <c r="E267" s="9">
        <f t="shared" si="7"/>
        <v>19</v>
      </c>
    </row>
    <row r="268" spans="1:9" x14ac:dyDescent="0.2">
      <c r="A268" s="7">
        <v>19</v>
      </c>
      <c r="B268" s="8">
        <f t="shared" si="6"/>
        <v>7</v>
      </c>
      <c r="C268" s="8">
        <f t="shared" si="6"/>
        <v>11</v>
      </c>
      <c r="D268" s="8">
        <f t="shared" si="6"/>
        <v>3</v>
      </c>
      <c r="E268" s="9">
        <f t="shared" si="7"/>
        <v>21</v>
      </c>
    </row>
    <row r="269" spans="1:9" x14ac:dyDescent="0.2">
      <c r="A269" s="7">
        <v>20</v>
      </c>
      <c r="B269" s="8">
        <f t="shared" si="6"/>
        <v>10</v>
      </c>
      <c r="C269" s="8">
        <f t="shared" si="6"/>
        <v>10</v>
      </c>
      <c r="D269" s="8">
        <f t="shared" si="6"/>
        <v>0</v>
      </c>
      <c r="E269" s="9">
        <f t="shared" si="7"/>
        <v>20</v>
      </c>
    </row>
    <row r="270" spans="1:9" x14ac:dyDescent="0.2">
      <c r="A270" s="7">
        <v>21</v>
      </c>
      <c r="B270" s="8">
        <f t="shared" si="6"/>
        <v>9</v>
      </c>
      <c r="C270" s="8">
        <f t="shared" si="6"/>
        <v>6</v>
      </c>
      <c r="D270" s="8">
        <f t="shared" si="6"/>
        <v>3</v>
      </c>
      <c r="E270" s="9">
        <f t="shared" si="7"/>
        <v>18</v>
      </c>
    </row>
    <row r="271" spans="1:9" x14ac:dyDescent="0.2">
      <c r="A271" s="7">
        <v>22</v>
      </c>
      <c r="B271" s="8">
        <f t="shared" si="6"/>
        <v>3</v>
      </c>
      <c r="C271" s="8">
        <f t="shared" si="6"/>
        <v>3</v>
      </c>
      <c r="D271" s="8">
        <f t="shared" si="6"/>
        <v>2</v>
      </c>
      <c r="E271" s="9">
        <f t="shared" si="7"/>
        <v>8</v>
      </c>
    </row>
    <row r="272" spans="1:9" x14ac:dyDescent="0.2">
      <c r="A272" s="10">
        <v>23</v>
      </c>
      <c r="B272" s="11">
        <f t="shared" si="6"/>
        <v>4</v>
      </c>
      <c r="C272" s="11">
        <f t="shared" si="6"/>
        <v>2</v>
      </c>
      <c r="D272" s="11">
        <f t="shared" si="6"/>
        <v>1</v>
      </c>
      <c r="E272" s="12">
        <f t="shared" si="7"/>
        <v>7</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FB95-2642-634E-BE19-57CDD92F0CAC}">
  <dimension ref="A1:T272"/>
  <sheetViews>
    <sheetView showGridLines="0" zoomScale="110" zoomScaleNormal="110" workbookViewId="0">
      <selection activeCell="A2" sqref="A2:Q189"/>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6" t="s">
        <v>336</v>
      </c>
      <c r="B2" s="16" t="s">
        <v>18</v>
      </c>
      <c r="C2" s="16" t="s">
        <v>290</v>
      </c>
      <c r="D2" s="16" t="s">
        <v>33</v>
      </c>
      <c r="E2" s="16"/>
      <c r="F2" s="17">
        <v>46303.005567129629</v>
      </c>
      <c r="G2" s="16" t="s">
        <v>21</v>
      </c>
      <c r="H2" s="16" t="s">
        <v>2916</v>
      </c>
      <c r="I2" s="16">
        <v>330</v>
      </c>
      <c r="J2" s="16" t="s">
        <v>22</v>
      </c>
      <c r="K2" s="16" t="s">
        <v>23</v>
      </c>
      <c r="L2" s="16">
        <v>213</v>
      </c>
      <c r="M2" s="16" t="s">
        <v>2917</v>
      </c>
      <c r="N2" s="17">
        <v>46303.019131944442</v>
      </c>
      <c r="O2" s="16">
        <v>279</v>
      </c>
      <c r="P2" s="16" t="s">
        <v>25</v>
      </c>
      <c r="Q2" s="16">
        <v>190</v>
      </c>
      <c r="R2" s="3" t="str">
        <f>IF(OR(G2="12R",G2="12L"),_xlfn.XLOOKUP(C2,Tabla42[ADEP],Tabla42[SID 12R],""),IF(OR(G2="30L",G2="30R"),_xlfn.XLOOKUP(C2,Tabla42[ADEP],Tabla42[SID 30L],""),""))</f>
        <v>CZM</v>
      </c>
      <c r="S2" s="3">
        <f>HOUR(F2)</f>
        <v>0</v>
      </c>
      <c r="T2" s="3" t="str">
        <f>_xlfn.XLOOKUP(C2,Tabla42[ADEP],Tabla42[Sector],"")</f>
        <v>Sector 7</v>
      </c>
    </row>
    <row r="3" spans="1:20" x14ac:dyDescent="0.2">
      <c r="A3" s="16" t="s">
        <v>17</v>
      </c>
      <c r="B3" s="16" t="s">
        <v>18</v>
      </c>
      <c r="C3" s="16" t="s">
        <v>19</v>
      </c>
      <c r="D3" s="16" t="s">
        <v>33</v>
      </c>
      <c r="E3" s="16" t="s">
        <v>554</v>
      </c>
      <c r="F3" s="17">
        <v>46303.026122685187</v>
      </c>
      <c r="G3" s="16" t="s">
        <v>21</v>
      </c>
      <c r="H3" s="16" t="s">
        <v>2918</v>
      </c>
      <c r="I3" s="16">
        <v>360</v>
      </c>
      <c r="J3" s="16" t="s">
        <v>22</v>
      </c>
      <c r="K3" s="16" t="s">
        <v>23</v>
      </c>
      <c r="L3" s="16">
        <v>911</v>
      </c>
      <c r="M3" s="16" t="s">
        <v>2919</v>
      </c>
      <c r="N3" s="17">
        <v>46303.074722222227</v>
      </c>
      <c r="O3" s="16">
        <v>360</v>
      </c>
      <c r="P3" s="16" t="s">
        <v>25</v>
      </c>
      <c r="Q3" s="16">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6" t="s">
        <v>31</v>
      </c>
      <c r="B4" s="16" t="s">
        <v>18</v>
      </c>
      <c r="C4" s="16" t="s">
        <v>32</v>
      </c>
      <c r="D4" s="16" t="s">
        <v>53</v>
      </c>
      <c r="E4" s="16" t="s">
        <v>2564</v>
      </c>
      <c r="F4" s="17">
        <v>46303.033263888894</v>
      </c>
      <c r="G4" s="16" t="s">
        <v>21</v>
      </c>
      <c r="H4" s="16" t="s">
        <v>2920</v>
      </c>
      <c r="I4" s="16">
        <v>380</v>
      </c>
      <c r="J4" s="16" t="s">
        <v>22</v>
      </c>
      <c r="K4" s="16" t="s">
        <v>23</v>
      </c>
      <c r="L4" s="16">
        <v>903</v>
      </c>
      <c r="M4" s="16" t="s">
        <v>2921</v>
      </c>
      <c r="N4" s="17">
        <v>46303.082048611112</v>
      </c>
      <c r="O4" s="16">
        <v>380</v>
      </c>
      <c r="P4" s="16" t="s">
        <v>25</v>
      </c>
      <c r="Q4" s="16">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6" t="s">
        <v>41</v>
      </c>
      <c r="B5" s="16" t="s">
        <v>18</v>
      </c>
      <c r="C5" s="16" t="s">
        <v>42</v>
      </c>
      <c r="D5" s="16" t="s">
        <v>43</v>
      </c>
      <c r="E5" s="16" t="s">
        <v>711</v>
      </c>
      <c r="F5" s="17">
        <v>46303.037314814814</v>
      </c>
      <c r="G5" s="16" t="s">
        <v>21</v>
      </c>
      <c r="H5" s="16" t="s">
        <v>2922</v>
      </c>
      <c r="I5" s="16">
        <v>360</v>
      </c>
      <c r="J5" s="16" t="s">
        <v>22</v>
      </c>
      <c r="K5" s="16" t="s">
        <v>23</v>
      </c>
      <c r="L5" s="16">
        <v>885</v>
      </c>
      <c r="M5" s="16" t="s">
        <v>2923</v>
      </c>
      <c r="N5" s="17">
        <v>46303.084710648152</v>
      </c>
      <c r="O5" s="16">
        <v>360</v>
      </c>
      <c r="P5" s="16" t="s">
        <v>25</v>
      </c>
      <c r="Q5" s="16">
        <v>190</v>
      </c>
      <c r="R5" s="3" t="str">
        <f>IF(OR(G5="12R",G5="12L"),_xlfn.XLOOKUP(C5,Tabla42[ADEP],Tabla42[SID 12R],""),IF(OR(G5="30L",G5="30R"),_xlfn.XLOOKUP(C5,Tabla42[ADEP],Tabla42[SID 30L],""),""))</f>
        <v>UDGUV</v>
      </c>
      <c r="S5" s="3">
        <f t="shared" si="0"/>
        <v>0</v>
      </c>
      <c r="T5" s="3" t="str">
        <f>_xlfn.XLOOKUP(C5,Tabla42[ADEP],Tabla42[Sector],"")</f>
        <v>Sector 2</v>
      </c>
    </row>
    <row r="6" spans="1:20" x14ac:dyDescent="0.2">
      <c r="A6" s="16" t="s">
        <v>56</v>
      </c>
      <c r="B6" s="16" t="s">
        <v>18</v>
      </c>
      <c r="C6" s="16" t="s">
        <v>42</v>
      </c>
      <c r="D6" s="16" t="s">
        <v>20</v>
      </c>
      <c r="E6" s="16" t="s">
        <v>169</v>
      </c>
      <c r="F6" s="17">
        <v>46303.04041666667</v>
      </c>
      <c r="G6" s="16" t="s">
        <v>21</v>
      </c>
      <c r="H6" s="16" t="s">
        <v>2924</v>
      </c>
      <c r="I6" s="16">
        <v>340</v>
      </c>
      <c r="J6" s="16" t="s">
        <v>22</v>
      </c>
      <c r="K6" s="16" t="s">
        <v>23</v>
      </c>
      <c r="L6" s="16">
        <v>888</v>
      </c>
      <c r="M6" s="16" t="s">
        <v>949</v>
      </c>
      <c r="N6" s="17">
        <v>46303.088425925926</v>
      </c>
      <c r="O6" s="16">
        <v>340</v>
      </c>
      <c r="P6" s="16" t="s">
        <v>25</v>
      </c>
      <c r="Q6" s="16">
        <v>190</v>
      </c>
      <c r="R6" s="3" t="str">
        <f>IF(OR(G6="12R",G6="12L"),_xlfn.XLOOKUP(C6,Tabla42[ADEP],Tabla42[SID 12R],""),IF(OR(G6="30L",G6="30R"),_xlfn.XLOOKUP(C6,Tabla42[ADEP],Tabla42[SID 30L],""),""))</f>
        <v>UDGUV</v>
      </c>
      <c r="S6" s="3">
        <f t="shared" si="0"/>
        <v>0</v>
      </c>
      <c r="T6" s="3" t="str">
        <f>_xlfn.XLOOKUP(C6,Tabla42[ADEP],Tabla42[Sector],"")</f>
        <v>Sector 2</v>
      </c>
    </row>
    <row r="7" spans="1:20" x14ac:dyDescent="0.2">
      <c r="A7" s="16" t="s">
        <v>46</v>
      </c>
      <c r="B7" s="16" t="s">
        <v>18</v>
      </c>
      <c r="C7" s="16" t="s">
        <v>47</v>
      </c>
      <c r="D7" s="16" t="s">
        <v>48</v>
      </c>
      <c r="E7" s="16" t="s">
        <v>2925</v>
      </c>
      <c r="F7" s="17">
        <v>46303.044930555552</v>
      </c>
      <c r="G7" s="16" t="s">
        <v>21</v>
      </c>
      <c r="H7" s="16" t="s">
        <v>2926</v>
      </c>
      <c r="I7" s="16">
        <v>370</v>
      </c>
      <c r="J7" s="16" t="s">
        <v>22</v>
      </c>
      <c r="K7" s="16" t="s">
        <v>23</v>
      </c>
      <c r="L7" s="16">
        <v>136</v>
      </c>
      <c r="M7" s="16" t="s">
        <v>39</v>
      </c>
      <c r="N7" s="17">
        <v>46303.054467592592</v>
      </c>
      <c r="O7" s="16">
        <v>239</v>
      </c>
      <c r="P7" s="16" t="s">
        <v>40</v>
      </c>
      <c r="Q7" s="16">
        <v>190</v>
      </c>
      <c r="R7" s="3" t="str">
        <f>IF(OR(G7="12R",G7="12L"),_xlfn.XLOOKUP(C7,Tabla42[ADEP],Tabla42[SID 12R],""),IF(OR(G7="30L",G7="30R"),_xlfn.XLOOKUP(C7,Tabla42[ADEP],Tabla42[SID 30L],""),""))</f>
        <v>NUDAL</v>
      </c>
      <c r="S7" s="3">
        <f t="shared" si="0"/>
        <v>1</v>
      </c>
      <c r="T7" s="3" t="str">
        <f>_xlfn.XLOOKUP(C7,Tabla42[ADEP],Tabla42[Sector],"")</f>
        <v>Sector 3</v>
      </c>
    </row>
    <row r="8" spans="1:20" x14ac:dyDescent="0.2">
      <c r="A8" s="16" t="s">
        <v>61</v>
      </c>
      <c r="B8" s="16" t="s">
        <v>18</v>
      </c>
      <c r="C8" s="16" t="s">
        <v>62</v>
      </c>
      <c r="D8" s="16" t="s">
        <v>63</v>
      </c>
      <c r="E8" s="16" t="s">
        <v>345</v>
      </c>
      <c r="F8" s="17">
        <v>46303.069351851853</v>
      </c>
      <c r="G8" s="16" t="s">
        <v>21</v>
      </c>
      <c r="H8" s="16" t="s">
        <v>2927</v>
      </c>
      <c r="I8" s="16">
        <v>360</v>
      </c>
      <c r="J8" s="16" t="s">
        <v>22</v>
      </c>
      <c r="K8" s="16" t="s">
        <v>23</v>
      </c>
      <c r="L8" s="16">
        <v>864</v>
      </c>
      <c r="M8" s="16" t="s">
        <v>2928</v>
      </c>
      <c r="N8" s="17">
        <v>46303.116851851853</v>
      </c>
      <c r="O8" s="16">
        <v>360</v>
      </c>
      <c r="P8" s="16" t="s">
        <v>25</v>
      </c>
      <c r="Q8" s="16">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16" t="s">
        <v>59</v>
      </c>
      <c r="B9" s="16" t="s">
        <v>18</v>
      </c>
      <c r="C9" s="16" t="s">
        <v>27</v>
      </c>
      <c r="D9" s="16" t="s">
        <v>33</v>
      </c>
      <c r="E9" s="16" t="s">
        <v>1794</v>
      </c>
      <c r="F9" s="17">
        <v>46303.082812499997</v>
      </c>
      <c r="G9" s="16" t="s">
        <v>21</v>
      </c>
      <c r="H9" s="16" t="s">
        <v>2929</v>
      </c>
      <c r="I9" s="16">
        <v>370</v>
      </c>
      <c r="J9" s="16" t="s">
        <v>22</v>
      </c>
      <c r="K9" s="16" t="s">
        <v>23</v>
      </c>
      <c r="L9" s="16">
        <v>359</v>
      </c>
      <c r="M9" s="16" t="s">
        <v>30</v>
      </c>
      <c r="N9" s="17">
        <v>46303.103136574078</v>
      </c>
      <c r="O9" s="16">
        <v>370</v>
      </c>
      <c r="P9" s="16" t="s">
        <v>25</v>
      </c>
      <c r="Q9" s="16">
        <v>40</v>
      </c>
      <c r="R9" s="3" t="str">
        <f>IF(OR(G9="12R",G9="12L"),_xlfn.XLOOKUP(C9,Tabla42[ADEP],Tabla42[SID 12R],""),IF(OR(G9="30L",G9="30R"),_xlfn.XLOOKUP(C9,Tabla42[ADEP],Tabla42[SID 30L],""),""))</f>
        <v>OMSUK</v>
      </c>
      <c r="S9" s="3">
        <f t="shared" si="0"/>
        <v>1</v>
      </c>
      <c r="T9" s="3" t="str">
        <f>_xlfn.XLOOKUP(C9,Tabla42[ADEP],Tabla42[Sector],"")</f>
        <v>Sector 3</v>
      </c>
    </row>
    <row r="10" spans="1:20" x14ac:dyDescent="0.2">
      <c r="A10" s="16" t="s">
        <v>64</v>
      </c>
      <c r="B10" s="16" t="s">
        <v>18</v>
      </c>
      <c r="C10" s="16" t="s">
        <v>65</v>
      </c>
      <c r="D10" s="16" t="s">
        <v>63</v>
      </c>
      <c r="E10" s="16" t="s">
        <v>774</v>
      </c>
      <c r="F10" s="17">
        <v>46303.087743055556</v>
      </c>
      <c r="G10" s="16" t="s">
        <v>21</v>
      </c>
      <c r="H10" s="16" t="s">
        <v>2930</v>
      </c>
      <c r="I10" s="16">
        <v>220</v>
      </c>
      <c r="J10" s="16" t="s">
        <v>22</v>
      </c>
      <c r="K10" s="16" t="s">
        <v>23</v>
      </c>
      <c r="L10" s="16">
        <v>355</v>
      </c>
      <c r="M10" s="16" t="s">
        <v>65</v>
      </c>
      <c r="N10" s="17">
        <v>46303.112164351856</v>
      </c>
      <c r="O10" s="16">
        <v>0</v>
      </c>
      <c r="P10" s="16" t="s">
        <v>25</v>
      </c>
      <c r="Q10" s="16">
        <v>190</v>
      </c>
      <c r="R10" s="3" t="str">
        <f>IF(OR(G10="12R",G10="12L"),_xlfn.XLOOKUP(C10,Tabla42[ADEP],Tabla42[SID 12R],""),IF(OR(G10="30L",G10="30R"),_xlfn.XLOOKUP(C10,Tabla42[ADEP],Tabla42[SID 30L],""),""))</f>
        <v>UDGUV</v>
      </c>
      <c r="S10" s="3">
        <f t="shared" si="0"/>
        <v>2</v>
      </c>
      <c r="T10" s="3" t="str">
        <f>_xlfn.XLOOKUP(C10,Tabla42[ADEP],Tabla42[Sector],"")</f>
        <v>Sector 2</v>
      </c>
    </row>
    <row r="11" spans="1:20" x14ac:dyDescent="0.2">
      <c r="A11" s="16" t="s">
        <v>78</v>
      </c>
      <c r="B11" s="16" t="s">
        <v>18</v>
      </c>
      <c r="C11" s="16" t="s">
        <v>42</v>
      </c>
      <c r="D11" s="16" t="s">
        <v>20</v>
      </c>
      <c r="E11" s="16" t="s">
        <v>710</v>
      </c>
      <c r="F11" s="17">
        <v>46303.117210648154</v>
      </c>
      <c r="G11" s="16" t="s">
        <v>21</v>
      </c>
      <c r="H11" s="16" t="s">
        <v>2931</v>
      </c>
      <c r="I11" s="16">
        <v>360</v>
      </c>
      <c r="J11" s="16" t="s">
        <v>22</v>
      </c>
      <c r="K11" s="16" t="s">
        <v>23</v>
      </c>
      <c r="L11" s="16">
        <v>873</v>
      </c>
      <c r="M11" s="16" t="s">
        <v>650</v>
      </c>
      <c r="N11" s="17">
        <v>46303.164652777778</v>
      </c>
      <c r="O11" s="16">
        <v>360</v>
      </c>
      <c r="P11" s="16" t="s">
        <v>25</v>
      </c>
      <c r="Q11" s="16">
        <v>190</v>
      </c>
      <c r="R11" s="3" t="str">
        <f>IF(OR(G11="12R",G11="12L"),_xlfn.XLOOKUP(C11,Tabla42[ADEP],Tabla42[SID 12R],""),IF(OR(G11="30L",G11="30R"),_xlfn.XLOOKUP(C11,Tabla42[ADEP],Tabla42[SID 30L],""),""))</f>
        <v>UDGUV</v>
      </c>
      <c r="S11" s="3">
        <f t="shared" si="0"/>
        <v>2</v>
      </c>
      <c r="T11" s="3" t="str">
        <f>_xlfn.XLOOKUP(C11,Tabla42[ADEP],Tabla42[Sector],"")</f>
        <v>Sector 2</v>
      </c>
    </row>
    <row r="12" spans="1:20" x14ac:dyDescent="0.2">
      <c r="A12" s="16" t="s">
        <v>348</v>
      </c>
      <c r="B12" s="16" t="s">
        <v>18</v>
      </c>
      <c r="C12" s="16" t="s">
        <v>204</v>
      </c>
      <c r="D12" s="16" t="s">
        <v>33</v>
      </c>
      <c r="E12" s="16" t="s">
        <v>368</v>
      </c>
      <c r="F12" s="17">
        <v>46303.119884259257</v>
      </c>
      <c r="G12" s="16" t="s">
        <v>21</v>
      </c>
      <c r="H12" s="16" t="s">
        <v>2932</v>
      </c>
      <c r="I12" s="16">
        <v>370</v>
      </c>
      <c r="J12" s="16" t="s">
        <v>22</v>
      </c>
      <c r="K12" s="16" t="s">
        <v>23</v>
      </c>
      <c r="L12" s="16">
        <v>153</v>
      </c>
      <c r="M12" s="16" t="s">
        <v>111</v>
      </c>
      <c r="N12" s="17">
        <v>46303.130543981482</v>
      </c>
      <c r="O12" s="16">
        <v>278</v>
      </c>
      <c r="P12" s="16" t="s">
        <v>25</v>
      </c>
      <c r="Q12" s="16">
        <v>190</v>
      </c>
      <c r="R12" s="3" t="str">
        <f>IF(OR(G12="12R",G12="12L"),_xlfn.XLOOKUP(C12,Tabla42[ADEP],Tabla42[SID 12R],""),IF(OR(G12="30L",G12="30R"),_xlfn.XLOOKUP(C12,Tabla42[ADEP],Tabla42[SID 30L],""),""))</f>
        <v>TAKUX</v>
      </c>
      <c r="S12" s="3">
        <f t="shared" si="0"/>
        <v>2</v>
      </c>
      <c r="T12" s="3" t="str">
        <f>_xlfn.XLOOKUP(C12,Tabla42[ADEP],Tabla42[Sector],"")</f>
        <v>Sector 7</v>
      </c>
    </row>
    <row r="13" spans="1:20" x14ac:dyDescent="0.2">
      <c r="A13" s="16" t="s">
        <v>72</v>
      </c>
      <c r="B13" s="16" t="s">
        <v>18</v>
      </c>
      <c r="C13" s="16" t="s">
        <v>73</v>
      </c>
      <c r="D13" s="16" t="s">
        <v>63</v>
      </c>
      <c r="E13" s="16" t="s">
        <v>2359</v>
      </c>
      <c r="F13" s="17">
        <v>46303.121157407411</v>
      </c>
      <c r="G13" s="16" t="s">
        <v>21</v>
      </c>
      <c r="H13" s="16" t="s">
        <v>2933</v>
      </c>
      <c r="I13" s="16">
        <v>320</v>
      </c>
      <c r="J13" s="16" t="s">
        <v>22</v>
      </c>
      <c r="K13" s="16" t="s">
        <v>23</v>
      </c>
      <c r="L13" s="16">
        <v>722</v>
      </c>
      <c r="M13" s="16" t="s">
        <v>73</v>
      </c>
      <c r="N13" s="17">
        <v>46303.16270833333</v>
      </c>
      <c r="O13" s="16">
        <v>0</v>
      </c>
      <c r="P13" s="16" t="s">
        <v>25</v>
      </c>
      <c r="Q13" s="16">
        <v>190</v>
      </c>
      <c r="R13" s="3" t="str">
        <f>IF(OR(G13="12R",G13="12L"),_xlfn.XLOOKUP(C13,Tabla42[ADEP],Tabla42[SID 12R],""),IF(OR(G13="30L",G13="30R"),_xlfn.XLOOKUP(C13,Tabla42[ADEP],Tabla42[SID 30L],""),""))</f>
        <v>UDGUV</v>
      </c>
      <c r="S13" s="3">
        <f t="shared" si="0"/>
        <v>2</v>
      </c>
      <c r="T13" s="3" t="str">
        <f>_xlfn.XLOOKUP(C13,Tabla42[ADEP],Tabla42[Sector],"")</f>
        <v>Sector 2</v>
      </c>
    </row>
    <row r="14" spans="1:20" x14ac:dyDescent="0.2">
      <c r="A14" s="16" t="s">
        <v>81</v>
      </c>
      <c r="B14" s="16" t="s">
        <v>18</v>
      </c>
      <c r="C14" s="16" t="s">
        <v>49</v>
      </c>
      <c r="D14" s="16" t="s">
        <v>33</v>
      </c>
      <c r="E14" s="16" t="s">
        <v>532</v>
      </c>
      <c r="F14" s="17">
        <v>46303.124456018515</v>
      </c>
      <c r="G14" s="16" t="s">
        <v>21</v>
      </c>
      <c r="H14" s="16" t="s">
        <v>2934</v>
      </c>
      <c r="I14" s="16">
        <v>380</v>
      </c>
      <c r="J14" s="16" t="s">
        <v>22</v>
      </c>
      <c r="K14" s="16" t="s">
        <v>23</v>
      </c>
      <c r="L14" s="16">
        <v>872</v>
      </c>
      <c r="M14" s="16" t="s">
        <v>83</v>
      </c>
      <c r="N14" s="17">
        <v>46303.172395833331</v>
      </c>
      <c r="O14" s="16">
        <v>380</v>
      </c>
      <c r="P14" s="16" t="s">
        <v>25</v>
      </c>
      <c r="Q14" s="16">
        <v>190</v>
      </c>
      <c r="R14" s="3" t="str">
        <f>IF(OR(G14="12R",G14="12L"),_xlfn.XLOOKUP(C14,Tabla42[ADEP],Tabla42[SID 12R],""),IF(OR(G14="30L",G14="30R"),_xlfn.XLOOKUP(C14,Tabla42[ADEP],Tabla42[SID 30L],""),""))</f>
        <v>UDGUV</v>
      </c>
      <c r="S14" s="3">
        <f t="shared" si="0"/>
        <v>2</v>
      </c>
      <c r="T14" s="3" t="str">
        <f>_xlfn.XLOOKUP(C14,Tabla42[ADEP],Tabla42[Sector],"")</f>
        <v>Sector 2</v>
      </c>
    </row>
    <row r="15" spans="1:20" x14ac:dyDescent="0.2">
      <c r="A15" s="16" t="s">
        <v>75</v>
      </c>
      <c r="B15" s="16" t="s">
        <v>18</v>
      </c>
      <c r="C15" s="16" t="s">
        <v>19</v>
      </c>
      <c r="D15" s="16" t="s">
        <v>33</v>
      </c>
      <c r="E15" s="16" t="s">
        <v>639</v>
      </c>
      <c r="F15" s="17">
        <v>46303.136747685188</v>
      </c>
      <c r="G15" s="16" t="s">
        <v>21</v>
      </c>
      <c r="H15" s="16" t="s">
        <v>2935</v>
      </c>
      <c r="I15" s="16">
        <v>360</v>
      </c>
      <c r="J15" s="16" t="s">
        <v>22</v>
      </c>
      <c r="K15" s="16" t="s">
        <v>23</v>
      </c>
      <c r="L15" s="16">
        <v>870</v>
      </c>
      <c r="M15" s="16" t="s">
        <v>83</v>
      </c>
      <c r="N15" s="17">
        <v>46303.183854166666</v>
      </c>
      <c r="O15" s="16">
        <v>360</v>
      </c>
      <c r="P15" s="16" t="s">
        <v>25</v>
      </c>
      <c r="Q15" s="16">
        <v>190</v>
      </c>
      <c r="R15" s="3" t="str">
        <f>IF(OR(G15="12R",G15="12L"),_xlfn.XLOOKUP(C15,Tabla42[ADEP],Tabla42[SID 12R],""),IF(OR(G15="30L",G15="30R"),_xlfn.XLOOKUP(C15,Tabla42[ADEP],Tabla42[SID 30L],""),""))</f>
        <v>UDGUV</v>
      </c>
      <c r="S15" s="3">
        <f t="shared" si="0"/>
        <v>3</v>
      </c>
      <c r="T15" s="3" t="str">
        <f>_xlfn.XLOOKUP(C15,Tabla42[ADEP],Tabla42[Sector],"")</f>
        <v>Sector 2</v>
      </c>
    </row>
    <row r="16" spans="1:20" x14ac:dyDescent="0.2">
      <c r="A16" s="16" t="s">
        <v>88</v>
      </c>
      <c r="B16" s="16" t="s">
        <v>18</v>
      </c>
      <c r="C16" s="16" t="s">
        <v>32</v>
      </c>
      <c r="D16" s="16" t="s">
        <v>33</v>
      </c>
      <c r="E16" s="16" t="s">
        <v>2408</v>
      </c>
      <c r="F16" s="17">
        <v>46303.150914351849</v>
      </c>
      <c r="G16" s="16" t="s">
        <v>21</v>
      </c>
      <c r="H16" s="16" t="s">
        <v>2936</v>
      </c>
      <c r="I16" s="16">
        <v>380</v>
      </c>
      <c r="J16" s="16" t="s">
        <v>22</v>
      </c>
      <c r="K16" s="16" t="s">
        <v>23</v>
      </c>
      <c r="L16" s="16">
        <v>946</v>
      </c>
      <c r="M16" s="16" t="s">
        <v>695</v>
      </c>
      <c r="N16" s="17">
        <v>46303.201655092591</v>
      </c>
      <c r="O16" s="16">
        <v>380</v>
      </c>
      <c r="P16" s="16" t="s">
        <v>25</v>
      </c>
      <c r="Q16" s="16">
        <v>190</v>
      </c>
      <c r="R16" s="3" t="str">
        <f>IF(OR(G16="12R",G16="12L"),_xlfn.XLOOKUP(C16,Tabla42[ADEP],Tabla42[SID 12R],""),IF(OR(G16="30L",G16="30R"),_xlfn.XLOOKUP(C16,Tabla42[ADEP],Tabla42[SID 30L],""),""))</f>
        <v>UDGUV</v>
      </c>
      <c r="S16" s="3">
        <f t="shared" si="0"/>
        <v>3</v>
      </c>
      <c r="T16" s="3" t="str">
        <f>_xlfn.XLOOKUP(C16,Tabla42[ADEP],Tabla42[Sector],"")</f>
        <v>Sector 2</v>
      </c>
    </row>
    <row r="17" spans="1:20" x14ac:dyDescent="0.2">
      <c r="A17" s="16" t="s">
        <v>69</v>
      </c>
      <c r="B17" s="16" t="s">
        <v>18</v>
      </c>
      <c r="C17" s="16" t="s">
        <v>42</v>
      </c>
      <c r="D17" s="16" t="s">
        <v>53</v>
      </c>
      <c r="E17" s="16" t="s">
        <v>575</v>
      </c>
      <c r="F17" s="17">
        <v>46303.176863425921</v>
      </c>
      <c r="G17" s="16" t="s">
        <v>21</v>
      </c>
      <c r="H17" s="16" t="s">
        <v>2937</v>
      </c>
      <c r="I17" s="16">
        <v>360</v>
      </c>
      <c r="J17" s="16" t="s">
        <v>22</v>
      </c>
      <c r="K17" s="16" t="s">
        <v>23</v>
      </c>
      <c r="L17" s="16">
        <v>861</v>
      </c>
      <c r="M17" s="16" t="s">
        <v>630</v>
      </c>
      <c r="N17" s="17">
        <v>46303.223865740743</v>
      </c>
      <c r="O17" s="16">
        <v>360</v>
      </c>
      <c r="P17" s="16" t="s">
        <v>25</v>
      </c>
      <c r="Q17" s="16">
        <v>190</v>
      </c>
      <c r="R17" s="3" t="str">
        <f>IF(OR(G17="12R",G17="12L"),_xlfn.XLOOKUP(C17,Tabla42[ADEP],Tabla42[SID 12R],""),IF(OR(G17="30L",G17="30R"),_xlfn.XLOOKUP(C17,Tabla42[ADEP],Tabla42[SID 30L],""),""))</f>
        <v>UDGUV</v>
      </c>
      <c r="S17" s="3">
        <f t="shared" si="0"/>
        <v>4</v>
      </c>
      <c r="T17" s="3" t="str">
        <f>_xlfn.XLOOKUP(C17,Tabla42[ADEP],Tabla42[Sector],"")</f>
        <v>Sector 2</v>
      </c>
    </row>
    <row r="18" spans="1:20" x14ac:dyDescent="0.2">
      <c r="A18" s="16" t="s">
        <v>86</v>
      </c>
      <c r="B18" s="16" t="s">
        <v>18</v>
      </c>
      <c r="C18" s="16" t="s">
        <v>42</v>
      </c>
      <c r="D18" s="16" t="s">
        <v>20</v>
      </c>
      <c r="E18" s="16" t="s">
        <v>2938</v>
      </c>
      <c r="F18" s="17">
        <v>46303.179039351853</v>
      </c>
      <c r="G18" s="16" t="s">
        <v>21</v>
      </c>
      <c r="H18" s="16" t="s">
        <v>2939</v>
      </c>
      <c r="I18" s="16">
        <v>360</v>
      </c>
      <c r="J18" s="16" t="s">
        <v>22</v>
      </c>
      <c r="K18" s="16" t="s">
        <v>23</v>
      </c>
      <c r="L18" s="16">
        <v>869</v>
      </c>
      <c r="M18" s="16" t="s">
        <v>2712</v>
      </c>
      <c r="N18" s="17">
        <v>46303.225937499999</v>
      </c>
      <c r="O18" s="16">
        <v>360</v>
      </c>
      <c r="P18" s="16" t="s">
        <v>25</v>
      </c>
      <c r="Q18" s="16">
        <v>190</v>
      </c>
      <c r="R18" s="3" t="str">
        <f>IF(OR(G18="12R",G18="12L"),_xlfn.XLOOKUP(C18,Tabla42[ADEP],Tabla42[SID 12R],""),IF(OR(G18="30L",G18="30R"),_xlfn.XLOOKUP(C18,Tabla42[ADEP],Tabla42[SID 30L],""),""))</f>
        <v>UDGUV</v>
      </c>
      <c r="S18" s="3">
        <f t="shared" si="0"/>
        <v>4</v>
      </c>
      <c r="T18" s="3" t="str">
        <f>_xlfn.XLOOKUP(C18,Tabla42[ADEP],Tabla42[Sector],"")</f>
        <v>Sector 2</v>
      </c>
    </row>
    <row r="19" spans="1:20" x14ac:dyDescent="0.2">
      <c r="A19" s="16" t="s">
        <v>90</v>
      </c>
      <c r="B19" s="16" t="s">
        <v>18</v>
      </c>
      <c r="C19" s="16" t="s">
        <v>42</v>
      </c>
      <c r="D19" s="16" t="s">
        <v>20</v>
      </c>
      <c r="E19" s="16" t="s">
        <v>2940</v>
      </c>
      <c r="F19" s="17">
        <v>46303.438344907408</v>
      </c>
      <c r="G19" s="16" t="s">
        <v>21</v>
      </c>
      <c r="H19" s="16" t="s">
        <v>2941</v>
      </c>
      <c r="I19" s="16">
        <v>360</v>
      </c>
      <c r="J19" s="16" t="s">
        <v>22</v>
      </c>
      <c r="K19" s="16" t="s">
        <v>23</v>
      </c>
      <c r="L19" s="16">
        <v>875</v>
      </c>
      <c r="M19" s="16" t="s">
        <v>599</v>
      </c>
      <c r="N19" s="17">
        <v>46303.48673611111</v>
      </c>
      <c r="O19" s="16">
        <v>360</v>
      </c>
      <c r="P19" s="16" t="s">
        <v>25</v>
      </c>
      <c r="Q19" s="16">
        <v>190</v>
      </c>
      <c r="R19" s="3" t="str">
        <f>IF(OR(G19="12R",G19="12L"),_xlfn.XLOOKUP(C19,Tabla42[ADEP],Tabla42[SID 12R],""),IF(OR(G19="30L",G19="30R"),_xlfn.XLOOKUP(C19,Tabla42[ADEP],Tabla42[SID 30L],""),""))</f>
        <v>UDGUV</v>
      </c>
      <c r="S19" s="3">
        <f t="shared" si="0"/>
        <v>10</v>
      </c>
      <c r="T19" s="3" t="str">
        <f>_xlfn.XLOOKUP(C19,Tabla42[ADEP],Tabla42[Sector],"")</f>
        <v>Sector 2</v>
      </c>
    </row>
    <row r="20" spans="1:20" x14ac:dyDescent="0.2">
      <c r="A20" s="16" t="s">
        <v>100</v>
      </c>
      <c r="B20" s="16" t="s">
        <v>18</v>
      </c>
      <c r="C20" s="16" t="s">
        <v>42</v>
      </c>
      <c r="D20" s="16" t="s">
        <v>20</v>
      </c>
      <c r="E20" s="16" t="s">
        <v>316</v>
      </c>
      <c r="F20" s="17">
        <v>46303.45376157407</v>
      </c>
      <c r="G20" s="16" t="s">
        <v>21</v>
      </c>
      <c r="H20" s="16" t="s">
        <v>2942</v>
      </c>
      <c r="I20" s="16">
        <v>360</v>
      </c>
      <c r="J20" s="16" t="s">
        <v>22</v>
      </c>
      <c r="K20" s="16" t="s">
        <v>23</v>
      </c>
      <c r="L20" s="16">
        <v>1025</v>
      </c>
      <c r="M20" s="16" t="s">
        <v>2038</v>
      </c>
      <c r="N20" s="17">
        <v>46303.50844907407</v>
      </c>
      <c r="O20" s="16">
        <v>360</v>
      </c>
      <c r="P20" s="16" t="s">
        <v>25</v>
      </c>
      <c r="Q20" s="16">
        <v>190</v>
      </c>
      <c r="R20" s="3" t="str">
        <f>IF(OR(G20="12R",G20="12L"),_xlfn.XLOOKUP(C20,Tabla42[ADEP],Tabla42[SID 12R],""),IF(OR(G20="30L",G20="30R"),_xlfn.XLOOKUP(C20,Tabla42[ADEP],Tabla42[SID 30L],""),""))</f>
        <v>UDGUV</v>
      </c>
      <c r="S20" s="3">
        <f t="shared" si="0"/>
        <v>10</v>
      </c>
      <c r="T20" s="3" t="str">
        <f>_xlfn.XLOOKUP(C20,Tabla42[ADEP],Tabla42[Sector],"")</f>
        <v>Sector 2</v>
      </c>
    </row>
    <row r="21" spans="1:20" x14ac:dyDescent="0.2">
      <c r="A21" s="16" t="s">
        <v>92</v>
      </c>
      <c r="B21" s="16" t="s">
        <v>18</v>
      </c>
      <c r="C21" s="16" t="s">
        <v>93</v>
      </c>
      <c r="D21" s="16" t="s">
        <v>53</v>
      </c>
      <c r="E21" s="16" t="s">
        <v>106</v>
      </c>
      <c r="F21" s="17">
        <v>46303.458368055552</v>
      </c>
      <c r="G21" s="16" t="s">
        <v>21</v>
      </c>
      <c r="H21" s="16" t="s">
        <v>2943</v>
      </c>
      <c r="I21" s="16">
        <v>340</v>
      </c>
      <c r="J21" s="16" t="s">
        <v>22</v>
      </c>
      <c r="K21" s="16" t="s">
        <v>23</v>
      </c>
      <c r="L21" s="16">
        <v>993</v>
      </c>
      <c r="M21" s="16" t="s">
        <v>2944</v>
      </c>
      <c r="N21" s="17">
        <v>46303.511921296296</v>
      </c>
      <c r="O21" s="16">
        <v>172</v>
      </c>
      <c r="P21" s="16" t="s">
        <v>25</v>
      </c>
      <c r="Q21" s="16">
        <v>190</v>
      </c>
      <c r="R21" s="3" t="str">
        <f>IF(OR(G21="12R",G21="12L"),_xlfn.XLOOKUP(C21,Tabla42[ADEP],Tabla42[SID 12R],""),IF(OR(G21="30L",G21="30R"),_xlfn.XLOOKUP(C21,Tabla42[ADEP],Tabla42[SID 30L],""),""))</f>
        <v>UDGUV</v>
      </c>
      <c r="S21" s="3">
        <f t="shared" si="0"/>
        <v>11</v>
      </c>
      <c r="T21" s="3" t="str">
        <f>_xlfn.XLOOKUP(C21,Tabla42[ADEP],Tabla42[Sector],"")</f>
        <v>Sector 2</v>
      </c>
    </row>
    <row r="22" spans="1:20" x14ac:dyDescent="0.2">
      <c r="A22" s="16" t="s">
        <v>98</v>
      </c>
      <c r="B22" s="16" t="s">
        <v>18</v>
      </c>
      <c r="C22" s="16" t="s">
        <v>42</v>
      </c>
      <c r="D22" s="16" t="s">
        <v>43</v>
      </c>
      <c r="E22" s="16" t="s">
        <v>44</v>
      </c>
      <c r="F22" s="17">
        <v>46303.467615740738</v>
      </c>
      <c r="G22" s="16" t="s">
        <v>21</v>
      </c>
      <c r="H22" s="16" t="s">
        <v>2945</v>
      </c>
      <c r="I22" s="16">
        <v>360</v>
      </c>
      <c r="J22" s="16" t="s">
        <v>22</v>
      </c>
      <c r="K22" s="16" t="s">
        <v>23</v>
      </c>
      <c r="L22" s="16">
        <v>959</v>
      </c>
      <c r="M22" s="16" t="s">
        <v>2946</v>
      </c>
      <c r="N22" s="17">
        <v>46303.519212962958</v>
      </c>
      <c r="O22" s="16">
        <v>360</v>
      </c>
      <c r="P22" s="16" t="s">
        <v>25</v>
      </c>
      <c r="Q22" s="16">
        <v>190</v>
      </c>
      <c r="R22" s="3" t="str">
        <f>IF(OR(G22="12R",G22="12L"),_xlfn.XLOOKUP(C22,Tabla42[ADEP],Tabla42[SID 12R],""),IF(OR(G22="30L",G22="30R"),_xlfn.XLOOKUP(C22,Tabla42[ADEP],Tabla42[SID 30L],""),""))</f>
        <v>UDGUV</v>
      </c>
      <c r="S22" s="3">
        <f t="shared" si="0"/>
        <v>11</v>
      </c>
      <c r="T22" s="3" t="str">
        <f>_xlfn.XLOOKUP(C22,Tabla42[ADEP],Tabla42[Sector],"")</f>
        <v>Sector 2</v>
      </c>
    </row>
    <row r="23" spans="1:20" x14ac:dyDescent="0.2">
      <c r="A23" s="16" t="s">
        <v>95</v>
      </c>
      <c r="B23" s="16" t="s">
        <v>18</v>
      </c>
      <c r="C23" s="16" t="s">
        <v>96</v>
      </c>
      <c r="D23" s="16" t="s">
        <v>60</v>
      </c>
      <c r="E23" s="16" t="s">
        <v>529</v>
      </c>
      <c r="F23" s="17">
        <v>46303.474178240736</v>
      </c>
      <c r="G23" s="16" t="s">
        <v>21</v>
      </c>
      <c r="H23" s="16" t="s">
        <v>2947</v>
      </c>
      <c r="I23" s="16">
        <v>340</v>
      </c>
      <c r="J23" s="16" t="s">
        <v>22</v>
      </c>
      <c r="K23" s="16" t="s">
        <v>23</v>
      </c>
      <c r="L23" s="16">
        <v>875</v>
      </c>
      <c r="M23" s="16" t="s">
        <v>45</v>
      </c>
      <c r="N23" s="17">
        <v>46303.522662037038</v>
      </c>
      <c r="O23" s="16">
        <v>340</v>
      </c>
      <c r="P23" s="16" t="s">
        <v>25</v>
      </c>
      <c r="Q23" s="16">
        <v>190</v>
      </c>
      <c r="R23" s="3" t="str">
        <f>IF(OR(G23="12R",G23="12L"),_xlfn.XLOOKUP(C23,Tabla42[ADEP],Tabla42[SID 12R],""),IF(OR(G23="30L",G23="30R"),_xlfn.XLOOKUP(C23,Tabla42[ADEP],Tabla42[SID 30L],""),""))</f>
        <v>UDGUV</v>
      </c>
      <c r="S23" s="3">
        <f t="shared" si="0"/>
        <v>11</v>
      </c>
      <c r="T23" s="3" t="str">
        <f>_xlfn.XLOOKUP(C23,Tabla42[ADEP],Tabla42[Sector],"")</f>
        <v>Sector 2</v>
      </c>
    </row>
    <row r="24" spans="1:20" x14ac:dyDescent="0.2">
      <c r="A24" s="16" t="s">
        <v>105</v>
      </c>
      <c r="B24" s="16" t="s">
        <v>18</v>
      </c>
      <c r="C24" s="16" t="s">
        <v>32</v>
      </c>
      <c r="D24" s="16" t="s">
        <v>20</v>
      </c>
      <c r="E24" s="16" t="s">
        <v>169</v>
      </c>
      <c r="F24" s="17">
        <v>46303.480983796297</v>
      </c>
      <c r="G24" s="16" t="s">
        <v>21</v>
      </c>
      <c r="H24" s="16" t="s">
        <v>2948</v>
      </c>
      <c r="I24" s="16">
        <v>360</v>
      </c>
      <c r="J24" s="16" t="s">
        <v>22</v>
      </c>
      <c r="K24" s="16" t="s">
        <v>23</v>
      </c>
      <c r="L24" s="16">
        <v>1004</v>
      </c>
      <c r="M24" s="16" t="s">
        <v>751</v>
      </c>
      <c r="N24" s="17">
        <v>46303.535231481481</v>
      </c>
      <c r="O24" s="16">
        <v>360</v>
      </c>
      <c r="P24" s="16" t="s">
        <v>25</v>
      </c>
      <c r="Q24" s="16">
        <v>190</v>
      </c>
      <c r="R24" s="3" t="str">
        <f>IF(OR(G24="12R",G24="12L"),_xlfn.XLOOKUP(C24,Tabla42[ADEP],Tabla42[SID 12R],""),IF(OR(G24="30L",G24="30R"),_xlfn.XLOOKUP(C24,Tabla42[ADEP],Tabla42[SID 30L],""),""))</f>
        <v>UDGUV</v>
      </c>
      <c r="S24" s="3">
        <f t="shared" si="0"/>
        <v>11</v>
      </c>
      <c r="T24" s="3" t="str">
        <f>_xlfn.XLOOKUP(C24,Tabla42[ADEP],Tabla42[Sector],"")</f>
        <v>Sector 2</v>
      </c>
    </row>
    <row r="25" spans="1:20" x14ac:dyDescent="0.2">
      <c r="A25" s="16" t="s">
        <v>2049</v>
      </c>
      <c r="B25" s="16" t="s">
        <v>18</v>
      </c>
      <c r="C25" s="16" t="s">
        <v>441</v>
      </c>
      <c r="D25" s="16" t="s">
        <v>2050</v>
      </c>
      <c r="E25" s="16"/>
      <c r="F25" s="17">
        <v>46303.483344907407</v>
      </c>
      <c r="G25" s="16" t="s">
        <v>21</v>
      </c>
      <c r="H25" s="16" t="s">
        <v>2949</v>
      </c>
      <c r="I25" s="16">
        <v>200</v>
      </c>
      <c r="J25" s="16" t="s">
        <v>22</v>
      </c>
      <c r="K25" s="16" t="s">
        <v>50</v>
      </c>
      <c r="L25" s="16">
        <v>399</v>
      </c>
      <c r="M25" s="16" t="s">
        <v>441</v>
      </c>
      <c r="N25" s="17">
        <v>46303.513981481483</v>
      </c>
      <c r="O25" s="16">
        <v>0</v>
      </c>
      <c r="P25" s="16" t="s">
        <v>25</v>
      </c>
      <c r="Q25" s="16">
        <v>30</v>
      </c>
      <c r="R25" s="3" t="str">
        <f>IF(OR(G25="12R",G25="12L"),_xlfn.XLOOKUP(C25,Tabla42[ADEP],Tabla42[SID 12R],""),IF(OR(G25="30L",G25="30R"),_xlfn.XLOOKUP(C25,Tabla42[ADEP],Tabla42[SID 30L],""),""))</f>
        <v>CZM</v>
      </c>
      <c r="S25" s="3">
        <f t="shared" si="0"/>
        <v>11</v>
      </c>
      <c r="T25" s="3" t="str">
        <f>_xlfn.XLOOKUP(C25,Tabla42[ADEP],Tabla42[Sector],"")</f>
        <v>Sector 7</v>
      </c>
    </row>
    <row r="26" spans="1:20" x14ac:dyDescent="0.2">
      <c r="A26" s="16" t="s">
        <v>101</v>
      </c>
      <c r="B26" s="16" t="s">
        <v>18</v>
      </c>
      <c r="C26" s="16" t="s">
        <v>102</v>
      </c>
      <c r="D26" s="16" t="s">
        <v>33</v>
      </c>
      <c r="E26" s="16" t="s">
        <v>368</v>
      </c>
      <c r="F26" s="17">
        <v>46303.488136574073</v>
      </c>
      <c r="G26" s="16" t="s">
        <v>21</v>
      </c>
      <c r="H26" s="16" t="s">
        <v>2950</v>
      </c>
      <c r="I26" s="16">
        <v>290</v>
      </c>
      <c r="J26" s="16" t="s">
        <v>22</v>
      </c>
      <c r="K26" s="16" t="s">
        <v>23</v>
      </c>
      <c r="L26" s="16">
        <v>131</v>
      </c>
      <c r="M26" s="16" t="s">
        <v>39</v>
      </c>
      <c r="N26" s="17">
        <v>46303.49726851852</v>
      </c>
      <c r="O26" s="16">
        <v>265</v>
      </c>
      <c r="P26" s="16" t="s">
        <v>25</v>
      </c>
      <c r="Q26" s="16">
        <v>190</v>
      </c>
      <c r="R26" s="3" t="str">
        <f>IF(OR(G26="12R",G26="12L"),_xlfn.XLOOKUP(C26,Tabla42[ADEP],Tabla42[SID 12R],""),IF(OR(G26="30L",G26="30R"),_xlfn.XLOOKUP(C26,Tabla42[ADEP],Tabla42[SID 30L],""),""))</f>
        <v>NUDAL</v>
      </c>
      <c r="S26" s="3">
        <f t="shared" si="0"/>
        <v>11</v>
      </c>
      <c r="T26" s="3" t="str">
        <f>_xlfn.XLOOKUP(C26,Tabla42[ADEP],Tabla42[Sector],"")</f>
        <v>Sector 3</v>
      </c>
    </row>
    <row r="27" spans="1:20" x14ac:dyDescent="0.2">
      <c r="A27" s="16" t="s">
        <v>108</v>
      </c>
      <c r="B27" s="16" t="s">
        <v>18</v>
      </c>
      <c r="C27" s="16" t="s">
        <v>109</v>
      </c>
      <c r="D27" s="16" t="s">
        <v>28</v>
      </c>
      <c r="E27" s="16" t="s">
        <v>2951</v>
      </c>
      <c r="F27" s="17">
        <v>46303.501793981486</v>
      </c>
      <c r="G27" s="16" t="s">
        <v>21</v>
      </c>
      <c r="H27" s="16" t="s">
        <v>2297</v>
      </c>
      <c r="I27" s="16">
        <v>350</v>
      </c>
      <c r="J27" s="16" t="s">
        <v>22</v>
      </c>
      <c r="K27" s="16" t="s">
        <v>23</v>
      </c>
      <c r="L27" s="16">
        <v>153</v>
      </c>
      <c r="M27" s="16" t="s">
        <v>111</v>
      </c>
      <c r="N27" s="17">
        <v>46303.512395833328</v>
      </c>
      <c r="O27" s="16">
        <v>278</v>
      </c>
      <c r="P27" s="16" t="s">
        <v>25</v>
      </c>
      <c r="Q27" s="16">
        <v>190</v>
      </c>
      <c r="R27" s="3" t="str">
        <f>IF(OR(G27="12R",G27="12L"),_xlfn.XLOOKUP(C27,Tabla42[ADEP],Tabla42[SID 12R],""),IF(OR(G27="30L",G27="30R"),_xlfn.XLOOKUP(C27,Tabla42[ADEP],Tabla42[SID 30L],""),""))</f>
        <v>TAKUX</v>
      </c>
      <c r="S27" s="3">
        <f t="shared" si="0"/>
        <v>12</v>
      </c>
      <c r="T27" s="3" t="str">
        <f>_xlfn.XLOOKUP(C27,Tabla42[ADEP],Tabla42[Sector],"")</f>
        <v>Sector 7</v>
      </c>
    </row>
    <row r="28" spans="1:20" x14ac:dyDescent="0.2">
      <c r="A28" s="16" t="s">
        <v>2048</v>
      </c>
      <c r="B28" s="16" t="s">
        <v>18</v>
      </c>
      <c r="C28" s="16" t="s">
        <v>441</v>
      </c>
      <c r="D28" s="16" t="s">
        <v>124</v>
      </c>
      <c r="E28" s="16"/>
      <c r="F28" s="17">
        <v>46303.506307870368</v>
      </c>
      <c r="G28" s="16" t="s">
        <v>21</v>
      </c>
      <c r="H28" s="16" t="s">
        <v>2952</v>
      </c>
      <c r="I28" s="16">
        <v>220</v>
      </c>
      <c r="J28" s="16" t="s">
        <v>22</v>
      </c>
      <c r="K28" s="16" t="s">
        <v>50</v>
      </c>
      <c r="L28" s="16">
        <v>398</v>
      </c>
      <c r="M28" s="16" t="s">
        <v>441</v>
      </c>
      <c r="N28" s="17">
        <v>46303.535381944443</v>
      </c>
      <c r="O28" s="16">
        <v>0</v>
      </c>
      <c r="P28" s="16" t="s">
        <v>25</v>
      </c>
      <c r="Q28" s="16">
        <v>30</v>
      </c>
      <c r="R28" s="3" t="str">
        <f>IF(OR(G28="12R",G28="12L"),_xlfn.XLOOKUP(C28,Tabla42[ADEP],Tabla42[SID 12R],""),IF(OR(G28="30L",G28="30R"),_xlfn.XLOOKUP(C28,Tabla42[ADEP],Tabla42[SID 30L],""),""))</f>
        <v>CZM</v>
      </c>
      <c r="S28" s="3">
        <f t="shared" si="0"/>
        <v>12</v>
      </c>
      <c r="T28" s="3" t="str">
        <f>_xlfn.XLOOKUP(C28,Tabla42[ADEP],Tabla42[Sector],"")</f>
        <v>Sector 7</v>
      </c>
    </row>
    <row r="29" spans="1:20" x14ac:dyDescent="0.2">
      <c r="A29" s="16" t="s">
        <v>107</v>
      </c>
      <c r="B29" s="16" t="s">
        <v>18</v>
      </c>
      <c r="C29" s="16" t="s">
        <v>42</v>
      </c>
      <c r="D29" s="16" t="s">
        <v>122</v>
      </c>
      <c r="E29" s="16" t="s">
        <v>2953</v>
      </c>
      <c r="F29" s="17">
        <v>46303.508506944447</v>
      </c>
      <c r="G29" s="16" t="s">
        <v>21</v>
      </c>
      <c r="H29" s="16" t="s">
        <v>2954</v>
      </c>
      <c r="I29" s="16">
        <v>380</v>
      </c>
      <c r="J29" s="16" t="s">
        <v>22</v>
      </c>
      <c r="K29" s="16" t="s">
        <v>23</v>
      </c>
      <c r="L29" s="16">
        <v>970</v>
      </c>
      <c r="M29" s="16" t="s">
        <v>2955</v>
      </c>
      <c r="N29" s="17">
        <v>46303.560694444444</v>
      </c>
      <c r="O29" s="16">
        <v>380</v>
      </c>
      <c r="P29" s="16" t="s">
        <v>25</v>
      </c>
      <c r="Q29" s="16">
        <v>190</v>
      </c>
      <c r="R29" s="3" t="str">
        <f>IF(OR(G29="12R",G29="12L"),_xlfn.XLOOKUP(C29,Tabla42[ADEP],Tabla42[SID 12R],""),IF(OR(G29="30L",G29="30R"),_xlfn.XLOOKUP(C29,Tabla42[ADEP],Tabla42[SID 30L],""),""))</f>
        <v>UDGUV</v>
      </c>
      <c r="S29" s="3">
        <f t="shared" si="0"/>
        <v>12</v>
      </c>
      <c r="T29" s="3" t="str">
        <f>_xlfn.XLOOKUP(C29,Tabla42[ADEP],Tabla42[Sector],"")</f>
        <v>Sector 2</v>
      </c>
    </row>
    <row r="30" spans="1:20" x14ac:dyDescent="0.2">
      <c r="A30" s="16" t="s">
        <v>2381</v>
      </c>
      <c r="B30" s="16" t="s">
        <v>18</v>
      </c>
      <c r="C30" s="16" t="s">
        <v>121</v>
      </c>
      <c r="D30" s="16" t="s">
        <v>122</v>
      </c>
      <c r="E30" s="16" t="s">
        <v>2956</v>
      </c>
      <c r="F30" s="17">
        <v>46303.519062499996</v>
      </c>
      <c r="G30" s="16" t="s">
        <v>21</v>
      </c>
      <c r="H30" s="16" t="s">
        <v>2957</v>
      </c>
      <c r="I30" s="16">
        <v>400</v>
      </c>
      <c r="J30" s="16" t="s">
        <v>22</v>
      </c>
      <c r="K30" s="16" t="s">
        <v>23</v>
      </c>
      <c r="L30" s="16">
        <v>860</v>
      </c>
      <c r="M30" s="16" t="s">
        <v>35</v>
      </c>
      <c r="N30" s="17">
        <v>46303.566527777773</v>
      </c>
      <c r="O30" s="16">
        <v>400</v>
      </c>
      <c r="P30" s="16" t="s">
        <v>25</v>
      </c>
      <c r="Q30" s="16">
        <v>190</v>
      </c>
      <c r="R30" s="3" t="str">
        <f>IF(OR(G30="12R",G30="12L"),_xlfn.XLOOKUP(C30,Tabla42[ADEP],Tabla42[SID 12R],""),IF(OR(G30="30L",G30="30R"),_xlfn.XLOOKUP(C30,Tabla42[ADEP],Tabla42[SID 30L],""),""))</f>
        <v>ENEBA</v>
      </c>
      <c r="S30" s="3">
        <f t="shared" si="0"/>
        <v>12</v>
      </c>
      <c r="T30" s="3" t="str">
        <f>_xlfn.XLOOKUP(C30,Tabla42[ADEP],Tabla42[Sector],"")</f>
        <v>Sector 3</v>
      </c>
    </row>
    <row r="31" spans="1:20" x14ac:dyDescent="0.2">
      <c r="A31" s="16" t="s">
        <v>125</v>
      </c>
      <c r="B31" s="16" t="s">
        <v>18</v>
      </c>
      <c r="C31" s="16" t="s">
        <v>126</v>
      </c>
      <c r="D31" s="16" t="s">
        <v>122</v>
      </c>
      <c r="E31" s="16" t="s">
        <v>2958</v>
      </c>
      <c r="F31" s="17">
        <v>46303.549189814818</v>
      </c>
      <c r="G31" s="16" t="s">
        <v>21</v>
      </c>
      <c r="H31" s="16" t="s">
        <v>2959</v>
      </c>
      <c r="I31" s="16">
        <v>370</v>
      </c>
      <c r="J31" s="16" t="s">
        <v>22</v>
      </c>
      <c r="K31" s="16" t="s">
        <v>23</v>
      </c>
      <c r="L31" s="16">
        <v>130</v>
      </c>
      <c r="M31" s="16" t="s">
        <v>2960</v>
      </c>
      <c r="N31" s="17">
        <v>46303.557858796295</v>
      </c>
      <c r="O31" s="16">
        <v>250</v>
      </c>
      <c r="P31" s="16" t="s">
        <v>25</v>
      </c>
      <c r="Q31" s="16">
        <v>190</v>
      </c>
      <c r="R31" s="3" t="str">
        <f>IF(OR(G31="12R",G31="12L"),_xlfn.XLOOKUP(C31,Tabla42[ADEP],Tabla42[SID 12R],""),IF(OR(G31="30L",G31="30R"),_xlfn.XLOOKUP(C31,Tabla42[ADEP],Tabla42[SID 30L],""),""))</f>
        <v>ENEBA</v>
      </c>
      <c r="S31" s="3">
        <f t="shared" si="0"/>
        <v>13</v>
      </c>
      <c r="T31" s="3" t="str">
        <f>_xlfn.XLOOKUP(C31,Tabla42[ADEP],Tabla42[Sector],"")</f>
        <v>Sector 3</v>
      </c>
    </row>
    <row r="32" spans="1:20" x14ac:dyDescent="0.2">
      <c r="A32" s="16" t="s">
        <v>119</v>
      </c>
      <c r="B32" s="16" t="s">
        <v>18</v>
      </c>
      <c r="C32" s="16" t="s">
        <v>42</v>
      </c>
      <c r="D32" s="16" t="s">
        <v>43</v>
      </c>
      <c r="E32" s="16" t="s">
        <v>502</v>
      </c>
      <c r="F32" s="17">
        <v>46303.551087962958</v>
      </c>
      <c r="G32" s="16" t="s">
        <v>21</v>
      </c>
      <c r="H32" s="16" t="s">
        <v>2961</v>
      </c>
      <c r="I32" s="16">
        <v>360</v>
      </c>
      <c r="J32" s="16" t="s">
        <v>22</v>
      </c>
      <c r="K32" s="16" t="s">
        <v>23</v>
      </c>
      <c r="L32" s="16">
        <v>996</v>
      </c>
      <c r="M32" s="16" t="s">
        <v>2058</v>
      </c>
      <c r="N32" s="17">
        <v>46303.604641203703</v>
      </c>
      <c r="O32" s="16">
        <v>360</v>
      </c>
      <c r="P32" s="16" t="s">
        <v>25</v>
      </c>
      <c r="Q32" s="16">
        <v>190</v>
      </c>
      <c r="R32" s="3" t="str">
        <f>IF(OR(G32="12R",G32="12L"),_xlfn.XLOOKUP(C32,Tabla42[ADEP],Tabla42[SID 12R],""),IF(OR(G32="30L",G32="30R"),_xlfn.XLOOKUP(C32,Tabla42[ADEP],Tabla42[SID 30L],""),""))</f>
        <v>UDGUV</v>
      </c>
      <c r="S32" s="3">
        <f t="shared" si="0"/>
        <v>13</v>
      </c>
      <c r="T32" s="3" t="str">
        <f>_xlfn.XLOOKUP(C32,Tabla42[ADEP],Tabla42[Sector],"")</f>
        <v>Sector 2</v>
      </c>
    </row>
    <row r="33" spans="1:20" x14ac:dyDescent="0.2">
      <c r="A33" s="16" t="s">
        <v>457</v>
      </c>
      <c r="B33" s="16" t="s">
        <v>18</v>
      </c>
      <c r="C33" s="16" t="s">
        <v>441</v>
      </c>
      <c r="D33" s="16" t="s">
        <v>458</v>
      </c>
      <c r="E33" s="16"/>
      <c r="F33" s="17">
        <v>46303.569131944445</v>
      </c>
      <c r="G33" s="16" t="s">
        <v>21</v>
      </c>
      <c r="H33" s="16" t="s">
        <v>155</v>
      </c>
      <c r="I33" s="16">
        <v>65</v>
      </c>
      <c r="J33" s="16" t="s">
        <v>130</v>
      </c>
      <c r="K33" s="16" t="s">
        <v>50</v>
      </c>
      <c r="L33" s="16">
        <v>319</v>
      </c>
      <c r="M33" s="16" t="s">
        <v>441</v>
      </c>
      <c r="N33" s="17">
        <v>46303.6246412037</v>
      </c>
      <c r="O33" s="16">
        <v>0</v>
      </c>
      <c r="P33" s="16" t="s">
        <v>129</v>
      </c>
      <c r="Q33" s="16">
        <v>15</v>
      </c>
      <c r="R33" s="3" t="str">
        <f>IF(OR(G33="12R",G33="12L"),_xlfn.XLOOKUP(C33,Tabla42[ADEP],Tabla42[SID 12R],""),IF(OR(G33="30L",G33="30R"),_xlfn.XLOOKUP(C33,Tabla42[ADEP],Tabla42[SID 30L],""),""))</f>
        <v>CZM</v>
      </c>
      <c r="S33" s="3">
        <f t="shared" si="0"/>
        <v>13</v>
      </c>
      <c r="T33" s="3" t="str">
        <f>_xlfn.XLOOKUP(C33,Tabla42[ADEP],Tabla42[Sector],"")</f>
        <v>Sector 7</v>
      </c>
    </row>
    <row r="34" spans="1:20" x14ac:dyDescent="0.2">
      <c r="A34" s="16" t="s">
        <v>173</v>
      </c>
      <c r="B34" s="16" t="s">
        <v>18</v>
      </c>
      <c r="C34" s="16" t="s">
        <v>154</v>
      </c>
      <c r="D34" s="16" t="s">
        <v>174</v>
      </c>
      <c r="E34" s="16"/>
      <c r="F34" s="17">
        <v>46303.577673611115</v>
      </c>
      <c r="G34" s="16" t="s">
        <v>21</v>
      </c>
      <c r="H34" s="16" t="s">
        <v>155</v>
      </c>
      <c r="I34" s="16">
        <v>15</v>
      </c>
      <c r="J34" s="16" t="s">
        <v>130</v>
      </c>
      <c r="K34" s="16" t="s">
        <v>50</v>
      </c>
      <c r="L34" s="16">
        <v>58</v>
      </c>
      <c r="M34" s="16" t="s">
        <v>154</v>
      </c>
      <c r="N34" s="17">
        <v>46303.610312500001</v>
      </c>
      <c r="O34" s="16">
        <v>0</v>
      </c>
      <c r="P34" s="16" t="s">
        <v>129</v>
      </c>
      <c r="Q34" s="16">
        <v>15</v>
      </c>
      <c r="R34" s="3" t="str">
        <f>IF(OR(G34="12R",G34="12L"),_xlfn.XLOOKUP(C34,Tabla42[ADEP],Tabla42[SID 12R],""),IF(OR(G34="30L",G34="30R"),_xlfn.XLOOKUP(C34,Tabla42[ADEP],Tabla42[SID 30L],""),""))</f>
        <v>CZM</v>
      </c>
      <c r="S34" s="3">
        <f t="shared" si="0"/>
        <v>13</v>
      </c>
      <c r="T34" s="3" t="str">
        <f>_xlfn.XLOOKUP(C34,Tabla42[ADEP],Tabla42[Sector],"")</f>
        <v>Sector 7</v>
      </c>
    </row>
    <row r="35" spans="1:20" x14ac:dyDescent="0.2">
      <c r="A35" s="16" t="s">
        <v>127</v>
      </c>
      <c r="B35" s="16" t="s">
        <v>18</v>
      </c>
      <c r="C35" s="16" t="s">
        <v>128</v>
      </c>
      <c r="D35" s="16" t="s">
        <v>43</v>
      </c>
      <c r="E35" s="16" t="s">
        <v>2962</v>
      </c>
      <c r="F35" s="17">
        <v>46303.584861111114</v>
      </c>
      <c r="G35" s="16" t="s">
        <v>21</v>
      </c>
      <c r="H35" s="16" t="s">
        <v>2963</v>
      </c>
      <c r="I35" s="16">
        <v>370</v>
      </c>
      <c r="J35" s="16" t="s">
        <v>22</v>
      </c>
      <c r="K35" s="16" t="s">
        <v>23</v>
      </c>
      <c r="L35" s="16">
        <v>131</v>
      </c>
      <c r="M35" s="16" t="s">
        <v>2964</v>
      </c>
      <c r="N35" s="17">
        <v>46303.593784722223</v>
      </c>
      <c r="O35" s="16">
        <v>273</v>
      </c>
      <c r="P35" s="16" t="s">
        <v>25</v>
      </c>
      <c r="Q35" s="16">
        <v>190</v>
      </c>
      <c r="R35" s="3" t="str">
        <f>IF(OR(G35="12R",G35="12L"),_xlfn.XLOOKUP(C35,Tabla42[ADEP],Tabla42[SID 12R],""),IF(OR(G35="30L",G35="30R"),_xlfn.XLOOKUP(C35,Tabla42[ADEP],Tabla42[SID 30L],""),""))</f>
        <v>OMSUK</v>
      </c>
      <c r="S35" s="3">
        <f t="shared" si="0"/>
        <v>14</v>
      </c>
      <c r="T35" s="3" t="str">
        <f>_xlfn.XLOOKUP(C35,Tabla42[ADEP],Tabla42[Sector],"")</f>
        <v>Sector 3</v>
      </c>
    </row>
    <row r="36" spans="1:20" x14ac:dyDescent="0.2">
      <c r="A36" s="16" t="s">
        <v>131</v>
      </c>
      <c r="B36" s="16" t="s">
        <v>18</v>
      </c>
      <c r="C36" s="16" t="s">
        <v>42</v>
      </c>
      <c r="D36" s="16" t="s">
        <v>43</v>
      </c>
      <c r="E36" s="16" t="s">
        <v>182</v>
      </c>
      <c r="F36" s="17">
        <v>46303.603854166664</v>
      </c>
      <c r="G36" s="16" t="s">
        <v>21</v>
      </c>
      <c r="H36" s="16" t="s">
        <v>2965</v>
      </c>
      <c r="I36" s="16">
        <v>360</v>
      </c>
      <c r="J36" s="16" t="s">
        <v>22</v>
      </c>
      <c r="K36" s="16" t="s">
        <v>23</v>
      </c>
      <c r="L36" s="16">
        <v>918</v>
      </c>
      <c r="M36" s="16" t="s">
        <v>2082</v>
      </c>
      <c r="N36" s="17">
        <v>46303.654074074075</v>
      </c>
      <c r="O36" s="16">
        <v>360</v>
      </c>
      <c r="P36" s="16" t="s">
        <v>25</v>
      </c>
      <c r="Q36" s="16">
        <v>190</v>
      </c>
      <c r="R36" s="3" t="str">
        <f>IF(OR(G36="12R",G36="12L"),_xlfn.XLOOKUP(C36,Tabla42[ADEP],Tabla42[SID 12R],""),IF(OR(G36="30L",G36="30R"),_xlfn.XLOOKUP(C36,Tabla42[ADEP],Tabla42[SID 30L],""),""))</f>
        <v>UDGUV</v>
      </c>
      <c r="S36" s="3">
        <f t="shared" si="0"/>
        <v>14</v>
      </c>
      <c r="T36" s="3" t="str">
        <f>_xlfn.XLOOKUP(C36,Tabla42[ADEP],Tabla42[Sector],"")</f>
        <v>Sector 2</v>
      </c>
    </row>
    <row r="37" spans="1:20" x14ac:dyDescent="0.2">
      <c r="A37" s="16" t="s">
        <v>171</v>
      </c>
      <c r="B37" s="16" t="s">
        <v>18</v>
      </c>
      <c r="C37" s="16" t="s">
        <v>2726</v>
      </c>
      <c r="D37" s="16" t="s">
        <v>172</v>
      </c>
      <c r="E37" s="16"/>
      <c r="F37" s="17">
        <v>46303.6171875</v>
      </c>
      <c r="G37" s="16" t="s">
        <v>21</v>
      </c>
      <c r="H37" s="16" t="s">
        <v>2966</v>
      </c>
      <c r="I37" s="16">
        <v>15</v>
      </c>
      <c r="J37" s="16" t="s">
        <v>130</v>
      </c>
      <c r="K37" s="16" t="s">
        <v>50</v>
      </c>
      <c r="L37" s="16">
        <v>84</v>
      </c>
      <c r="M37" s="16" t="s">
        <v>2726</v>
      </c>
      <c r="N37" s="17">
        <v>46303.632974537039</v>
      </c>
      <c r="O37" s="16">
        <v>0</v>
      </c>
      <c r="P37" s="16" t="s">
        <v>129</v>
      </c>
      <c r="Q37" s="16">
        <v>15</v>
      </c>
      <c r="R37" s="3" t="str">
        <f>IF(OR(G37="12R",G37="12L"),_xlfn.XLOOKUP(C37,Tabla42[ADEP],Tabla42[SID 12R],""),IF(OR(G37="30L",G37="30R"),_xlfn.XLOOKUP(C37,Tabla42[ADEP],Tabla42[SID 30L],""),""))</f>
        <v/>
      </c>
      <c r="S37" s="3">
        <f t="shared" si="0"/>
        <v>14</v>
      </c>
      <c r="T37" s="3" t="str">
        <f>_xlfn.XLOOKUP(C37,Tabla42[ADEP],Tabla42[Sector],"")</f>
        <v/>
      </c>
    </row>
    <row r="38" spans="1:20" x14ac:dyDescent="0.2">
      <c r="A38" s="16" t="s">
        <v>135</v>
      </c>
      <c r="B38" s="16" t="s">
        <v>18</v>
      </c>
      <c r="C38" s="16" t="s">
        <v>32</v>
      </c>
      <c r="D38" s="16" t="s">
        <v>33</v>
      </c>
      <c r="E38" s="16" t="s">
        <v>677</v>
      </c>
      <c r="F38" s="17">
        <v>46303.627511574072</v>
      </c>
      <c r="G38" s="16" t="s">
        <v>21</v>
      </c>
      <c r="H38" s="16" t="s">
        <v>2967</v>
      </c>
      <c r="I38" s="16">
        <v>380</v>
      </c>
      <c r="J38" s="16" t="s">
        <v>22</v>
      </c>
      <c r="K38" s="16" t="s">
        <v>23</v>
      </c>
      <c r="L38" s="16">
        <v>882</v>
      </c>
      <c r="M38" s="16" t="s">
        <v>695</v>
      </c>
      <c r="N38" s="17">
        <v>46303.676087962958</v>
      </c>
      <c r="O38" s="16">
        <v>380</v>
      </c>
      <c r="P38" s="16" t="s">
        <v>25</v>
      </c>
      <c r="Q38" s="16">
        <v>190</v>
      </c>
      <c r="R38" s="3" t="str">
        <f>IF(OR(G38="12R",G38="12L"),_xlfn.XLOOKUP(C38,Tabla42[ADEP],Tabla42[SID 12R],""),IF(OR(G38="30L",G38="30R"),_xlfn.XLOOKUP(C38,Tabla42[ADEP],Tabla42[SID 30L],""),""))</f>
        <v>UDGUV</v>
      </c>
      <c r="S38" s="3">
        <f t="shared" si="0"/>
        <v>15</v>
      </c>
      <c r="T38" s="3" t="str">
        <f>_xlfn.XLOOKUP(C38,Tabla42[ADEP],Tabla42[Sector],"")</f>
        <v>Sector 2</v>
      </c>
    </row>
    <row r="39" spans="1:20" x14ac:dyDescent="0.2">
      <c r="A39" s="16" t="s">
        <v>2968</v>
      </c>
      <c r="B39" s="16" t="s">
        <v>18</v>
      </c>
      <c r="C39" s="16" t="s">
        <v>49</v>
      </c>
      <c r="D39" s="16" t="s">
        <v>2969</v>
      </c>
      <c r="E39" s="16" t="s">
        <v>2970</v>
      </c>
      <c r="F39" s="17">
        <v>46303.63486111111</v>
      </c>
      <c r="G39" s="16" t="s">
        <v>21</v>
      </c>
      <c r="H39" s="16" t="s">
        <v>985</v>
      </c>
      <c r="I39" s="16">
        <v>430</v>
      </c>
      <c r="J39" s="16" t="s">
        <v>22</v>
      </c>
      <c r="K39" s="16" t="s">
        <v>50</v>
      </c>
      <c r="L39" s="16">
        <v>862</v>
      </c>
      <c r="M39" s="16" t="s">
        <v>45</v>
      </c>
      <c r="N39" s="17">
        <v>46303.682291666672</v>
      </c>
      <c r="O39" s="16">
        <v>430</v>
      </c>
      <c r="P39" s="16" t="s">
        <v>25</v>
      </c>
      <c r="Q39" s="16">
        <v>30</v>
      </c>
      <c r="R39" s="3" t="str">
        <f>IF(OR(G39="12R",G39="12L"),_xlfn.XLOOKUP(C39,Tabla42[ADEP],Tabla42[SID 12R],""),IF(OR(G39="30L",G39="30R"),_xlfn.XLOOKUP(C39,Tabla42[ADEP],Tabla42[SID 30L],""),""))</f>
        <v>UDGUV</v>
      </c>
      <c r="S39" s="3">
        <f t="shared" si="0"/>
        <v>15</v>
      </c>
      <c r="T39" s="3" t="str">
        <f>_xlfn.XLOOKUP(C39,Tabla42[ADEP],Tabla42[Sector],"")</f>
        <v>Sector 2</v>
      </c>
    </row>
    <row r="40" spans="1:20" x14ac:dyDescent="0.2">
      <c r="A40" s="16" t="s">
        <v>2971</v>
      </c>
      <c r="B40" s="16" t="s">
        <v>18</v>
      </c>
      <c r="C40" s="16" t="s">
        <v>121</v>
      </c>
      <c r="D40" s="16" t="s">
        <v>20</v>
      </c>
      <c r="E40" s="16" t="s">
        <v>2972</v>
      </c>
      <c r="F40" s="17">
        <v>46303.637673611112</v>
      </c>
      <c r="G40" s="16" t="s">
        <v>21</v>
      </c>
      <c r="H40" s="16" t="s">
        <v>2973</v>
      </c>
      <c r="I40" s="16">
        <v>380</v>
      </c>
      <c r="J40" s="16" t="s">
        <v>22</v>
      </c>
      <c r="K40" s="16" t="s">
        <v>23</v>
      </c>
      <c r="L40" s="16">
        <v>857</v>
      </c>
      <c r="M40" s="16" t="s">
        <v>35</v>
      </c>
      <c r="N40" s="17">
        <v>46303.685312500005</v>
      </c>
      <c r="O40" s="16">
        <v>380</v>
      </c>
      <c r="P40" s="16" t="s">
        <v>25</v>
      </c>
      <c r="Q40" s="16">
        <v>190</v>
      </c>
      <c r="R40" s="3" t="str">
        <f>IF(OR(G40="12R",G40="12L"),_xlfn.XLOOKUP(C40,Tabla42[ADEP],Tabla42[SID 12R],""),IF(OR(G40="30L",G40="30R"),_xlfn.XLOOKUP(C40,Tabla42[ADEP],Tabla42[SID 30L],""),""))</f>
        <v>ENEBA</v>
      </c>
      <c r="S40" s="3">
        <f t="shared" si="0"/>
        <v>15</v>
      </c>
      <c r="T40" s="3" t="str">
        <f>_xlfn.XLOOKUP(C40,Tabla42[ADEP],Tabla42[Sector],"")</f>
        <v>Sector 3</v>
      </c>
    </row>
    <row r="41" spans="1:20" x14ac:dyDescent="0.2">
      <c r="A41" s="16" t="s">
        <v>423</v>
      </c>
      <c r="B41" s="16" t="s">
        <v>18</v>
      </c>
      <c r="C41" s="16" t="s">
        <v>154</v>
      </c>
      <c r="D41" s="16" t="s">
        <v>424</v>
      </c>
      <c r="E41" s="16"/>
      <c r="F41" s="17">
        <v>46303.645844907413</v>
      </c>
      <c r="G41" s="16" t="s">
        <v>21</v>
      </c>
      <c r="H41" s="16" t="s">
        <v>155</v>
      </c>
      <c r="I41" s="16">
        <v>15</v>
      </c>
      <c r="J41" s="16" t="s">
        <v>130</v>
      </c>
      <c r="K41" s="16" t="s">
        <v>50</v>
      </c>
      <c r="L41" s="16">
        <v>58</v>
      </c>
      <c r="M41" s="16" t="s">
        <v>154</v>
      </c>
      <c r="N41" s="17">
        <v>46303.660949074074</v>
      </c>
      <c r="O41" s="16">
        <v>0</v>
      </c>
      <c r="P41" s="16" t="s">
        <v>129</v>
      </c>
      <c r="Q41" s="16">
        <v>15</v>
      </c>
      <c r="R41" s="3" t="str">
        <f>IF(OR(G41="12R",G41="12L"),_xlfn.XLOOKUP(C41,Tabla42[ADEP],Tabla42[SID 12R],""),IF(OR(G41="30L",G41="30R"),_xlfn.XLOOKUP(C41,Tabla42[ADEP],Tabla42[SID 30L],""),""))</f>
        <v>CZM</v>
      </c>
      <c r="S41" s="3">
        <f t="shared" si="0"/>
        <v>15</v>
      </c>
      <c r="T41" s="3" t="str">
        <f>_xlfn.XLOOKUP(C41,Tabla42[ADEP],Tabla42[Sector],"")</f>
        <v>Sector 7</v>
      </c>
    </row>
    <row r="42" spans="1:20" x14ac:dyDescent="0.2">
      <c r="A42" s="16" t="s">
        <v>139</v>
      </c>
      <c r="B42" s="16" t="s">
        <v>18</v>
      </c>
      <c r="C42" s="16" t="s">
        <v>49</v>
      </c>
      <c r="D42" s="16" t="s">
        <v>33</v>
      </c>
      <c r="E42" s="16" t="s">
        <v>532</v>
      </c>
      <c r="F42" s="17">
        <v>46303.649733796294</v>
      </c>
      <c r="G42" s="16" t="s">
        <v>21</v>
      </c>
      <c r="H42" s="16" t="s">
        <v>2974</v>
      </c>
      <c r="I42" s="16">
        <v>360</v>
      </c>
      <c r="J42" s="16" t="s">
        <v>22</v>
      </c>
      <c r="K42" s="16" t="s">
        <v>141</v>
      </c>
      <c r="L42" s="16">
        <v>861</v>
      </c>
      <c r="M42" s="16" t="s">
        <v>350</v>
      </c>
      <c r="N42" s="17">
        <v>46303.697731481487</v>
      </c>
      <c r="O42" s="16">
        <v>360</v>
      </c>
      <c r="P42" s="16" t="s">
        <v>25</v>
      </c>
      <c r="Q42" s="16">
        <v>190</v>
      </c>
      <c r="R42" s="3" t="str">
        <f>IF(OR(G42="12R",G42="12L"),_xlfn.XLOOKUP(C42,Tabla42[ADEP],Tabla42[SID 12R],""),IF(OR(G42="30L",G42="30R"),_xlfn.XLOOKUP(C42,Tabla42[ADEP],Tabla42[SID 30L],""),""))</f>
        <v>UDGUV</v>
      </c>
      <c r="S42" s="3">
        <f t="shared" si="0"/>
        <v>15</v>
      </c>
      <c r="T42" s="3" t="str">
        <f>_xlfn.XLOOKUP(C42,Tabla42[ADEP],Tabla42[Sector],"")</f>
        <v>Sector 2</v>
      </c>
    </row>
    <row r="43" spans="1:20" x14ac:dyDescent="0.2">
      <c r="A43" s="16" t="s">
        <v>425</v>
      </c>
      <c r="B43" s="16" t="s">
        <v>18</v>
      </c>
      <c r="C43" s="16" t="s">
        <v>49</v>
      </c>
      <c r="D43" s="16" t="s">
        <v>53</v>
      </c>
      <c r="E43" s="16" t="s">
        <v>2699</v>
      </c>
      <c r="F43" s="17">
        <v>46303.652581018519</v>
      </c>
      <c r="G43" s="16" t="s">
        <v>21</v>
      </c>
      <c r="H43" s="16" t="s">
        <v>2975</v>
      </c>
      <c r="I43" s="16">
        <v>380</v>
      </c>
      <c r="J43" s="16" t="s">
        <v>22</v>
      </c>
      <c r="K43" s="16" t="s">
        <v>23</v>
      </c>
      <c r="L43" s="16">
        <v>905</v>
      </c>
      <c r="M43" s="16" t="s">
        <v>2413</v>
      </c>
      <c r="N43" s="17">
        <v>46303.702905092592</v>
      </c>
      <c r="O43" s="16">
        <v>380</v>
      </c>
      <c r="P43" s="16" t="s">
        <v>25</v>
      </c>
      <c r="Q43" s="16">
        <v>190</v>
      </c>
      <c r="R43" s="3" t="str">
        <f>IF(OR(G43="12R",G43="12L"),_xlfn.XLOOKUP(C43,Tabla42[ADEP],Tabla42[SID 12R],""),IF(OR(G43="30L",G43="30R"),_xlfn.XLOOKUP(C43,Tabla42[ADEP],Tabla42[SID 30L],""),""))</f>
        <v>UDGUV</v>
      </c>
      <c r="S43" s="3">
        <f t="shared" si="0"/>
        <v>15</v>
      </c>
      <c r="T43" s="3" t="str">
        <f>_xlfn.XLOOKUP(C43,Tabla42[ADEP],Tabla42[Sector],"")</f>
        <v>Sector 2</v>
      </c>
    </row>
    <row r="44" spans="1:20" x14ac:dyDescent="0.2">
      <c r="A44" s="16" t="s">
        <v>142</v>
      </c>
      <c r="B44" s="16" t="s">
        <v>18</v>
      </c>
      <c r="C44" s="16" t="s">
        <v>42</v>
      </c>
      <c r="D44" s="16" t="s">
        <v>60</v>
      </c>
      <c r="E44" s="16" t="s">
        <v>690</v>
      </c>
      <c r="F44" s="17">
        <v>46303.65420138889</v>
      </c>
      <c r="G44" s="16" t="s">
        <v>21</v>
      </c>
      <c r="H44" s="16" t="s">
        <v>2976</v>
      </c>
      <c r="I44" s="16">
        <v>340</v>
      </c>
      <c r="J44" s="16" t="s">
        <v>22</v>
      </c>
      <c r="K44" s="16" t="s">
        <v>23</v>
      </c>
      <c r="L44" s="16">
        <v>903</v>
      </c>
      <c r="M44" s="16" t="s">
        <v>2977</v>
      </c>
      <c r="N44" s="17">
        <v>46303.703067129631</v>
      </c>
      <c r="O44" s="16">
        <v>340</v>
      </c>
      <c r="P44" s="16" t="s">
        <v>25</v>
      </c>
      <c r="Q44" s="16">
        <v>190</v>
      </c>
      <c r="R44" s="3" t="str">
        <f>IF(OR(G44="12R",G44="12L"),_xlfn.XLOOKUP(C44,Tabla42[ADEP],Tabla42[SID 12R],""),IF(OR(G44="30L",G44="30R"),_xlfn.XLOOKUP(C44,Tabla42[ADEP],Tabla42[SID 30L],""),""))</f>
        <v>UDGUV</v>
      </c>
      <c r="S44" s="3">
        <f t="shared" si="0"/>
        <v>15</v>
      </c>
      <c r="T44" s="3" t="str">
        <f>_xlfn.XLOOKUP(C44,Tabla42[ADEP],Tabla42[Sector],"")</f>
        <v>Sector 2</v>
      </c>
    </row>
    <row r="45" spans="1:20" x14ac:dyDescent="0.2">
      <c r="A45" s="16" t="s">
        <v>136</v>
      </c>
      <c r="B45" s="16" t="s">
        <v>18</v>
      </c>
      <c r="C45" s="16" t="s">
        <v>137</v>
      </c>
      <c r="D45" s="16" t="s">
        <v>63</v>
      </c>
      <c r="E45" s="16" t="s">
        <v>774</v>
      </c>
      <c r="F45" s="17">
        <v>46303.655416666668</v>
      </c>
      <c r="G45" s="16" t="s">
        <v>21</v>
      </c>
      <c r="H45" s="16" t="s">
        <v>2978</v>
      </c>
      <c r="I45" s="16">
        <v>330</v>
      </c>
      <c r="J45" s="16" t="s">
        <v>22</v>
      </c>
      <c r="K45" s="16" t="s">
        <v>23</v>
      </c>
      <c r="L45" s="16">
        <v>133</v>
      </c>
      <c r="M45" s="16" t="s">
        <v>39</v>
      </c>
      <c r="N45" s="17">
        <v>46303.664398148147</v>
      </c>
      <c r="O45" s="16">
        <v>247</v>
      </c>
      <c r="P45" s="16" t="s">
        <v>25</v>
      </c>
      <c r="Q45" s="16">
        <v>190</v>
      </c>
      <c r="R45" s="3" t="str">
        <f>IF(OR(G45="12R",G45="12L"),_xlfn.XLOOKUP(C45,Tabla42[ADEP],Tabla42[SID 12R],""),IF(OR(G45="30L",G45="30R"),_xlfn.XLOOKUP(C45,Tabla42[ADEP],Tabla42[SID 30L],""),""))</f>
        <v>NUDAL</v>
      </c>
      <c r="S45" s="3">
        <f t="shared" si="0"/>
        <v>15</v>
      </c>
      <c r="T45" s="3" t="str">
        <f>_xlfn.XLOOKUP(C45,Tabla42[ADEP],Tabla42[Sector],"")</f>
        <v>Sector 3</v>
      </c>
    </row>
    <row r="46" spans="1:20" x14ac:dyDescent="0.2">
      <c r="A46" s="16" t="s">
        <v>151</v>
      </c>
      <c r="B46" s="16" t="s">
        <v>18</v>
      </c>
      <c r="C46" s="16" t="s">
        <v>96</v>
      </c>
      <c r="D46" s="16" t="s">
        <v>122</v>
      </c>
      <c r="E46" s="16" t="s">
        <v>2979</v>
      </c>
      <c r="F46" s="17">
        <v>46303.657824074078</v>
      </c>
      <c r="G46" s="16" t="s">
        <v>21</v>
      </c>
      <c r="H46" s="16" t="s">
        <v>2980</v>
      </c>
      <c r="I46" s="16">
        <v>380</v>
      </c>
      <c r="J46" s="16" t="s">
        <v>22</v>
      </c>
      <c r="K46" s="16" t="s">
        <v>23</v>
      </c>
      <c r="L46" s="16">
        <v>995</v>
      </c>
      <c r="M46" s="16" t="s">
        <v>2040</v>
      </c>
      <c r="N46" s="17">
        <v>46303.710775462961</v>
      </c>
      <c r="O46" s="16">
        <v>380</v>
      </c>
      <c r="P46" s="16" t="s">
        <v>25</v>
      </c>
      <c r="Q46" s="16">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16" t="s">
        <v>625</v>
      </c>
      <c r="B47" s="16" t="s">
        <v>18</v>
      </c>
      <c r="C47" s="16" t="s">
        <v>356</v>
      </c>
      <c r="D47" s="16" t="s">
        <v>626</v>
      </c>
      <c r="E47" s="16"/>
      <c r="F47" s="17">
        <v>46303.659363425926</v>
      </c>
      <c r="G47" s="16" t="s">
        <v>21</v>
      </c>
      <c r="H47" s="16" t="s">
        <v>2981</v>
      </c>
      <c r="I47" s="16">
        <v>370</v>
      </c>
      <c r="J47" s="16" t="s">
        <v>22</v>
      </c>
      <c r="K47" s="16" t="s">
        <v>50</v>
      </c>
      <c r="L47" s="16">
        <v>134</v>
      </c>
      <c r="M47" s="16" t="s">
        <v>39</v>
      </c>
      <c r="N47" s="17">
        <v>46303.670324074075</v>
      </c>
      <c r="O47" s="16">
        <v>283</v>
      </c>
      <c r="P47" s="16" t="s">
        <v>129</v>
      </c>
      <c r="Q47" s="16">
        <v>30</v>
      </c>
      <c r="R47" s="3" t="str">
        <f>IF(OR(G47="12R",G47="12L"),_xlfn.XLOOKUP(C47,Tabla42[ADEP],Tabla42[SID 12R],""),IF(OR(G47="30L",G47="30R"),_xlfn.XLOOKUP(C47,Tabla42[ADEP],Tabla42[SID 30L],""),""))</f>
        <v>NUDAL</v>
      </c>
      <c r="S47" s="3">
        <f t="shared" si="0"/>
        <v>15</v>
      </c>
      <c r="T47" s="3" t="str">
        <f>_xlfn.XLOOKUP(C47,Tabla42[ADEP],Tabla42[Sector],"")</f>
        <v>Sector 3</v>
      </c>
    </row>
    <row r="48" spans="1:20" x14ac:dyDescent="0.2">
      <c r="A48" s="16" t="s">
        <v>146</v>
      </c>
      <c r="B48" s="16" t="s">
        <v>18</v>
      </c>
      <c r="C48" s="16" t="s">
        <v>96</v>
      </c>
      <c r="D48" s="16" t="s">
        <v>33</v>
      </c>
      <c r="E48" s="16" t="s">
        <v>2439</v>
      </c>
      <c r="F48" s="17">
        <v>46303.662442129629</v>
      </c>
      <c r="G48" s="16" t="s">
        <v>21</v>
      </c>
      <c r="H48" s="16" t="s">
        <v>2982</v>
      </c>
      <c r="I48" s="16">
        <v>340</v>
      </c>
      <c r="J48" s="16" t="s">
        <v>22</v>
      </c>
      <c r="K48" s="16" t="s">
        <v>23</v>
      </c>
      <c r="L48" s="16">
        <v>896</v>
      </c>
      <c r="M48" s="16" t="s">
        <v>2983</v>
      </c>
      <c r="N48" s="17">
        <v>46303.712268518517</v>
      </c>
      <c r="O48" s="16">
        <v>340</v>
      </c>
      <c r="P48" s="16" t="s">
        <v>25</v>
      </c>
      <c r="Q48" s="16">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16" t="s">
        <v>2984</v>
      </c>
      <c r="B49" s="16" t="s">
        <v>18</v>
      </c>
      <c r="C49" s="16" t="s">
        <v>188</v>
      </c>
      <c r="D49" s="16" t="s">
        <v>20</v>
      </c>
      <c r="E49" s="16" t="s">
        <v>2188</v>
      </c>
      <c r="F49" s="17">
        <v>46303.665381944447</v>
      </c>
      <c r="G49" s="16" t="s">
        <v>21</v>
      </c>
      <c r="H49" s="16" t="s">
        <v>2985</v>
      </c>
      <c r="I49" s="16">
        <v>390</v>
      </c>
      <c r="J49" s="16" t="s">
        <v>22</v>
      </c>
      <c r="K49" s="16" t="s">
        <v>23</v>
      </c>
      <c r="L49" s="16">
        <v>135</v>
      </c>
      <c r="M49" s="16" t="s">
        <v>39</v>
      </c>
      <c r="N49" s="17">
        <v>46303.674074074079</v>
      </c>
      <c r="O49" s="16">
        <v>285</v>
      </c>
      <c r="P49" s="16" t="s">
        <v>25</v>
      </c>
      <c r="Q49" s="16">
        <v>190</v>
      </c>
      <c r="R49" s="3" t="str">
        <f>IF(OR(G49="12R",G49="12L"),_xlfn.XLOOKUP(C49,Tabla42[ADEP],Tabla42[SID 12R],""),IF(OR(G49="30L",G49="30R"),_xlfn.XLOOKUP(C49,Tabla42[ADEP],Tabla42[SID 30L],""),""))</f>
        <v>ENEBA</v>
      </c>
      <c r="S49" s="3">
        <f t="shared" si="0"/>
        <v>15</v>
      </c>
      <c r="T49" s="3" t="str">
        <f>_xlfn.XLOOKUP(C49,Tabla42[ADEP],Tabla42[Sector],"")</f>
        <v>Sector 3</v>
      </c>
    </row>
    <row r="50" spans="1:20" x14ac:dyDescent="0.2">
      <c r="A50" s="16" t="s">
        <v>143</v>
      </c>
      <c r="B50" s="16" t="s">
        <v>18</v>
      </c>
      <c r="C50" s="16" t="s">
        <v>32</v>
      </c>
      <c r="D50" s="16" t="s">
        <v>33</v>
      </c>
      <c r="E50" s="16" t="s">
        <v>140</v>
      </c>
      <c r="F50" s="17">
        <v>46303.668206018519</v>
      </c>
      <c r="G50" s="16" t="s">
        <v>21</v>
      </c>
      <c r="H50" s="16" t="s">
        <v>2986</v>
      </c>
      <c r="I50" s="16">
        <v>360</v>
      </c>
      <c r="J50" s="16" t="s">
        <v>22</v>
      </c>
      <c r="K50" s="16" t="s">
        <v>23</v>
      </c>
      <c r="L50" s="16">
        <v>874</v>
      </c>
      <c r="M50" s="16" t="s">
        <v>35</v>
      </c>
      <c r="N50" s="17">
        <v>46303.716469907406</v>
      </c>
      <c r="O50" s="16">
        <v>360</v>
      </c>
      <c r="P50" s="16" t="s">
        <v>25</v>
      </c>
      <c r="Q50" s="16">
        <v>190</v>
      </c>
      <c r="R50" s="3" t="str">
        <f>IF(OR(G50="12R",G50="12L"),_xlfn.XLOOKUP(C50,Tabla42[ADEP],Tabla42[SID 12R],""),IF(OR(G50="30L",G50="30R"),_xlfn.XLOOKUP(C50,Tabla42[ADEP],Tabla42[SID 30L],""),""))</f>
        <v>UDGUV</v>
      </c>
      <c r="S50" s="3">
        <f t="shared" si="0"/>
        <v>16</v>
      </c>
      <c r="T50" s="3" t="str">
        <f>_xlfn.XLOOKUP(C50,Tabla42[ADEP],Tabla42[Sector],"")</f>
        <v>Sector 2</v>
      </c>
    </row>
    <row r="51" spans="1:20" x14ac:dyDescent="0.2">
      <c r="A51" s="16" t="s">
        <v>364</v>
      </c>
      <c r="B51" s="16" t="s">
        <v>18</v>
      </c>
      <c r="C51" s="16" t="s">
        <v>27</v>
      </c>
      <c r="D51" s="16" t="s">
        <v>28</v>
      </c>
      <c r="E51" s="16" t="s">
        <v>2987</v>
      </c>
      <c r="F51" s="17">
        <v>46303.669270833328</v>
      </c>
      <c r="G51" s="16" t="s">
        <v>21</v>
      </c>
      <c r="H51" s="16" t="s">
        <v>2988</v>
      </c>
      <c r="I51" s="16">
        <v>350</v>
      </c>
      <c r="J51" s="16" t="s">
        <v>22</v>
      </c>
      <c r="K51" s="16" t="s">
        <v>23</v>
      </c>
      <c r="L51" s="16">
        <v>133</v>
      </c>
      <c r="M51" s="16" t="s">
        <v>39</v>
      </c>
      <c r="N51" s="17">
        <v>46303.679143518515</v>
      </c>
      <c r="O51" s="16">
        <v>223</v>
      </c>
      <c r="P51" s="16" t="s">
        <v>25</v>
      </c>
      <c r="Q51" s="16">
        <v>190</v>
      </c>
      <c r="R51" s="3" t="str">
        <f>IF(OR(G51="12R",G51="12L"),_xlfn.XLOOKUP(C51,Tabla42[ADEP],Tabla42[SID 12R],""),IF(OR(G51="30L",G51="30R"),_xlfn.XLOOKUP(C51,Tabla42[ADEP],Tabla42[SID 30L],""),""))</f>
        <v>OMSUK</v>
      </c>
      <c r="S51" s="3">
        <f t="shared" si="0"/>
        <v>16</v>
      </c>
      <c r="T51" s="3" t="str">
        <f>_xlfn.XLOOKUP(C51,Tabla42[ADEP],Tabla42[Sector],"")</f>
        <v>Sector 3</v>
      </c>
    </row>
    <row r="52" spans="1:20" x14ac:dyDescent="0.2">
      <c r="A52" s="16" t="s">
        <v>145</v>
      </c>
      <c r="B52" s="16" t="s">
        <v>18</v>
      </c>
      <c r="C52" s="16" t="s">
        <v>19</v>
      </c>
      <c r="D52" s="16" t="s">
        <v>53</v>
      </c>
      <c r="E52" s="16" t="s">
        <v>675</v>
      </c>
      <c r="F52" s="17">
        <v>46303.670624999999</v>
      </c>
      <c r="G52" s="16" t="s">
        <v>21</v>
      </c>
      <c r="H52" s="16" t="s">
        <v>2989</v>
      </c>
      <c r="I52" s="16">
        <v>380</v>
      </c>
      <c r="J52" s="16" t="s">
        <v>22</v>
      </c>
      <c r="K52" s="16" t="s">
        <v>23</v>
      </c>
      <c r="L52" s="16">
        <v>859</v>
      </c>
      <c r="M52" s="16" t="s">
        <v>24</v>
      </c>
      <c r="N52" s="17">
        <v>46303.718518518523</v>
      </c>
      <c r="O52" s="16">
        <v>380</v>
      </c>
      <c r="P52" s="16" t="s">
        <v>25</v>
      </c>
      <c r="Q52" s="16">
        <v>190</v>
      </c>
      <c r="R52" s="3" t="str">
        <f>IF(OR(G52="12R",G52="12L"),_xlfn.XLOOKUP(C52,Tabla42[ADEP],Tabla42[SID 12R],""),IF(OR(G52="30L",G52="30R"),_xlfn.XLOOKUP(C52,Tabla42[ADEP],Tabla42[SID 30L],""),""))</f>
        <v>UDGUV</v>
      </c>
      <c r="S52" s="3">
        <f t="shared" si="0"/>
        <v>16</v>
      </c>
      <c r="T52" s="3" t="str">
        <f>_xlfn.XLOOKUP(C52,Tabla42[ADEP],Tabla42[Sector],"")</f>
        <v>Sector 2</v>
      </c>
    </row>
    <row r="53" spans="1:20" x14ac:dyDescent="0.2">
      <c r="A53" s="16" t="s">
        <v>2990</v>
      </c>
      <c r="B53" s="16" t="s">
        <v>18</v>
      </c>
      <c r="C53" s="16" t="s">
        <v>444</v>
      </c>
      <c r="D53" s="16" t="s">
        <v>20</v>
      </c>
      <c r="E53" s="16" t="s">
        <v>2991</v>
      </c>
      <c r="F53" s="17">
        <v>46303.672256944439</v>
      </c>
      <c r="G53" s="16" t="s">
        <v>21</v>
      </c>
      <c r="H53" s="16" t="s">
        <v>2992</v>
      </c>
      <c r="I53" s="16">
        <v>380</v>
      </c>
      <c r="J53" s="16" t="s">
        <v>22</v>
      </c>
      <c r="K53" s="16" t="s">
        <v>23</v>
      </c>
      <c r="L53" s="16">
        <v>731</v>
      </c>
      <c r="M53" s="16" t="s">
        <v>210</v>
      </c>
      <c r="N53" s="17">
        <v>46303.712789351848</v>
      </c>
      <c r="O53" s="16">
        <v>380</v>
      </c>
      <c r="P53" s="16" t="s">
        <v>25</v>
      </c>
      <c r="Q53" s="16">
        <v>190</v>
      </c>
      <c r="R53" s="3" t="str">
        <f>IF(OR(G53="12R",G53="12L"),_xlfn.XLOOKUP(C53,Tabla42[ADEP],Tabla42[SID 12R],""),IF(OR(G53="30L",G53="30R"),_xlfn.XLOOKUP(C53,Tabla42[ADEP],Tabla42[SID 30L],""),""))</f>
        <v>ENEBA</v>
      </c>
      <c r="S53" s="3">
        <f t="shared" si="0"/>
        <v>16</v>
      </c>
      <c r="T53" s="3" t="str">
        <f>_xlfn.XLOOKUP(C53,Tabla42[ADEP],Tabla42[Sector],"")</f>
        <v>Sector 3</v>
      </c>
    </row>
    <row r="54" spans="1:20" x14ac:dyDescent="0.2">
      <c r="A54" s="16" t="s">
        <v>429</v>
      </c>
      <c r="B54" s="16" t="s">
        <v>18</v>
      </c>
      <c r="C54" s="16" t="s">
        <v>193</v>
      </c>
      <c r="D54" s="16" t="s">
        <v>20</v>
      </c>
      <c r="E54" s="16" t="s">
        <v>2993</v>
      </c>
      <c r="F54" s="17">
        <v>46303.679803240739</v>
      </c>
      <c r="G54" s="16" t="s">
        <v>21</v>
      </c>
      <c r="H54" s="16" t="s">
        <v>2994</v>
      </c>
      <c r="I54" s="16">
        <v>390</v>
      </c>
      <c r="J54" s="16" t="s">
        <v>22</v>
      </c>
      <c r="K54" s="16" t="s">
        <v>23</v>
      </c>
      <c r="L54" s="16">
        <v>191</v>
      </c>
      <c r="M54" s="16" t="s">
        <v>2995</v>
      </c>
      <c r="N54" s="17">
        <v>46303.691377314812</v>
      </c>
      <c r="O54" s="16">
        <v>296</v>
      </c>
      <c r="P54" s="16" t="s">
        <v>25</v>
      </c>
      <c r="Q54" s="16">
        <v>190</v>
      </c>
      <c r="R54" s="3" t="str">
        <f>IF(OR(G54="12R",G54="12L"),_xlfn.XLOOKUP(C54,Tabla42[ADEP],Tabla42[SID 12R],""),IF(OR(G54="30L",G54="30R"),_xlfn.XLOOKUP(C54,Tabla42[ADEP],Tabla42[SID 30L],""),""))</f>
        <v>ENEBA</v>
      </c>
      <c r="S54" s="3">
        <f t="shared" si="0"/>
        <v>16</v>
      </c>
      <c r="T54" s="3" t="str">
        <f>_xlfn.XLOOKUP(C54,Tabla42[ADEP],Tabla42[Sector],"")</f>
        <v>Sector 3</v>
      </c>
    </row>
    <row r="55" spans="1:20" x14ac:dyDescent="0.2">
      <c r="A55" s="16" t="s">
        <v>148</v>
      </c>
      <c r="B55" s="16" t="s">
        <v>18</v>
      </c>
      <c r="C55" s="16" t="s">
        <v>42</v>
      </c>
      <c r="D55" s="16" t="s">
        <v>60</v>
      </c>
      <c r="E55" s="16" t="s">
        <v>79</v>
      </c>
      <c r="F55" s="17">
        <v>46303.684039351851</v>
      </c>
      <c r="G55" s="16" t="s">
        <v>21</v>
      </c>
      <c r="H55" s="16" t="s">
        <v>2996</v>
      </c>
      <c r="I55" s="16">
        <v>340</v>
      </c>
      <c r="J55" s="16" t="s">
        <v>22</v>
      </c>
      <c r="K55" s="16" t="s">
        <v>23</v>
      </c>
      <c r="L55" s="16">
        <v>1001</v>
      </c>
      <c r="M55" s="16" t="s">
        <v>2997</v>
      </c>
      <c r="N55" s="17">
        <v>46303.737812499996</v>
      </c>
      <c r="O55" s="16">
        <v>340</v>
      </c>
      <c r="P55" s="16" t="s">
        <v>25</v>
      </c>
      <c r="Q55" s="16">
        <v>190</v>
      </c>
      <c r="R55" s="3" t="str">
        <f>IF(OR(G55="12R",G55="12L"),_xlfn.XLOOKUP(C55,Tabla42[ADEP],Tabla42[SID 12R],""),IF(OR(G55="30L",G55="30R"),_xlfn.XLOOKUP(C55,Tabla42[ADEP],Tabla42[SID 30L],""),""))</f>
        <v>UDGUV</v>
      </c>
      <c r="S55" s="3">
        <f t="shared" si="0"/>
        <v>16</v>
      </c>
      <c r="T55" s="3" t="str">
        <f>_xlfn.XLOOKUP(C55,Tabla42[ADEP],Tabla42[Sector],"")</f>
        <v>Sector 2</v>
      </c>
    </row>
    <row r="56" spans="1:20" x14ac:dyDescent="0.2">
      <c r="A56" s="16" t="s">
        <v>159</v>
      </c>
      <c r="B56" s="16" t="s">
        <v>18</v>
      </c>
      <c r="C56" s="16" t="s">
        <v>160</v>
      </c>
      <c r="D56" s="16" t="s">
        <v>53</v>
      </c>
      <c r="E56" s="16" t="s">
        <v>392</v>
      </c>
      <c r="F56" s="17">
        <v>46303.688622685186</v>
      </c>
      <c r="G56" s="16" t="s">
        <v>21</v>
      </c>
      <c r="H56" s="16" t="s">
        <v>2998</v>
      </c>
      <c r="I56" s="16">
        <v>380</v>
      </c>
      <c r="J56" s="16" t="s">
        <v>22</v>
      </c>
      <c r="K56" s="16" t="s">
        <v>23</v>
      </c>
      <c r="L56" s="16">
        <v>343</v>
      </c>
      <c r="M56" s="16" t="s">
        <v>2433</v>
      </c>
      <c r="N56" s="17">
        <v>46303.709050925929</v>
      </c>
      <c r="O56" s="16">
        <v>380</v>
      </c>
      <c r="P56" s="16" t="s">
        <v>25</v>
      </c>
      <c r="Q56" s="16">
        <v>190</v>
      </c>
      <c r="R56" s="3" t="str">
        <f>IF(OR(G56="12R",G56="12L"),_xlfn.XLOOKUP(C56,Tabla42[ADEP],Tabla42[SID 12R],""),IF(OR(G56="30L",G56="30R"),_xlfn.XLOOKUP(C56,Tabla42[ADEP],Tabla42[SID 30L],""),""))</f>
        <v>CZM</v>
      </c>
      <c r="S56" s="3">
        <f t="shared" si="0"/>
        <v>16</v>
      </c>
      <c r="T56" s="3" t="str">
        <f>_xlfn.XLOOKUP(C56,Tabla42[ADEP],Tabla42[Sector],"")</f>
        <v>Sector 7</v>
      </c>
    </row>
    <row r="57" spans="1:20" x14ac:dyDescent="0.2">
      <c r="A57" s="16" t="s">
        <v>178</v>
      </c>
      <c r="B57" s="16" t="s">
        <v>18</v>
      </c>
      <c r="C57" s="16" t="s">
        <v>179</v>
      </c>
      <c r="D57" s="16" t="s">
        <v>53</v>
      </c>
      <c r="E57" s="16" t="s">
        <v>106</v>
      </c>
      <c r="F57" s="17">
        <v>46303.689780092594</v>
      </c>
      <c r="G57" s="16" t="s">
        <v>21</v>
      </c>
      <c r="H57" s="16" t="s">
        <v>1855</v>
      </c>
      <c r="I57" s="16">
        <v>380</v>
      </c>
      <c r="J57" s="16" t="s">
        <v>22</v>
      </c>
      <c r="K57" s="16" t="s">
        <v>23</v>
      </c>
      <c r="L57" s="16">
        <v>833</v>
      </c>
      <c r="M57" s="16" t="s">
        <v>179</v>
      </c>
      <c r="N57" s="17">
        <v>46303.737199074079</v>
      </c>
      <c r="O57" s="16">
        <v>15</v>
      </c>
      <c r="P57" s="16" t="s">
        <v>25</v>
      </c>
      <c r="Q57" s="16">
        <v>190</v>
      </c>
      <c r="R57" s="3" t="str">
        <f>IF(OR(G57="12R",G57="12L"),_xlfn.XLOOKUP(C57,Tabla42[ADEP],Tabla42[SID 12R],""),IF(OR(G57="30L",G57="30R"),_xlfn.XLOOKUP(C57,Tabla42[ADEP],Tabla42[SID 30L],""),""))</f>
        <v>UDGUV</v>
      </c>
      <c r="S57" s="3">
        <f t="shared" si="0"/>
        <v>16</v>
      </c>
      <c r="T57" s="3" t="str">
        <f>_xlfn.XLOOKUP(C57,Tabla42[ADEP],Tabla42[Sector],"")</f>
        <v>Sector 2</v>
      </c>
    </row>
    <row r="58" spans="1:20" x14ac:dyDescent="0.2">
      <c r="A58" s="16" t="s">
        <v>161</v>
      </c>
      <c r="B58" s="16" t="s">
        <v>18</v>
      </c>
      <c r="C58" s="16" t="s">
        <v>27</v>
      </c>
      <c r="D58" s="16" t="s">
        <v>60</v>
      </c>
      <c r="E58" s="16" t="s">
        <v>2449</v>
      </c>
      <c r="F58" s="17">
        <v>46303.690949074073</v>
      </c>
      <c r="G58" s="16" t="s">
        <v>21</v>
      </c>
      <c r="H58" s="16" t="s">
        <v>2999</v>
      </c>
      <c r="I58" s="16">
        <v>310</v>
      </c>
      <c r="J58" s="16" t="s">
        <v>22</v>
      </c>
      <c r="K58" s="16" t="s">
        <v>23</v>
      </c>
      <c r="L58" s="16">
        <v>136</v>
      </c>
      <c r="M58" s="16" t="s">
        <v>408</v>
      </c>
      <c r="N58" s="17">
        <v>46303.701157407406</v>
      </c>
      <c r="O58" s="16">
        <v>209</v>
      </c>
      <c r="P58" s="16" t="s">
        <v>25</v>
      </c>
      <c r="Q58" s="16">
        <v>190</v>
      </c>
      <c r="R58" s="3" t="str">
        <f>IF(OR(G58="12R",G58="12L"),_xlfn.XLOOKUP(C58,Tabla42[ADEP],Tabla42[SID 12R],""),IF(OR(G58="30L",G58="30R"),_xlfn.XLOOKUP(C58,Tabla42[ADEP],Tabla42[SID 30L],""),""))</f>
        <v>OMSUK</v>
      </c>
      <c r="S58" s="3">
        <f t="shared" si="0"/>
        <v>16</v>
      </c>
      <c r="T58" s="3" t="str">
        <f>_xlfn.XLOOKUP(C58,Tabla42[ADEP],Tabla42[Sector],"")</f>
        <v>Sector 3</v>
      </c>
    </row>
    <row r="59" spans="1:20" x14ac:dyDescent="0.2">
      <c r="A59" s="16" t="s">
        <v>365</v>
      </c>
      <c r="B59" s="16" t="s">
        <v>18</v>
      </c>
      <c r="C59" s="16" t="s">
        <v>96</v>
      </c>
      <c r="D59" s="16" t="s">
        <v>33</v>
      </c>
      <c r="E59" s="16" t="s">
        <v>726</v>
      </c>
      <c r="F59" s="17">
        <v>46303.692384259259</v>
      </c>
      <c r="G59" s="16" t="s">
        <v>21</v>
      </c>
      <c r="H59" s="16" t="s">
        <v>366</v>
      </c>
      <c r="I59" s="16">
        <v>360</v>
      </c>
      <c r="J59" s="16" t="s">
        <v>22</v>
      </c>
      <c r="K59" s="16" t="s">
        <v>141</v>
      </c>
      <c r="L59" s="16">
        <v>859</v>
      </c>
      <c r="M59" s="16" t="s">
        <v>45</v>
      </c>
      <c r="N59" s="17">
        <v>46303.740219907406</v>
      </c>
      <c r="O59" s="16">
        <v>360</v>
      </c>
      <c r="P59" s="16" t="s">
        <v>25</v>
      </c>
      <c r="Q59" s="16">
        <v>190</v>
      </c>
      <c r="R59" s="3" t="str">
        <f>IF(OR(G59="12R",G59="12L"),_xlfn.XLOOKUP(C59,Tabla42[ADEP],Tabla42[SID 12R],""),IF(OR(G59="30L",G59="30R"),_xlfn.XLOOKUP(C59,Tabla42[ADEP],Tabla42[SID 30L],""),""))</f>
        <v>UDGUV</v>
      </c>
      <c r="S59" s="3">
        <f t="shared" si="0"/>
        <v>16</v>
      </c>
      <c r="T59" s="3" t="str">
        <f>_xlfn.XLOOKUP(C59,Tabla42[ADEP],Tabla42[Sector],"")</f>
        <v>Sector 2</v>
      </c>
    </row>
    <row r="60" spans="1:20" x14ac:dyDescent="0.2">
      <c r="A60" s="16" t="s">
        <v>2095</v>
      </c>
      <c r="B60" s="16" t="s">
        <v>18</v>
      </c>
      <c r="C60" s="16" t="s">
        <v>121</v>
      </c>
      <c r="D60" s="16" t="s">
        <v>122</v>
      </c>
      <c r="E60" s="16" t="s">
        <v>3000</v>
      </c>
      <c r="F60" s="17">
        <v>46303.69394675926</v>
      </c>
      <c r="G60" s="16" t="s">
        <v>21</v>
      </c>
      <c r="H60" s="16" t="s">
        <v>3001</v>
      </c>
      <c r="I60" s="16">
        <v>400</v>
      </c>
      <c r="J60" s="16" t="s">
        <v>22</v>
      </c>
      <c r="K60" s="16" t="s">
        <v>23</v>
      </c>
      <c r="L60" s="16">
        <v>865</v>
      </c>
      <c r="M60" s="16" t="s">
        <v>35</v>
      </c>
      <c r="N60" s="17">
        <v>46303.741412037038</v>
      </c>
      <c r="O60" s="16">
        <v>400</v>
      </c>
      <c r="P60" s="16" t="s">
        <v>25</v>
      </c>
      <c r="Q60" s="16">
        <v>190</v>
      </c>
      <c r="R60" s="3" t="str">
        <f>IF(OR(G60="12R",G60="12L"),_xlfn.XLOOKUP(C60,Tabla42[ADEP],Tabla42[SID 12R],""),IF(OR(G60="30L",G60="30R"),_xlfn.XLOOKUP(C60,Tabla42[ADEP],Tabla42[SID 30L],""),""))</f>
        <v>ENEBA</v>
      </c>
      <c r="S60" s="3">
        <f t="shared" si="0"/>
        <v>16</v>
      </c>
      <c r="T60" s="3" t="str">
        <f>_xlfn.XLOOKUP(C60,Tabla42[ADEP],Tabla42[Sector],"")</f>
        <v>Sector 3</v>
      </c>
    </row>
    <row r="61" spans="1:20" x14ac:dyDescent="0.2">
      <c r="A61" s="16" t="s">
        <v>152</v>
      </c>
      <c r="B61" s="16" t="s">
        <v>18</v>
      </c>
      <c r="C61" s="16" t="s">
        <v>153</v>
      </c>
      <c r="D61" s="16" t="s">
        <v>33</v>
      </c>
      <c r="E61" s="16" t="s">
        <v>147</v>
      </c>
      <c r="F61" s="17">
        <v>46303.695231481484</v>
      </c>
      <c r="G61" s="16" t="s">
        <v>21</v>
      </c>
      <c r="H61" s="16" t="s">
        <v>3002</v>
      </c>
      <c r="I61" s="16">
        <v>360</v>
      </c>
      <c r="J61" s="16" t="s">
        <v>22</v>
      </c>
      <c r="K61" s="16" t="s">
        <v>23</v>
      </c>
      <c r="L61" s="16">
        <v>866</v>
      </c>
      <c r="M61" s="16" t="s">
        <v>35</v>
      </c>
      <c r="N61" s="17">
        <v>46303.743506944447</v>
      </c>
      <c r="O61" s="16">
        <v>360</v>
      </c>
      <c r="P61" s="16" t="s">
        <v>25</v>
      </c>
      <c r="Q61" s="16">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16" t="s">
        <v>3003</v>
      </c>
      <c r="B62" s="16" t="s">
        <v>18</v>
      </c>
      <c r="C62" s="16" t="s">
        <v>32</v>
      </c>
      <c r="D62" s="16" t="s">
        <v>2969</v>
      </c>
      <c r="E62" s="16"/>
      <c r="F62" s="17">
        <v>46303.696921296301</v>
      </c>
      <c r="G62" s="16" t="s">
        <v>21</v>
      </c>
      <c r="H62" s="16" t="s">
        <v>3004</v>
      </c>
      <c r="I62" s="16">
        <v>400</v>
      </c>
      <c r="J62" s="16" t="s">
        <v>22</v>
      </c>
      <c r="K62" s="16" t="s">
        <v>50</v>
      </c>
      <c r="L62" s="16">
        <v>889</v>
      </c>
      <c r="M62" s="16" t="s">
        <v>2650</v>
      </c>
      <c r="N62" s="17">
        <v>46303.747673611113</v>
      </c>
      <c r="O62" s="16">
        <v>400</v>
      </c>
      <c r="P62" s="16" t="s">
        <v>25</v>
      </c>
      <c r="Q62" s="16">
        <v>30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16" t="s">
        <v>171</v>
      </c>
      <c r="B63" s="16" t="s">
        <v>18</v>
      </c>
      <c r="C63" s="16" t="s">
        <v>2726</v>
      </c>
      <c r="D63" s="16" t="s">
        <v>172</v>
      </c>
      <c r="E63" s="16"/>
      <c r="F63" s="17">
        <v>46303.698773148149</v>
      </c>
      <c r="G63" s="16" t="s">
        <v>21</v>
      </c>
      <c r="H63" s="16" t="s">
        <v>155</v>
      </c>
      <c r="I63" s="16">
        <v>15</v>
      </c>
      <c r="J63" s="16" t="s">
        <v>130</v>
      </c>
      <c r="K63" s="16" t="s">
        <v>50</v>
      </c>
      <c r="L63" s="16">
        <v>74</v>
      </c>
      <c r="M63" s="16" t="s">
        <v>2726</v>
      </c>
      <c r="N63" s="17">
        <v>46303.71329861111</v>
      </c>
      <c r="O63" s="16">
        <v>0</v>
      </c>
      <c r="P63" s="16" t="s">
        <v>129</v>
      </c>
      <c r="Q63" s="16">
        <v>15</v>
      </c>
      <c r="R63" s="3" t="str">
        <f>IF(OR(G63="12R",G63="12L"),_xlfn.XLOOKUP(C63,Tabla42[ADEP],Tabla42[SID 12R],""),IF(OR(G63="30L",G63="30R"),_xlfn.XLOOKUP(C63,Tabla42[ADEP],Tabla42[SID 30L],""),""))</f>
        <v/>
      </c>
      <c r="S63" s="3">
        <f t="shared" si="0"/>
        <v>16</v>
      </c>
      <c r="T63" s="3" t="str">
        <f>_xlfn.XLOOKUP(C63,Tabla42[ADEP],Tabla42[Sector],"")</f>
        <v/>
      </c>
    </row>
    <row r="64" spans="1:20" x14ac:dyDescent="0.2">
      <c r="A64" s="16" t="s">
        <v>156</v>
      </c>
      <c r="B64" s="16" t="s">
        <v>18</v>
      </c>
      <c r="C64" s="16" t="s">
        <v>109</v>
      </c>
      <c r="D64" s="16" t="s">
        <v>122</v>
      </c>
      <c r="E64" s="16" t="s">
        <v>826</v>
      </c>
      <c r="F64" s="17">
        <v>46303.700057870374</v>
      </c>
      <c r="G64" s="16" t="s">
        <v>21</v>
      </c>
      <c r="H64" s="16" t="s">
        <v>3005</v>
      </c>
      <c r="I64" s="16">
        <v>350</v>
      </c>
      <c r="J64" s="16" t="s">
        <v>22</v>
      </c>
      <c r="K64" s="16" t="s">
        <v>23</v>
      </c>
      <c r="L64" s="16">
        <v>153</v>
      </c>
      <c r="M64" s="16" t="s">
        <v>111</v>
      </c>
      <c r="N64" s="17">
        <v>46303.71020833333</v>
      </c>
      <c r="O64" s="16">
        <v>285</v>
      </c>
      <c r="P64" s="16" t="s">
        <v>25</v>
      </c>
      <c r="Q64" s="16">
        <v>190</v>
      </c>
      <c r="R64" s="3" t="str">
        <f>IF(OR(G64="12R",G64="12L"),_xlfn.XLOOKUP(C64,Tabla42[ADEP],Tabla42[SID 12R],""),IF(OR(G64="30L",G64="30R"),_xlfn.XLOOKUP(C64,Tabla42[ADEP],Tabla42[SID 30L],""),""))</f>
        <v>TAKUX</v>
      </c>
      <c r="S64" s="3">
        <f t="shared" si="0"/>
        <v>16</v>
      </c>
      <c r="T64" s="3" t="str">
        <f>_xlfn.XLOOKUP(C64,Tabla42[ADEP],Tabla42[Sector],"")</f>
        <v>Sector 7</v>
      </c>
    </row>
    <row r="65" spans="1:20" x14ac:dyDescent="0.2">
      <c r="A65" s="16" t="s">
        <v>175</v>
      </c>
      <c r="B65" s="16" t="s">
        <v>18</v>
      </c>
      <c r="C65" s="16" t="s">
        <v>52</v>
      </c>
      <c r="D65" s="16" t="s">
        <v>33</v>
      </c>
      <c r="E65" s="16" t="s">
        <v>3006</v>
      </c>
      <c r="F65" s="17">
        <v>46303.701249999998</v>
      </c>
      <c r="G65" s="16" t="s">
        <v>21</v>
      </c>
      <c r="H65" s="16" t="s">
        <v>3007</v>
      </c>
      <c r="I65" s="16">
        <v>390</v>
      </c>
      <c r="J65" s="16" t="s">
        <v>22</v>
      </c>
      <c r="K65" s="16" t="s">
        <v>23</v>
      </c>
      <c r="L65" s="16">
        <v>221</v>
      </c>
      <c r="M65" s="16" t="s">
        <v>55</v>
      </c>
      <c r="N65" s="17">
        <v>46303.714965277773</v>
      </c>
      <c r="O65" s="16">
        <v>338</v>
      </c>
      <c r="P65" s="16" t="s">
        <v>25</v>
      </c>
      <c r="Q65" s="16">
        <v>190</v>
      </c>
      <c r="R65" s="3" t="str">
        <f>IF(OR(G65="12R",G65="12L"),_xlfn.XLOOKUP(C65,Tabla42[ADEP],Tabla42[SID 12R],""),IF(OR(G65="30L",G65="30R"),_xlfn.XLOOKUP(C65,Tabla42[ADEP],Tabla42[SID 30L],""),""))</f>
        <v>CZM</v>
      </c>
      <c r="S65" s="3">
        <f t="shared" si="0"/>
        <v>16</v>
      </c>
      <c r="T65" s="3" t="str">
        <f>_xlfn.XLOOKUP(C65,Tabla42[ADEP],Tabla42[Sector],"")</f>
        <v>Sector 7</v>
      </c>
    </row>
    <row r="66" spans="1:20" x14ac:dyDescent="0.2">
      <c r="A66" s="16" t="s">
        <v>3008</v>
      </c>
      <c r="B66" s="16" t="s">
        <v>18</v>
      </c>
      <c r="C66" s="16" t="s">
        <v>884</v>
      </c>
      <c r="D66" s="16" t="s">
        <v>783</v>
      </c>
      <c r="E66" s="16"/>
      <c r="F66" s="17">
        <v>46303.702928240746</v>
      </c>
      <c r="G66" s="16" t="s">
        <v>21</v>
      </c>
      <c r="H66" s="16" t="s">
        <v>3009</v>
      </c>
      <c r="I66" s="16">
        <v>320</v>
      </c>
      <c r="J66" s="16" t="s">
        <v>22</v>
      </c>
      <c r="K66" s="16" t="s">
        <v>50</v>
      </c>
      <c r="L66" s="16">
        <v>865</v>
      </c>
      <c r="M66" s="16" t="s">
        <v>35</v>
      </c>
      <c r="N66" s="17">
        <v>46303.749664351853</v>
      </c>
      <c r="O66" s="16">
        <v>320</v>
      </c>
      <c r="P66" s="16" t="s">
        <v>25</v>
      </c>
      <c r="Q66" s="16">
        <v>30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16" t="s">
        <v>432</v>
      </c>
      <c r="B67" s="16" t="s">
        <v>18</v>
      </c>
      <c r="C67" s="16" t="s">
        <v>233</v>
      </c>
      <c r="D67" s="16" t="s">
        <v>122</v>
      </c>
      <c r="E67" s="16" t="s">
        <v>3010</v>
      </c>
      <c r="F67" s="17">
        <v>46303.704571759255</v>
      </c>
      <c r="G67" s="16" t="s">
        <v>21</v>
      </c>
      <c r="H67" s="16" t="s">
        <v>3011</v>
      </c>
      <c r="I67" s="16">
        <v>400</v>
      </c>
      <c r="J67" s="16" t="s">
        <v>22</v>
      </c>
      <c r="K67" s="16" t="s">
        <v>23</v>
      </c>
      <c r="L67" s="16">
        <v>866</v>
      </c>
      <c r="M67" s="16" t="s">
        <v>35</v>
      </c>
      <c r="N67" s="17">
        <v>46303.752314814818</v>
      </c>
      <c r="O67" s="16">
        <v>400</v>
      </c>
      <c r="P67" s="16" t="s">
        <v>25</v>
      </c>
      <c r="Q67" s="16">
        <v>190</v>
      </c>
      <c r="R67" s="3" t="str">
        <f>IF(OR(G67="12R",G67="12L"),_xlfn.XLOOKUP(C67,Tabla42[ADEP],Tabla42[SID 12R],""),IF(OR(G67="30L",G67="30R"),_xlfn.XLOOKUP(C67,Tabla42[ADEP],Tabla42[SID 30L],""),""))</f>
        <v>UDGUV</v>
      </c>
      <c r="S67" s="3">
        <f t="shared" ref="S67:S130" si="1">HOUR(F67)</f>
        <v>16</v>
      </c>
      <c r="T67" s="3" t="str">
        <f>_xlfn.XLOOKUP(C67,Tabla42[ADEP],Tabla42[Sector],"")</f>
        <v>Sector 2</v>
      </c>
    </row>
    <row r="68" spans="1:20" x14ac:dyDescent="0.2">
      <c r="A68" s="16" t="s">
        <v>208</v>
      </c>
      <c r="B68" s="16" t="s">
        <v>18</v>
      </c>
      <c r="C68" s="16" t="s">
        <v>209</v>
      </c>
      <c r="D68" s="16" t="s">
        <v>28</v>
      </c>
      <c r="E68" s="16" t="s">
        <v>3012</v>
      </c>
      <c r="F68" s="17">
        <v>46303.706053240741</v>
      </c>
      <c r="G68" s="16" t="s">
        <v>21</v>
      </c>
      <c r="H68" s="16" t="s">
        <v>3013</v>
      </c>
      <c r="I68" s="16">
        <v>380</v>
      </c>
      <c r="J68" s="16" t="s">
        <v>22</v>
      </c>
      <c r="K68" s="16" t="s">
        <v>23</v>
      </c>
      <c r="L68" s="16">
        <v>902</v>
      </c>
      <c r="M68" s="16" t="s">
        <v>35</v>
      </c>
      <c r="N68" s="17">
        <v>46303.75481481482</v>
      </c>
      <c r="O68" s="16">
        <v>380</v>
      </c>
      <c r="P68" s="16" t="s">
        <v>25</v>
      </c>
      <c r="Q68" s="16">
        <v>190</v>
      </c>
      <c r="R68" s="3" t="str">
        <f>IF(OR(G68="12R",G68="12L"),_xlfn.XLOOKUP(C68,Tabla42[ADEP],Tabla42[SID 12R],""),IF(OR(G68="30L",G68="30R"),_xlfn.XLOOKUP(C68,Tabla42[ADEP],Tabla42[SID 30L],""),""))</f>
        <v>ENEBA</v>
      </c>
      <c r="S68" s="3">
        <f t="shared" si="1"/>
        <v>16</v>
      </c>
      <c r="T68" s="3" t="str">
        <f>_xlfn.XLOOKUP(C68,Tabla42[ADEP],Tabla42[Sector],"")</f>
        <v>Sector 3</v>
      </c>
    </row>
    <row r="69" spans="1:20" x14ac:dyDescent="0.2">
      <c r="A69" s="16" t="s">
        <v>163</v>
      </c>
      <c r="B69" s="16" t="s">
        <v>18</v>
      </c>
      <c r="C69" s="16" t="s">
        <v>164</v>
      </c>
      <c r="D69" s="16" t="s">
        <v>43</v>
      </c>
      <c r="E69" s="16" t="s">
        <v>1004</v>
      </c>
      <c r="F69" s="17">
        <v>46303.70694444445</v>
      </c>
      <c r="G69" s="16" t="s">
        <v>21</v>
      </c>
      <c r="H69" s="16" t="s">
        <v>3014</v>
      </c>
      <c r="I69" s="16">
        <v>350</v>
      </c>
      <c r="J69" s="16" t="s">
        <v>22</v>
      </c>
      <c r="K69" s="16" t="s">
        <v>23</v>
      </c>
      <c r="L69" s="16">
        <v>136</v>
      </c>
      <c r="M69" s="16" t="s">
        <v>3015</v>
      </c>
      <c r="N69" s="17">
        <v>46303.715833333335</v>
      </c>
      <c r="O69" s="16">
        <v>264</v>
      </c>
      <c r="P69" s="16" t="s">
        <v>25</v>
      </c>
      <c r="Q69" s="16">
        <v>190</v>
      </c>
      <c r="R69" s="3" t="str">
        <f>IF(OR(G69="12R",G69="12L"),_xlfn.XLOOKUP(C69,Tabla42[ADEP],Tabla42[SID 12R],""),IF(OR(G69="30L",G69="30R"),_xlfn.XLOOKUP(C69,Tabla42[ADEP],Tabla42[SID 30L],""),""))</f>
        <v>OMSUK</v>
      </c>
      <c r="S69" s="3">
        <f t="shared" si="1"/>
        <v>16</v>
      </c>
      <c r="T69" s="3" t="str">
        <f>_xlfn.XLOOKUP(C69,Tabla42[ADEP],Tabla42[Sector],"")</f>
        <v>Sector 3</v>
      </c>
    </row>
    <row r="70" spans="1:20" x14ac:dyDescent="0.2">
      <c r="A70" s="16" t="s">
        <v>3016</v>
      </c>
      <c r="B70" s="16" t="s">
        <v>18</v>
      </c>
      <c r="C70" s="16" t="s">
        <v>96</v>
      </c>
      <c r="D70" s="16" t="s">
        <v>3017</v>
      </c>
      <c r="E70" s="16"/>
      <c r="F70" s="17">
        <v>46303.708356481482</v>
      </c>
      <c r="G70" s="16" t="s">
        <v>21</v>
      </c>
      <c r="H70" s="16" t="s">
        <v>3018</v>
      </c>
      <c r="I70" s="16">
        <v>360</v>
      </c>
      <c r="J70" s="16" t="s">
        <v>22</v>
      </c>
      <c r="K70" s="16" t="s">
        <v>50</v>
      </c>
      <c r="L70" s="16">
        <v>860</v>
      </c>
      <c r="M70" s="16" t="s">
        <v>45</v>
      </c>
      <c r="N70" s="17">
        <v>46303.775196759263</v>
      </c>
      <c r="O70" s="16">
        <v>360</v>
      </c>
      <c r="P70" s="16" t="s">
        <v>129</v>
      </c>
      <c r="Q70" s="16">
        <v>30</v>
      </c>
      <c r="R70" s="3" t="str">
        <f>IF(OR(G70="12R",G70="12L"),_xlfn.XLOOKUP(C70,Tabla42[ADEP],Tabla42[SID 12R],""),IF(OR(G70="30L",G70="30R"),_xlfn.XLOOKUP(C70,Tabla42[ADEP],Tabla42[SID 30L],""),""))</f>
        <v>UDGUV</v>
      </c>
      <c r="S70" s="3">
        <f t="shared" si="1"/>
        <v>17</v>
      </c>
      <c r="T70" s="3" t="str">
        <f>_xlfn.XLOOKUP(C70,Tabla42[ADEP],Tabla42[Sector],"")</f>
        <v>Sector 2</v>
      </c>
    </row>
    <row r="71" spans="1:20" x14ac:dyDescent="0.2">
      <c r="A71" s="16" t="s">
        <v>180</v>
      </c>
      <c r="B71" s="16" t="s">
        <v>18</v>
      </c>
      <c r="C71" s="16" t="s">
        <v>133</v>
      </c>
      <c r="D71" s="16" t="s">
        <v>60</v>
      </c>
      <c r="E71" s="16" t="s">
        <v>162</v>
      </c>
      <c r="F71" s="17">
        <v>46303.709780092591</v>
      </c>
      <c r="G71" s="16" t="s">
        <v>21</v>
      </c>
      <c r="H71" s="16" t="s">
        <v>3019</v>
      </c>
      <c r="I71" s="16">
        <v>330</v>
      </c>
      <c r="J71" s="16" t="s">
        <v>22</v>
      </c>
      <c r="K71" s="16" t="s">
        <v>23</v>
      </c>
      <c r="L71" s="16">
        <v>136</v>
      </c>
      <c r="M71" s="16" t="s">
        <v>612</v>
      </c>
      <c r="N71" s="17">
        <v>46303.719664351855</v>
      </c>
      <c r="O71" s="16">
        <v>210</v>
      </c>
      <c r="P71" s="16" t="s">
        <v>25</v>
      </c>
      <c r="Q71" s="16">
        <v>190</v>
      </c>
      <c r="R71" s="3" t="str">
        <f>IF(OR(G71="12R",G71="12L"),_xlfn.XLOOKUP(C71,Tabla42[ADEP],Tabla42[SID 12R],""),IF(OR(G71="30L",G71="30R"),_xlfn.XLOOKUP(C71,Tabla42[ADEP],Tabla42[SID 30L],""),""))</f>
        <v>OMSUK</v>
      </c>
      <c r="S71" s="3">
        <f t="shared" si="1"/>
        <v>17</v>
      </c>
      <c r="T71" s="3" t="str">
        <f>_xlfn.XLOOKUP(C71,Tabla42[ADEP],Tabla42[Sector],"")</f>
        <v>Sector 3</v>
      </c>
    </row>
    <row r="72" spans="1:20" x14ac:dyDescent="0.2">
      <c r="A72" s="16" t="s">
        <v>115</v>
      </c>
      <c r="B72" s="16" t="s">
        <v>18</v>
      </c>
      <c r="C72" s="16" t="s">
        <v>116</v>
      </c>
      <c r="D72" s="16" t="s">
        <v>117</v>
      </c>
      <c r="E72" s="16" t="s">
        <v>1915</v>
      </c>
      <c r="F72" s="17">
        <v>46303.711226851854</v>
      </c>
      <c r="G72" s="16" t="s">
        <v>21</v>
      </c>
      <c r="H72" s="16" t="s">
        <v>3020</v>
      </c>
      <c r="I72" s="16">
        <v>380</v>
      </c>
      <c r="J72" s="16" t="s">
        <v>22</v>
      </c>
      <c r="K72" s="16" t="s">
        <v>23</v>
      </c>
      <c r="L72" s="16">
        <v>771</v>
      </c>
      <c r="M72" s="16" t="s">
        <v>210</v>
      </c>
      <c r="N72" s="17">
        <v>46303.752488425926</v>
      </c>
      <c r="O72" s="16">
        <v>380</v>
      </c>
      <c r="P72" s="16" t="s">
        <v>25</v>
      </c>
      <c r="Q72" s="16">
        <v>190</v>
      </c>
      <c r="R72" s="3" t="str">
        <f>IF(OR(G72="12R",G72="12L"),_xlfn.XLOOKUP(C72,Tabla42[ADEP],Tabla42[SID 12R],""),IF(OR(G72="30L",G72="30R"),_xlfn.XLOOKUP(C72,Tabla42[ADEP],Tabla42[SID 30L],""),""))</f>
        <v>ENEBA</v>
      </c>
      <c r="S72" s="3">
        <f t="shared" si="1"/>
        <v>17</v>
      </c>
      <c r="T72" s="3" t="str">
        <f>_xlfn.XLOOKUP(C72,Tabla42[ADEP],Tabla42[Sector],"")</f>
        <v>Sector 3</v>
      </c>
    </row>
    <row r="73" spans="1:20" x14ac:dyDescent="0.2">
      <c r="A73" s="16" t="s">
        <v>177</v>
      </c>
      <c r="B73" s="16" t="s">
        <v>18</v>
      </c>
      <c r="C73" s="16" t="s">
        <v>109</v>
      </c>
      <c r="D73" s="16" t="s">
        <v>122</v>
      </c>
      <c r="E73" s="16" t="s">
        <v>3021</v>
      </c>
      <c r="F73" s="17">
        <v>46303.712442129632</v>
      </c>
      <c r="G73" s="16" t="s">
        <v>21</v>
      </c>
      <c r="H73" s="16" t="s">
        <v>3022</v>
      </c>
      <c r="I73" s="16">
        <v>350</v>
      </c>
      <c r="J73" s="16" t="s">
        <v>22</v>
      </c>
      <c r="K73" s="16" t="s">
        <v>23</v>
      </c>
      <c r="L73" s="16">
        <v>150</v>
      </c>
      <c r="M73" s="16" t="s">
        <v>111</v>
      </c>
      <c r="N73" s="17">
        <v>46303.722615740742</v>
      </c>
      <c r="O73" s="16">
        <v>287</v>
      </c>
      <c r="P73" s="16" t="s">
        <v>25</v>
      </c>
      <c r="Q73" s="16">
        <v>190</v>
      </c>
      <c r="R73" s="3" t="str">
        <f>IF(OR(G73="12R",G73="12L"),_xlfn.XLOOKUP(C73,Tabla42[ADEP],Tabla42[SID 12R],""),IF(OR(G73="30L",G73="30R"),_xlfn.XLOOKUP(C73,Tabla42[ADEP],Tabla42[SID 30L],""),""))</f>
        <v>TAKUX</v>
      </c>
      <c r="S73" s="3">
        <f t="shared" si="1"/>
        <v>17</v>
      </c>
      <c r="T73" s="3" t="str">
        <f>_xlfn.XLOOKUP(C73,Tabla42[ADEP],Tabla42[Sector],"")</f>
        <v>Sector 7</v>
      </c>
    </row>
    <row r="74" spans="1:20" x14ac:dyDescent="0.2">
      <c r="A74" s="16" t="s">
        <v>232</v>
      </c>
      <c r="B74" s="16" t="s">
        <v>18</v>
      </c>
      <c r="C74" s="16" t="s">
        <v>233</v>
      </c>
      <c r="D74" s="16" t="s">
        <v>110</v>
      </c>
      <c r="E74" s="16" t="s">
        <v>3023</v>
      </c>
      <c r="F74" s="17">
        <v>46303.713287037041</v>
      </c>
      <c r="G74" s="16" t="s">
        <v>21</v>
      </c>
      <c r="H74" s="16" t="s">
        <v>3024</v>
      </c>
      <c r="I74" s="16">
        <v>380</v>
      </c>
      <c r="J74" s="16" t="s">
        <v>22</v>
      </c>
      <c r="K74" s="16" t="s">
        <v>23</v>
      </c>
      <c r="L74" s="16">
        <v>886</v>
      </c>
      <c r="M74" s="16" t="s">
        <v>35</v>
      </c>
      <c r="N74" s="17">
        <v>46303.760821759264</v>
      </c>
      <c r="O74" s="16">
        <v>380</v>
      </c>
      <c r="P74" s="16" t="s">
        <v>25</v>
      </c>
      <c r="Q74" s="16">
        <v>190</v>
      </c>
      <c r="R74" s="3" t="str">
        <f>IF(OR(G74="12R",G74="12L"),_xlfn.XLOOKUP(C74,Tabla42[ADEP],Tabla42[SID 12R],""),IF(OR(G74="30L",G74="30R"),_xlfn.XLOOKUP(C74,Tabla42[ADEP],Tabla42[SID 30L],""),""))</f>
        <v>UDGUV</v>
      </c>
      <c r="S74" s="3">
        <f t="shared" si="1"/>
        <v>17</v>
      </c>
      <c r="T74" s="3" t="str">
        <f>_xlfn.XLOOKUP(C74,Tabla42[ADEP],Tabla42[Sector],"")</f>
        <v>Sector 2</v>
      </c>
    </row>
    <row r="75" spans="1:20" x14ac:dyDescent="0.2">
      <c r="A75" s="16" t="s">
        <v>181</v>
      </c>
      <c r="B75" s="16" t="s">
        <v>18</v>
      </c>
      <c r="C75" s="16" t="s">
        <v>42</v>
      </c>
      <c r="D75" s="16" t="s">
        <v>43</v>
      </c>
      <c r="E75" s="16" t="s">
        <v>2255</v>
      </c>
      <c r="F75" s="17">
        <v>46303.714999999997</v>
      </c>
      <c r="G75" s="16" t="s">
        <v>21</v>
      </c>
      <c r="H75" s="16" t="s">
        <v>3025</v>
      </c>
      <c r="I75" s="16">
        <v>360</v>
      </c>
      <c r="J75" s="16" t="s">
        <v>22</v>
      </c>
      <c r="K75" s="16" t="s">
        <v>23</v>
      </c>
      <c r="L75" s="16">
        <v>884</v>
      </c>
      <c r="M75" s="16" t="s">
        <v>1991</v>
      </c>
      <c r="N75" s="17">
        <v>46303.764120370368</v>
      </c>
      <c r="O75" s="16">
        <v>360</v>
      </c>
      <c r="P75" s="16" t="s">
        <v>25</v>
      </c>
      <c r="Q75" s="16">
        <v>190</v>
      </c>
      <c r="R75" s="3" t="str">
        <f>IF(OR(G75="12R",G75="12L"),_xlfn.XLOOKUP(C75,Tabla42[ADEP],Tabla42[SID 12R],""),IF(OR(G75="30L",G75="30R"),_xlfn.XLOOKUP(C75,Tabla42[ADEP],Tabla42[SID 30L],""),""))</f>
        <v>UDGUV</v>
      </c>
      <c r="S75" s="3">
        <f t="shared" si="1"/>
        <v>17</v>
      </c>
      <c r="T75" s="3" t="str">
        <f>_xlfn.XLOOKUP(C75,Tabla42[ADEP],Tabla42[Sector],"")</f>
        <v>Sector 2</v>
      </c>
    </row>
    <row r="76" spans="1:20" x14ac:dyDescent="0.2">
      <c r="A76" s="16" t="s">
        <v>435</v>
      </c>
      <c r="B76" s="16" t="s">
        <v>18</v>
      </c>
      <c r="C76" s="16" t="s">
        <v>436</v>
      </c>
      <c r="D76" s="16" t="s">
        <v>33</v>
      </c>
      <c r="E76" s="16" t="s">
        <v>368</v>
      </c>
      <c r="F76" s="17">
        <v>46303.716481481482</v>
      </c>
      <c r="G76" s="16" t="s">
        <v>21</v>
      </c>
      <c r="H76" s="16" t="s">
        <v>3026</v>
      </c>
      <c r="I76" s="16">
        <v>360</v>
      </c>
      <c r="J76" s="16" t="s">
        <v>22</v>
      </c>
      <c r="K76" s="16" t="s">
        <v>23</v>
      </c>
      <c r="L76" s="16">
        <v>866</v>
      </c>
      <c r="M76" s="16" t="s">
        <v>35</v>
      </c>
      <c r="N76" s="17">
        <v>46303.762222222227</v>
      </c>
      <c r="O76" s="16">
        <v>360</v>
      </c>
      <c r="P76" s="16" t="s">
        <v>25</v>
      </c>
      <c r="Q76" s="16">
        <v>190</v>
      </c>
      <c r="R76" s="3" t="str">
        <f>IF(OR(G76="12R",G76="12L"),_xlfn.XLOOKUP(C76,Tabla42[ADEP],Tabla42[SID 12R],""),IF(OR(G76="30L",G76="30R"),_xlfn.XLOOKUP(C76,Tabla42[ADEP],Tabla42[SID 30L],""),""))</f>
        <v>UDGUV</v>
      </c>
      <c r="S76" s="3">
        <f t="shared" si="1"/>
        <v>17</v>
      </c>
      <c r="T76" s="3" t="str">
        <f>_xlfn.XLOOKUP(C76,Tabla42[ADEP],Tabla42[Sector],"")</f>
        <v>Sector 2</v>
      </c>
    </row>
    <row r="77" spans="1:20" x14ac:dyDescent="0.2">
      <c r="A77" s="16" t="s">
        <v>3027</v>
      </c>
      <c r="B77" s="16" t="s">
        <v>18</v>
      </c>
      <c r="C77" s="16" t="s">
        <v>190</v>
      </c>
      <c r="D77" s="16" t="s">
        <v>33</v>
      </c>
      <c r="E77" s="16" t="s">
        <v>3028</v>
      </c>
      <c r="F77" s="17">
        <v>46303.717280092591</v>
      </c>
      <c r="G77" s="16" t="s">
        <v>21</v>
      </c>
      <c r="H77" s="16" t="s">
        <v>191</v>
      </c>
      <c r="I77" s="16">
        <v>370</v>
      </c>
      <c r="J77" s="16" t="s">
        <v>22</v>
      </c>
      <c r="K77" s="16" t="s">
        <v>23</v>
      </c>
      <c r="L77" s="16">
        <v>136</v>
      </c>
      <c r="M77" s="16" t="s">
        <v>39</v>
      </c>
      <c r="N77" s="17">
        <v>46303.726261574076</v>
      </c>
      <c r="O77" s="16">
        <v>286</v>
      </c>
      <c r="P77" s="16" t="s">
        <v>25</v>
      </c>
      <c r="Q77" s="16">
        <v>190</v>
      </c>
      <c r="R77" s="3" t="str">
        <f>IF(OR(G77="12R",G77="12L"),_xlfn.XLOOKUP(C77,Tabla42[ADEP],Tabla42[SID 12R],""),IF(OR(G77="30L",G77="30R"),_xlfn.XLOOKUP(C77,Tabla42[ADEP],Tabla42[SID 30L],""),""))</f>
        <v>NUDAL</v>
      </c>
      <c r="S77" s="3">
        <f t="shared" si="1"/>
        <v>17</v>
      </c>
      <c r="T77" s="3" t="str">
        <f>_xlfn.XLOOKUP(C77,Tabla42[ADEP],Tabla42[Sector],"")</f>
        <v>Sector 3</v>
      </c>
    </row>
    <row r="78" spans="1:20" x14ac:dyDescent="0.2">
      <c r="A78" s="16" t="s">
        <v>3029</v>
      </c>
      <c r="B78" s="16" t="s">
        <v>18</v>
      </c>
      <c r="C78" s="16" t="s">
        <v>209</v>
      </c>
      <c r="D78" s="16" t="s">
        <v>124</v>
      </c>
      <c r="E78" s="16"/>
      <c r="F78" s="17">
        <v>46303.718773148154</v>
      </c>
      <c r="G78" s="16" t="s">
        <v>21</v>
      </c>
      <c r="H78" s="16" t="s">
        <v>3030</v>
      </c>
      <c r="I78" s="16">
        <v>360</v>
      </c>
      <c r="J78" s="16" t="s">
        <v>22</v>
      </c>
      <c r="K78" s="16" t="s">
        <v>50</v>
      </c>
      <c r="L78" s="16">
        <v>842</v>
      </c>
      <c r="M78" s="16" t="s">
        <v>3031</v>
      </c>
      <c r="N78" s="17">
        <v>46303.772037037037</v>
      </c>
      <c r="O78" s="16">
        <v>400</v>
      </c>
      <c r="P78" s="16" t="s">
        <v>25</v>
      </c>
      <c r="Q78" s="16">
        <v>30</v>
      </c>
      <c r="R78" s="3" t="str">
        <f>IF(OR(G78="12R",G78="12L"),_xlfn.XLOOKUP(C78,Tabla42[ADEP],Tabla42[SID 12R],""),IF(OR(G78="30L",G78="30R"),_xlfn.XLOOKUP(C78,Tabla42[ADEP],Tabla42[SID 30L],""),""))</f>
        <v>ENEBA</v>
      </c>
      <c r="S78" s="3">
        <f t="shared" si="1"/>
        <v>17</v>
      </c>
      <c r="T78" s="3" t="str">
        <f>_xlfn.XLOOKUP(C78,Tabla42[ADEP],Tabla42[Sector],"")</f>
        <v>Sector 3</v>
      </c>
    </row>
    <row r="79" spans="1:20" x14ac:dyDescent="0.2">
      <c r="A79" s="16" t="s">
        <v>183</v>
      </c>
      <c r="B79" s="16" t="s">
        <v>18</v>
      </c>
      <c r="C79" s="16" t="s">
        <v>184</v>
      </c>
      <c r="D79" s="16" t="s">
        <v>60</v>
      </c>
      <c r="E79" s="16" t="s">
        <v>3032</v>
      </c>
      <c r="F79" s="17">
        <v>46303.720231481479</v>
      </c>
      <c r="G79" s="16" t="s">
        <v>21</v>
      </c>
      <c r="H79" s="16" t="s">
        <v>3033</v>
      </c>
      <c r="I79" s="16">
        <v>370</v>
      </c>
      <c r="J79" s="16" t="s">
        <v>22</v>
      </c>
      <c r="K79" s="16" t="s">
        <v>23</v>
      </c>
      <c r="L79" s="16">
        <v>136</v>
      </c>
      <c r="M79" s="16" t="s">
        <v>39</v>
      </c>
      <c r="N79" s="17">
        <v>46303.728935185187</v>
      </c>
      <c r="O79" s="16">
        <v>231</v>
      </c>
      <c r="P79" s="16" t="s">
        <v>25</v>
      </c>
      <c r="Q79" s="16">
        <v>190</v>
      </c>
      <c r="R79" s="3" t="str">
        <f>IF(OR(G79="12R",G79="12L"),_xlfn.XLOOKUP(C79,Tabla42[ADEP],Tabla42[SID 12R],""),IF(OR(G79="30L",G79="30R"),_xlfn.XLOOKUP(C79,Tabla42[ADEP],Tabla42[SID 30L],""),""))</f>
        <v>OMSUK</v>
      </c>
      <c r="S79" s="3">
        <f t="shared" si="1"/>
        <v>17</v>
      </c>
      <c r="T79" s="3" t="str">
        <f>_xlfn.XLOOKUP(C79,Tabla42[ADEP],Tabla42[Sector],"")</f>
        <v>Sector 3</v>
      </c>
    </row>
    <row r="80" spans="1:20" x14ac:dyDescent="0.2">
      <c r="A80" s="16" t="s">
        <v>187</v>
      </c>
      <c r="B80" s="16" t="s">
        <v>18</v>
      </c>
      <c r="C80" s="16" t="s">
        <v>188</v>
      </c>
      <c r="D80" s="16" t="s">
        <v>117</v>
      </c>
      <c r="E80" s="16" t="s">
        <v>3034</v>
      </c>
      <c r="F80" s="17">
        <v>46303.721319444448</v>
      </c>
      <c r="G80" s="16" t="s">
        <v>21</v>
      </c>
      <c r="H80" s="16" t="s">
        <v>3035</v>
      </c>
      <c r="I80" s="16">
        <v>340</v>
      </c>
      <c r="J80" s="16" t="s">
        <v>22</v>
      </c>
      <c r="K80" s="16" t="s">
        <v>23</v>
      </c>
      <c r="L80" s="16">
        <v>744</v>
      </c>
      <c r="M80" s="16" t="s">
        <v>210</v>
      </c>
      <c r="N80" s="17">
        <v>46303.761122685188</v>
      </c>
      <c r="O80" s="16">
        <v>340</v>
      </c>
      <c r="P80" s="16" t="s">
        <v>25</v>
      </c>
      <c r="Q80" s="16">
        <v>190</v>
      </c>
      <c r="R80" s="3" t="str">
        <f>IF(OR(G80="12R",G80="12L"),_xlfn.XLOOKUP(C80,Tabla42[ADEP],Tabla42[SID 12R],""),IF(OR(G80="30L",G80="30R"),_xlfn.XLOOKUP(C80,Tabla42[ADEP],Tabla42[SID 30L],""),""))</f>
        <v>ENEBA</v>
      </c>
      <c r="S80" s="3">
        <f t="shared" si="1"/>
        <v>17</v>
      </c>
      <c r="T80" s="3" t="str">
        <f>_xlfn.XLOOKUP(C80,Tabla42[ADEP],Tabla42[Sector],"")</f>
        <v>Sector 3</v>
      </c>
    </row>
    <row r="81" spans="1:20" x14ac:dyDescent="0.2">
      <c r="A81" s="16" t="s">
        <v>362</v>
      </c>
      <c r="B81" s="16" t="s">
        <v>18</v>
      </c>
      <c r="C81" s="16" t="s">
        <v>27</v>
      </c>
      <c r="D81" s="16" t="s">
        <v>28</v>
      </c>
      <c r="E81" s="16" t="s">
        <v>3036</v>
      </c>
      <c r="F81" s="17">
        <v>46303.725011574075</v>
      </c>
      <c r="G81" s="16" t="s">
        <v>21</v>
      </c>
      <c r="H81" s="16" t="s">
        <v>3037</v>
      </c>
      <c r="I81" s="16">
        <v>370</v>
      </c>
      <c r="J81" s="16" t="s">
        <v>22</v>
      </c>
      <c r="K81" s="16" t="s">
        <v>23</v>
      </c>
      <c r="L81" s="16">
        <v>136</v>
      </c>
      <c r="M81" s="16" t="s">
        <v>39</v>
      </c>
      <c r="N81" s="17">
        <v>46303.734664351854</v>
      </c>
      <c r="O81" s="16">
        <v>235</v>
      </c>
      <c r="P81" s="16" t="s">
        <v>25</v>
      </c>
      <c r="Q81" s="16">
        <v>190</v>
      </c>
      <c r="R81" s="3" t="str">
        <f>IF(OR(G81="12R",G81="12L"),_xlfn.XLOOKUP(C81,Tabla42[ADEP],Tabla42[SID 12R],""),IF(OR(G81="30L",G81="30R"),_xlfn.XLOOKUP(C81,Tabla42[ADEP],Tabla42[SID 30L],""),""))</f>
        <v>OMSUK</v>
      </c>
      <c r="S81" s="3">
        <f t="shared" si="1"/>
        <v>17</v>
      </c>
      <c r="T81" s="3" t="str">
        <f>_xlfn.XLOOKUP(C81,Tabla42[ADEP],Tabla42[Sector],"")</f>
        <v>Sector 3</v>
      </c>
    </row>
    <row r="82" spans="1:20" x14ac:dyDescent="0.2">
      <c r="A82" s="16" t="s">
        <v>186</v>
      </c>
      <c r="B82" s="16" t="s">
        <v>18</v>
      </c>
      <c r="C82" s="16" t="s">
        <v>121</v>
      </c>
      <c r="D82" s="16" t="s">
        <v>20</v>
      </c>
      <c r="E82" s="16" t="s">
        <v>724</v>
      </c>
      <c r="F82" s="17">
        <v>46303.726145833338</v>
      </c>
      <c r="G82" s="16" t="s">
        <v>21</v>
      </c>
      <c r="H82" s="16" t="s">
        <v>3038</v>
      </c>
      <c r="I82" s="16">
        <v>360</v>
      </c>
      <c r="J82" s="16" t="s">
        <v>22</v>
      </c>
      <c r="K82" s="16" t="s">
        <v>23</v>
      </c>
      <c r="L82" s="16">
        <v>882</v>
      </c>
      <c r="M82" s="16" t="s">
        <v>35</v>
      </c>
      <c r="N82" s="17">
        <v>46303.774143518516</v>
      </c>
      <c r="O82" s="16">
        <v>360</v>
      </c>
      <c r="P82" s="16" t="s">
        <v>25</v>
      </c>
      <c r="Q82" s="16">
        <v>190</v>
      </c>
      <c r="R82" s="3" t="str">
        <f>IF(OR(G82="12R",G82="12L"),_xlfn.XLOOKUP(C82,Tabla42[ADEP],Tabla42[SID 12R],""),IF(OR(G82="30L",G82="30R"),_xlfn.XLOOKUP(C82,Tabla42[ADEP],Tabla42[SID 30L],""),""))</f>
        <v>ENEBA</v>
      </c>
      <c r="S82" s="3">
        <f t="shared" si="1"/>
        <v>17</v>
      </c>
      <c r="T82" s="3" t="str">
        <f>_xlfn.XLOOKUP(C82,Tabla42[ADEP],Tabla42[Sector],"")</f>
        <v>Sector 3</v>
      </c>
    </row>
    <row r="83" spans="1:20" x14ac:dyDescent="0.2">
      <c r="A83" s="16" t="s">
        <v>524</v>
      </c>
      <c r="B83" s="16" t="s">
        <v>18</v>
      </c>
      <c r="C83" s="16" t="s">
        <v>19</v>
      </c>
      <c r="D83" s="16" t="s">
        <v>60</v>
      </c>
      <c r="E83" s="16" t="s">
        <v>2648</v>
      </c>
      <c r="F83" s="17">
        <v>46303.731249999997</v>
      </c>
      <c r="G83" s="16" t="s">
        <v>21</v>
      </c>
      <c r="H83" s="16" t="s">
        <v>3039</v>
      </c>
      <c r="I83" s="16">
        <v>340</v>
      </c>
      <c r="J83" s="16" t="s">
        <v>22</v>
      </c>
      <c r="K83" s="16" t="s">
        <v>141</v>
      </c>
      <c r="L83" s="16">
        <v>888</v>
      </c>
      <c r="M83" s="16" t="s">
        <v>3040</v>
      </c>
      <c r="N83" s="17">
        <v>46303.780497685184</v>
      </c>
      <c r="O83" s="16">
        <v>340</v>
      </c>
      <c r="P83" s="16" t="s">
        <v>25</v>
      </c>
      <c r="Q83" s="16">
        <v>190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16" t="s">
        <v>194</v>
      </c>
      <c r="B84" s="16" t="s">
        <v>18</v>
      </c>
      <c r="C84" s="16" t="s">
        <v>195</v>
      </c>
      <c r="D84" s="16" t="s">
        <v>28</v>
      </c>
      <c r="E84" s="16" t="s">
        <v>1038</v>
      </c>
      <c r="F84" s="17">
        <v>46303.73909722222</v>
      </c>
      <c r="G84" s="16" t="s">
        <v>21</v>
      </c>
      <c r="H84" s="16" t="s">
        <v>3041</v>
      </c>
      <c r="I84" s="16">
        <v>390</v>
      </c>
      <c r="J84" s="16" t="s">
        <v>22</v>
      </c>
      <c r="K84" s="16" t="s">
        <v>23</v>
      </c>
      <c r="L84" s="16">
        <v>150</v>
      </c>
      <c r="M84" s="16" t="s">
        <v>111</v>
      </c>
      <c r="N84" s="17">
        <v>46303.749699074076</v>
      </c>
      <c r="O84" s="16">
        <v>233</v>
      </c>
      <c r="P84" s="16" t="s">
        <v>25</v>
      </c>
      <c r="Q84" s="16">
        <v>190</v>
      </c>
      <c r="R84" s="3" t="str">
        <f>IF(OR(G84="12R",G84="12L"),_xlfn.XLOOKUP(C84,Tabla42[ADEP],Tabla42[SID 12R],""),IF(OR(G84="30L",G84="30R"),_xlfn.XLOOKUP(C84,Tabla42[ADEP],Tabla42[SID 30L],""),""))</f>
        <v>HECAT</v>
      </c>
      <c r="S84" s="3">
        <f t="shared" si="1"/>
        <v>17</v>
      </c>
      <c r="T84" s="3" t="str">
        <f>_xlfn.XLOOKUP(C84,Tabla42[ADEP],Tabla42[Sector],"")</f>
        <v>Sector 7</v>
      </c>
    </row>
    <row r="85" spans="1:20" x14ac:dyDescent="0.2">
      <c r="A85" s="16" t="s">
        <v>214</v>
      </c>
      <c r="B85" s="16" t="s">
        <v>18</v>
      </c>
      <c r="C85" s="16" t="s">
        <v>215</v>
      </c>
      <c r="D85" s="16" t="s">
        <v>60</v>
      </c>
      <c r="E85" s="16" t="s">
        <v>1636</v>
      </c>
      <c r="F85" s="17">
        <v>46303.740057870367</v>
      </c>
      <c r="G85" s="16" t="s">
        <v>21</v>
      </c>
      <c r="H85" s="16" t="s">
        <v>3042</v>
      </c>
      <c r="I85" s="16">
        <v>330</v>
      </c>
      <c r="J85" s="16" t="s">
        <v>22</v>
      </c>
      <c r="K85" s="16" t="s">
        <v>23</v>
      </c>
      <c r="L85" s="16">
        <v>136</v>
      </c>
      <c r="M85" s="16" t="s">
        <v>39</v>
      </c>
      <c r="N85" s="17">
        <v>46303.749675925923</v>
      </c>
      <c r="O85" s="16">
        <v>196</v>
      </c>
      <c r="P85" s="16" t="s">
        <v>25</v>
      </c>
      <c r="Q85" s="16">
        <v>190</v>
      </c>
      <c r="R85" s="3" t="str">
        <f>IF(OR(G85="12R",G85="12L"),_xlfn.XLOOKUP(C85,Tabla42[ADEP],Tabla42[SID 12R],""),IF(OR(G85="30L",G85="30R"),_xlfn.XLOOKUP(C85,Tabla42[ADEP],Tabla42[SID 30L],""),""))</f>
        <v>OMSUK</v>
      </c>
      <c r="S85" s="3">
        <f t="shared" si="1"/>
        <v>17</v>
      </c>
      <c r="T85" s="3" t="str">
        <f>_xlfn.XLOOKUP(C85,Tabla42[ADEP],Tabla42[Sector],"")</f>
        <v>Sector 3</v>
      </c>
    </row>
    <row r="86" spans="1:20" x14ac:dyDescent="0.2">
      <c r="A86" s="16" t="s">
        <v>380</v>
      </c>
      <c r="B86" s="16" t="s">
        <v>18</v>
      </c>
      <c r="C86" s="16" t="s">
        <v>133</v>
      </c>
      <c r="D86" s="16" t="s">
        <v>28</v>
      </c>
      <c r="E86" s="16" t="s">
        <v>3043</v>
      </c>
      <c r="F86" s="17">
        <v>46303.743287037039</v>
      </c>
      <c r="G86" s="16" t="s">
        <v>21</v>
      </c>
      <c r="H86" s="16" t="s">
        <v>3044</v>
      </c>
      <c r="I86" s="16">
        <v>370</v>
      </c>
      <c r="J86" s="16" t="s">
        <v>22</v>
      </c>
      <c r="K86" s="16" t="s">
        <v>23</v>
      </c>
      <c r="L86" s="16">
        <v>136</v>
      </c>
      <c r="M86" s="16" t="s">
        <v>39</v>
      </c>
      <c r="N86" s="17">
        <v>46303.752708333333</v>
      </c>
      <c r="O86" s="16">
        <v>224</v>
      </c>
      <c r="P86" s="16" t="s">
        <v>25</v>
      </c>
      <c r="Q86" s="16">
        <v>190</v>
      </c>
      <c r="R86" s="3" t="str">
        <f>IF(OR(G86="12R",G86="12L"),_xlfn.XLOOKUP(C86,Tabla42[ADEP],Tabla42[SID 12R],""),IF(OR(G86="30L",G86="30R"),_xlfn.XLOOKUP(C86,Tabla42[ADEP],Tabla42[SID 30L],""),""))</f>
        <v>OMSUK</v>
      </c>
      <c r="S86" s="3">
        <f t="shared" si="1"/>
        <v>17</v>
      </c>
      <c r="T86" s="3" t="str">
        <f>_xlfn.XLOOKUP(C86,Tabla42[ADEP],Tabla42[Sector],"")</f>
        <v>Sector 3</v>
      </c>
    </row>
    <row r="87" spans="1:20" x14ac:dyDescent="0.2">
      <c r="A87" s="16" t="s">
        <v>211</v>
      </c>
      <c r="B87" s="16" t="s">
        <v>18</v>
      </c>
      <c r="C87" s="16" t="s">
        <v>212</v>
      </c>
      <c r="D87" s="16" t="s">
        <v>33</v>
      </c>
      <c r="E87" s="16" t="s">
        <v>3045</v>
      </c>
      <c r="F87" s="17">
        <v>46303.744594907403</v>
      </c>
      <c r="G87" s="16" t="s">
        <v>21</v>
      </c>
      <c r="H87" s="16" t="s">
        <v>3046</v>
      </c>
      <c r="I87" s="16">
        <v>330</v>
      </c>
      <c r="J87" s="16" t="s">
        <v>22</v>
      </c>
      <c r="K87" s="16" t="s">
        <v>23</v>
      </c>
      <c r="L87" s="16">
        <v>150</v>
      </c>
      <c r="M87" s="16" t="s">
        <v>111</v>
      </c>
      <c r="N87" s="17">
        <v>46303.754861111112</v>
      </c>
      <c r="O87" s="16">
        <v>249</v>
      </c>
      <c r="P87" s="16" t="s">
        <v>25</v>
      </c>
      <c r="Q87" s="16">
        <v>190</v>
      </c>
      <c r="R87" s="3" t="str">
        <f>IF(OR(G87="12R",G87="12L"),_xlfn.XLOOKUP(C87,Tabla42[ADEP],Tabla42[SID 12R],""),IF(OR(G87="30L",G87="30R"),_xlfn.XLOOKUP(C87,Tabla42[ADEP],Tabla42[SID 30L],""),""))</f>
        <v>TAKUX</v>
      </c>
      <c r="S87" s="3">
        <f t="shared" si="1"/>
        <v>17</v>
      </c>
      <c r="T87" s="3" t="str">
        <f>_xlfn.XLOOKUP(C87,Tabla42[ADEP],Tabla42[Sector],"")</f>
        <v>Sector 7</v>
      </c>
    </row>
    <row r="88" spans="1:20" x14ac:dyDescent="0.2">
      <c r="A88" s="16" t="s">
        <v>284</v>
      </c>
      <c r="B88" s="16" t="s">
        <v>18</v>
      </c>
      <c r="C88" s="16" t="s">
        <v>137</v>
      </c>
      <c r="D88" s="16" t="s">
        <v>60</v>
      </c>
      <c r="E88" s="16" t="s">
        <v>805</v>
      </c>
      <c r="F88" s="17">
        <v>46303.745787037042</v>
      </c>
      <c r="G88" s="16" t="s">
        <v>21</v>
      </c>
      <c r="H88" s="16" t="s">
        <v>386</v>
      </c>
      <c r="I88" s="16">
        <v>290</v>
      </c>
      <c r="J88" s="16" t="s">
        <v>22</v>
      </c>
      <c r="K88" s="16" t="s">
        <v>23</v>
      </c>
      <c r="L88" s="16">
        <v>136</v>
      </c>
      <c r="M88" s="16" t="s">
        <v>39</v>
      </c>
      <c r="N88" s="17">
        <v>46303.754791666666</v>
      </c>
      <c r="O88" s="16">
        <v>215</v>
      </c>
      <c r="P88" s="16" t="s">
        <v>25</v>
      </c>
      <c r="Q88" s="16">
        <v>190</v>
      </c>
      <c r="R88" s="3" t="str">
        <f>IF(OR(G88="12R",G88="12L"),_xlfn.XLOOKUP(C88,Tabla42[ADEP],Tabla42[SID 12R],""),IF(OR(G88="30L",G88="30R"),_xlfn.XLOOKUP(C88,Tabla42[ADEP],Tabla42[SID 30L],""),""))</f>
        <v>NUDAL</v>
      </c>
      <c r="S88" s="3">
        <f t="shared" si="1"/>
        <v>17</v>
      </c>
      <c r="T88" s="3" t="str">
        <f>_xlfn.XLOOKUP(C88,Tabla42[ADEP],Tabla42[Sector],"")</f>
        <v>Sector 3</v>
      </c>
    </row>
    <row r="89" spans="1:20" x14ac:dyDescent="0.2">
      <c r="A89" s="16" t="s">
        <v>437</v>
      </c>
      <c r="B89" s="16" t="s">
        <v>18</v>
      </c>
      <c r="C89" s="16" t="s">
        <v>438</v>
      </c>
      <c r="D89" s="16" t="s">
        <v>53</v>
      </c>
      <c r="E89" s="16" t="s">
        <v>516</v>
      </c>
      <c r="F89" s="17">
        <v>46303.748043981483</v>
      </c>
      <c r="G89" s="16" t="s">
        <v>21</v>
      </c>
      <c r="H89" s="16" t="s">
        <v>3047</v>
      </c>
      <c r="I89" s="16">
        <v>380</v>
      </c>
      <c r="J89" s="16" t="s">
        <v>22</v>
      </c>
      <c r="K89" s="16" t="s">
        <v>23</v>
      </c>
      <c r="L89" s="16">
        <v>1041</v>
      </c>
      <c r="M89" s="16" t="s">
        <v>439</v>
      </c>
      <c r="N89" s="17">
        <v>46303.803599537037</v>
      </c>
      <c r="O89" s="16">
        <v>228</v>
      </c>
      <c r="P89" s="16" t="s">
        <v>25</v>
      </c>
      <c r="Q89" s="16">
        <v>190</v>
      </c>
      <c r="R89" s="3" t="str">
        <f>IF(OR(G89="12R",G89="12L"),_xlfn.XLOOKUP(C89,Tabla42[ADEP],Tabla42[SID 12R],""),IF(OR(G89="30L",G89="30R"),_xlfn.XLOOKUP(C89,Tabla42[ADEP],Tabla42[SID 30L],""),""))</f>
        <v>UDGUV</v>
      </c>
      <c r="S89" s="3">
        <f t="shared" si="1"/>
        <v>17</v>
      </c>
      <c r="T89" s="3" t="str">
        <f>_xlfn.XLOOKUP(C89,Tabla42[ADEP],Tabla42[Sector],"")</f>
        <v>Sector 2</v>
      </c>
    </row>
    <row r="90" spans="1:20" x14ac:dyDescent="0.2">
      <c r="A90" s="16" t="s">
        <v>523</v>
      </c>
      <c r="B90" s="16" t="s">
        <v>18</v>
      </c>
      <c r="C90" s="16" t="s">
        <v>109</v>
      </c>
      <c r="D90" s="16" t="s">
        <v>122</v>
      </c>
      <c r="E90" s="16" t="s">
        <v>2373</v>
      </c>
      <c r="F90" s="17">
        <v>46303.751817129625</v>
      </c>
      <c r="G90" s="16" t="s">
        <v>21</v>
      </c>
      <c r="H90" s="16" t="s">
        <v>2718</v>
      </c>
      <c r="I90" s="16">
        <v>350</v>
      </c>
      <c r="J90" s="16" t="s">
        <v>22</v>
      </c>
      <c r="K90" s="16" t="s">
        <v>23</v>
      </c>
      <c r="L90" s="16">
        <v>150</v>
      </c>
      <c r="M90" s="16" t="s">
        <v>111</v>
      </c>
      <c r="N90" s="17">
        <v>46303.761886574073</v>
      </c>
      <c r="O90" s="16">
        <v>290</v>
      </c>
      <c r="P90" s="16" t="s">
        <v>25</v>
      </c>
      <c r="Q90" s="16">
        <v>190</v>
      </c>
      <c r="R90" s="3" t="str">
        <f>IF(OR(G90="12R",G90="12L"),_xlfn.XLOOKUP(C90,Tabla42[ADEP],Tabla42[SID 12R],""),IF(OR(G90="30L",G90="30R"),_xlfn.XLOOKUP(C90,Tabla42[ADEP],Tabla42[SID 30L],""),""))</f>
        <v>TAKUX</v>
      </c>
      <c r="S90" s="3">
        <f t="shared" si="1"/>
        <v>18</v>
      </c>
      <c r="T90" s="3" t="str">
        <f>_xlfn.XLOOKUP(C90,Tabla42[ADEP],Tabla42[Sector],"")</f>
        <v>Sector 7</v>
      </c>
    </row>
    <row r="91" spans="1:20" x14ac:dyDescent="0.2">
      <c r="A91" s="16" t="s">
        <v>221</v>
      </c>
      <c r="B91" s="16" t="s">
        <v>18</v>
      </c>
      <c r="C91" s="16" t="s">
        <v>42</v>
      </c>
      <c r="D91" s="16" t="s">
        <v>43</v>
      </c>
      <c r="E91" s="16" t="s">
        <v>120</v>
      </c>
      <c r="F91" s="17">
        <v>46303.752743055556</v>
      </c>
      <c r="G91" s="16" t="s">
        <v>21</v>
      </c>
      <c r="H91" s="16" t="s">
        <v>3048</v>
      </c>
      <c r="I91" s="16">
        <v>360</v>
      </c>
      <c r="J91" s="16" t="s">
        <v>22</v>
      </c>
      <c r="K91" s="16" t="s">
        <v>23</v>
      </c>
      <c r="L91" s="16">
        <v>885</v>
      </c>
      <c r="M91" s="16" t="s">
        <v>2520</v>
      </c>
      <c r="N91" s="17">
        <v>46303.801701388889</v>
      </c>
      <c r="O91" s="16">
        <v>360</v>
      </c>
      <c r="P91" s="16" t="s">
        <v>25</v>
      </c>
      <c r="Q91" s="16">
        <v>190</v>
      </c>
      <c r="R91" s="3" t="str">
        <f>IF(OR(G91="12R",G91="12L"),_xlfn.XLOOKUP(C91,Tabla42[ADEP],Tabla42[SID 12R],""),IF(OR(G91="30L",G91="30R"),_xlfn.XLOOKUP(C91,Tabla42[ADEP],Tabla42[SID 30L],""),""))</f>
        <v>UDGUV</v>
      </c>
      <c r="S91" s="3">
        <f t="shared" si="1"/>
        <v>18</v>
      </c>
      <c r="T91" s="3" t="str">
        <f>_xlfn.XLOOKUP(C91,Tabla42[ADEP],Tabla42[Sector],"")</f>
        <v>Sector 2</v>
      </c>
    </row>
    <row r="92" spans="1:20" x14ac:dyDescent="0.2">
      <c r="A92" s="16" t="s">
        <v>192</v>
      </c>
      <c r="B92" s="16" t="s">
        <v>18</v>
      </c>
      <c r="C92" s="16" t="s">
        <v>193</v>
      </c>
      <c r="D92" s="16" t="s">
        <v>122</v>
      </c>
      <c r="E92" s="16" t="s">
        <v>3049</v>
      </c>
      <c r="F92" s="17">
        <v>46303.753622685181</v>
      </c>
      <c r="G92" s="16" t="s">
        <v>21</v>
      </c>
      <c r="H92" s="16" t="s">
        <v>3050</v>
      </c>
      <c r="I92" s="16">
        <v>370</v>
      </c>
      <c r="J92" s="16" t="s">
        <v>22</v>
      </c>
      <c r="K92" s="16" t="s">
        <v>23</v>
      </c>
      <c r="L92" s="16">
        <v>136</v>
      </c>
      <c r="M92" s="16" t="s">
        <v>39</v>
      </c>
      <c r="N92" s="17">
        <v>46303.76253472222</v>
      </c>
      <c r="O92" s="16">
        <v>262</v>
      </c>
      <c r="P92" s="16" t="s">
        <v>25</v>
      </c>
      <c r="Q92" s="16">
        <v>190</v>
      </c>
      <c r="R92" s="3" t="str">
        <f>IF(OR(G92="12R",G92="12L"),_xlfn.XLOOKUP(C92,Tabla42[ADEP],Tabla42[SID 12R],""),IF(OR(G92="30L",G92="30R"),_xlfn.XLOOKUP(C92,Tabla42[ADEP],Tabla42[SID 30L],""),""))</f>
        <v>ENEBA</v>
      </c>
      <c r="S92" s="3">
        <f t="shared" si="1"/>
        <v>18</v>
      </c>
      <c r="T92" s="3" t="str">
        <f>_xlfn.XLOOKUP(C92,Tabla42[ADEP],Tabla42[Sector],"")</f>
        <v>Sector 3</v>
      </c>
    </row>
    <row r="93" spans="1:20" x14ac:dyDescent="0.2">
      <c r="A93" s="16" t="s">
        <v>213</v>
      </c>
      <c r="B93" s="16" t="s">
        <v>18</v>
      </c>
      <c r="C93" s="16" t="s">
        <v>19</v>
      </c>
      <c r="D93" s="16" t="s">
        <v>33</v>
      </c>
      <c r="E93" s="16" t="s">
        <v>3051</v>
      </c>
      <c r="F93" s="17">
        <v>46303.754421296297</v>
      </c>
      <c r="G93" s="16" t="s">
        <v>21</v>
      </c>
      <c r="H93" s="16" t="s">
        <v>1742</v>
      </c>
      <c r="I93" s="16">
        <v>380</v>
      </c>
      <c r="J93" s="16" t="s">
        <v>22</v>
      </c>
      <c r="K93" s="16" t="s">
        <v>23</v>
      </c>
      <c r="L93" s="16">
        <v>859</v>
      </c>
      <c r="M93" s="16" t="s">
        <v>24</v>
      </c>
      <c r="N93" s="17">
        <v>46303.801886574074</v>
      </c>
      <c r="O93" s="16">
        <v>380</v>
      </c>
      <c r="P93" s="16" t="s">
        <v>25</v>
      </c>
      <c r="Q93" s="16">
        <v>190</v>
      </c>
      <c r="R93" s="3" t="str">
        <f>IF(OR(G93="12R",G93="12L"),_xlfn.XLOOKUP(C93,Tabla42[ADEP],Tabla42[SID 12R],""),IF(OR(G93="30L",G93="30R"),_xlfn.XLOOKUP(C93,Tabla42[ADEP],Tabla42[SID 30L],""),""))</f>
        <v>UDGUV</v>
      </c>
      <c r="S93" s="3">
        <f t="shared" si="1"/>
        <v>18</v>
      </c>
      <c r="T93" s="3" t="str">
        <f>_xlfn.XLOOKUP(C93,Tabla42[ADEP],Tabla42[Sector],"")</f>
        <v>Sector 2</v>
      </c>
    </row>
    <row r="94" spans="1:20" x14ac:dyDescent="0.2">
      <c r="A94" s="16" t="s">
        <v>217</v>
      </c>
      <c r="B94" s="16" t="s">
        <v>18</v>
      </c>
      <c r="C94" s="16" t="s">
        <v>158</v>
      </c>
      <c r="D94" s="16" t="s">
        <v>20</v>
      </c>
      <c r="E94" s="16" t="s">
        <v>3052</v>
      </c>
      <c r="F94" s="17">
        <v>46303.75545138889</v>
      </c>
      <c r="G94" s="16" t="s">
        <v>21</v>
      </c>
      <c r="H94" s="16" t="s">
        <v>3053</v>
      </c>
      <c r="I94" s="16">
        <v>330</v>
      </c>
      <c r="J94" s="16" t="s">
        <v>22</v>
      </c>
      <c r="K94" s="16" t="s">
        <v>23</v>
      </c>
      <c r="L94" s="16">
        <v>133</v>
      </c>
      <c r="M94" s="16" t="s">
        <v>39</v>
      </c>
      <c r="N94" s="17">
        <v>46303.764907407407</v>
      </c>
      <c r="O94" s="16">
        <v>240</v>
      </c>
      <c r="P94" s="16" t="s">
        <v>25</v>
      </c>
      <c r="Q94" s="16">
        <v>190</v>
      </c>
      <c r="R94" s="3" t="str">
        <f>IF(OR(G94="12R",G94="12L"),_xlfn.XLOOKUP(C94,Tabla42[ADEP],Tabla42[SID 12R],""),IF(OR(G94="30L",G94="30R"),_xlfn.XLOOKUP(C94,Tabla42[ADEP],Tabla42[SID 30L],""),""))</f>
        <v>OMSUK</v>
      </c>
      <c r="S94" s="3">
        <f t="shared" si="1"/>
        <v>18</v>
      </c>
      <c r="T94" s="3" t="str">
        <f>_xlfn.XLOOKUP(C94,Tabla42[ADEP],Tabla42[Sector],"")</f>
        <v>Sector 3</v>
      </c>
    </row>
    <row r="95" spans="1:20" x14ac:dyDescent="0.2">
      <c r="A95" s="16" t="s">
        <v>205</v>
      </c>
      <c r="B95" s="16" t="s">
        <v>18</v>
      </c>
      <c r="C95" s="16" t="s">
        <v>206</v>
      </c>
      <c r="D95" s="16" t="s">
        <v>60</v>
      </c>
      <c r="E95" s="16" t="s">
        <v>529</v>
      </c>
      <c r="F95" s="17">
        <v>46303.75680555556</v>
      </c>
      <c r="G95" s="16" t="s">
        <v>21</v>
      </c>
      <c r="H95" s="16" t="s">
        <v>3054</v>
      </c>
      <c r="I95" s="16">
        <v>360</v>
      </c>
      <c r="J95" s="16" t="s">
        <v>22</v>
      </c>
      <c r="K95" s="16" t="s">
        <v>23</v>
      </c>
      <c r="L95" s="16">
        <v>886</v>
      </c>
      <c r="M95" s="16" t="s">
        <v>3055</v>
      </c>
      <c r="N95" s="17">
        <v>46303.805023148147</v>
      </c>
      <c r="O95" s="16">
        <v>360</v>
      </c>
      <c r="P95" s="16" t="s">
        <v>25</v>
      </c>
      <c r="Q95" s="16">
        <v>190</v>
      </c>
      <c r="R95" s="3" t="str">
        <f>IF(OR(G95="12R",G95="12L"),_xlfn.XLOOKUP(C95,Tabla42[ADEP],Tabla42[SID 12R],""),IF(OR(G95="30L",G95="30R"),_xlfn.XLOOKUP(C95,Tabla42[ADEP],Tabla42[SID 30L],""),""))</f>
        <v>UDGUV</v>
      </c>
      <c r="S95" s="3">
        <f t="shared" si="1"/>
        <v>18</v>
      </c>
      <c r="T95" s="3" t="str">
        <f>_xlfn.XLOOKUP(C95,Tabla42[ADEP],Tabla42[Sector],"")</f>
        <v>Sector 2</v>
      </c>
    </row>
    <row r="96" spans="1:20" x14ac:dyDescent="0.2">
      <c r="A96" s="16" t="s">
        <v>2157</v>
      </c>
      <c r="B96" s="16" t="s">
        <v>18</v>
      </c>
      <c r="C96" s="16" t="s">
        <v>188</v>
      </c>
      <c r="D96" s="16" t="s">
        <v>60</v>
      </c>
      <c r="E96" s="16" t="s">
        <v>3056</v>
      </c>
      <c r="F96" s="17">
        <v>46303.7575</v>
      </c>
      <c r="G96" s="16" t="s">
        <v>21</v>
      </c>
      <c r="H96" s="16" t="s">
        <v>3057</v>
      </c>
      <c r="I96" s="16">
        <v>270</v>
      </c>
      <c r="J96" s="16" t="s">
        <v>22</v>
      </c>
      <c r="K96" s="16" t="s">
        <v>23</v>
      </c>
      <c r="L96" s="16">
        <v>136</v>
      </c>
      <c r="M96" s="16" t="s">
        <v>39</v>
      </c>
      <c r="N96" s="17">
        <v>46303.766747685186</v>
      </c>
      <c r="O96" s="16">
        <v>223</v>
      </c>
      <c r="P96" s="16" t="s">
        <v>25</v>
      </c>
      <c r="Q96" s="16">
        <v>190</v>
      </c>
      <c r="R96" s="3" t="str">
        <f>IF(OR(G96="12R",G96="12L"),_xlfn.XLOOKUP(C96,Tabla42[ADEP],Tabla42[SID 12R],""),IF(OR(G96="30L",G96="30R"),_xlfn.XLOOKUP(C96,Tabla42[ADEP],Tabla42[SID 30L],""),""))</f>
        <v>ENEBA</v>
      </c>
      <c r="S96" s="3">
        <f t="shared" si="1"/>
        <v>18</v>
      </c>
      <c r="T96" s="3" t="str">
        <f>_xlfn.XLOOKUP(C96,Tabla42[ADEP],Tabla42[Sector],"")</f>
        <v>Sector 3</v>
      </c>
    </row>
    <row r="97" spans="1:20" x14ac:dyDescent="0.2">
      <c r="A97" s="16" t="s">
        <v>222</v>
      </c>
      <c r="B97" s="16" t="s">
        <v>18</v>
      </c>
      <c r="C97" s="16" t="s">
        <v>223</v>
      </c>
      <c r="D97" s="16" t="s">
        <v>110</v>
      </c>
      <c r="E97" s="16" t="s">
        <v>3058</v>
      </c>
      <c r="F97" s="17">
        <v>46303.759189814809</v>
      </c>
      <c r="G97" s="16" t="s">
        <v>21</v>
      </c>
      <c r="H97" s="16" t="s">
        <v>3059</v>
      </c>
      <c r="I97" s="16">
        <v>410</v>
      </c>
      <c r="J97" s="16" t="s">
        <v>22</v>
      </c>
      <c r="K97" s="16" t="s">
        <v>23</v>
      </c>
      <c r="L97" s="16">
        <v>137</v>
      </c>
      <c r="M97" s="16" t="s">
        <v>385</v>
      </c>
      <c r="N97" s="17">
        <v>46303.76767361111</v>
      </c>
      <c r="O97" s="16">
        <v>300</v>
      </c>
      <c r="P97" s="16" t="s">
        <v>25</v>
      </c>
      <c r="Q97" s="16">
        <v>190</v>
      </c>
      <c r="R97" s="3" t="str">
        <f>IF(OR(G97="12R",G97="12L"),_xlfn.XLOOKUP(C97,Tabla42[ADEP],Tabla42[SID 12R],""),IF(OR(G97="30L",G97="30R"),_xlfn.XLOOKUP(C97,Tabla42[ADEP],Tabla42[SID 30L],""),""))</f>
        <v>OMSUK</v>
      </c>
      <c r="S97" s="3">
        <f t="shared" si="1"/>
        <v>18</v>
      </c>
      <c r="T97" s="3" t="str">
        <f>_xlfn.XLOOKUP(C97,Tabla42[ADEP],Tabla42[Sector],"")</f>
        <v>Sector 3</v>
      </c>
    </row>
    <row r="98" spans="1:20" x14ac:dyDescent="0.2">
      <c r="A98" s="16" t="s">
        <v>358</v>
      </c>
      <c r="B98" s="16" t="s">
        <v>18</v>
      </c>
      <c r="C98" s="16" t="s">
        <v>359</v>
      </c>
      <c r="D98" s="16" t="s">
        <v>33</v>
      </c>
      <c r="E98" s="16" t="s">
        <v>3060</v>
      </c>
      <c r="F98" s="17">
        <v>46303.760300925926</v>
      </c>
      <c r="G98" s="16" t="s">
        <v>21</v>
      </c>
      <c r="H98" s="16" t="s">
        <v>3061</v>
      </c>
      <c r="I98" s="16">
        <v>390</v>
      </c>
      <c r="J98" s="16" t="s">
        <v>22</v>
      </c>
      <c r="K98" s="16" t="s">
        <v>23</v>
      </c>
      <c r="L98" s="16">
        <v>135</v>
      </c>
      <c r="M98" s="16" t="s">
        <v>39</v>
      </c>
      <c r="N98" s="17">
        <v>46303.769548611112</v>
      </c>
      <c r="O98" s="16">
        <v>264</v>
      </c>
      <c r="P98" s="16" t="s">
        <v>25</v>
      </c>
      <c r="Q98" s="16">
        <v>190</v>
      </c>
      <c r="R98" s="3" t="str">
        <f>IF(OR(G98="12R",G98="12L"),_xlfn.XLOOKUP(C98,Tabla42[ADEP],Tabla42[SID 12R],""),IF(OR(G98="30L",G98="30R"),_xlfn.XLOOKUP(C98,Tabla42[ADEP],Tabla42[SID 30L],""),""))</f>
        <v>OMSUK</v>
      </c>
      <c r="S98" s="3">
        <f t="shared" si="1"/>
        <v>18</v>
      </c>
      <c r="T98" s="3" t="str">
        <f>_xlfn.XLOOKUP(C98,Tabla42[ADEP],Tabla42[Sector],"")</f>
        <v>Sector 3</v>
      </c>
    </row>
    <row r="99" spans="1:20" x14ac:dyDescent="0.2">
      <c r="A99" s="16" t="s">
        <v>203</v>
      </c>
      <c r="B99" s="16" t="s">
        <v>18</v>
      </c>
      <c r="C99" s="16" t="s">
        <v>204</v>
      </c>
      <c r="D99" s="16" t="s">
        <v>53</v>
      </c>
      <c r="E99" s="16" t="s">
        <v>3062</v>
      </c>
      <c r="F99" s="17">
        <v>46303.763368055559</v>
      </c>
      <c r="G99" s="16" t="s">
        <v>21</v>
      </c>
      <c r="H99" s="16" t="s">
        <v>3063</v>
      </c>
      <c r="I99" s="16">
        <v>370</v>
      </c>
      <c r="J99" s="16" t="s">
        <v>22</v>
      </c>
      <c r="K99" s="16" t="s">
        <v>23</v>
      </c>
      <c r="L99" s="16">
        <v>151</v>
      </c>
      <c r="M99" s="16" t="s">
        <v>111</v>
      </c>
      <c r="N99" s="17">
        <v>46303.773391203707</v>
      </c>
      <c r="O99" s="16">
        <v>268</v>
      </c>
      <c r="P99" s="16" t="s">
        <v>25</v>
      </c>
      <c r="Q99" s="16">
        <v>190</v>
      </c>
      <c r="R99" s="3" t="str">
        <f>IF(OR(G99="12R",G99="12L"),_xlfn.XLOOKUP(C99,Tabla42[ADEP],Tabla42[SID 12R],""),IF(OR(G99="30L",G99="30R"),_xlfn.XLOOKUP(C99,Tabla42[ADEP],Tabla42[SID 30L],""),""))</f>
        <v>TAKUX</v>
      </c>
      <c r="S99" s="3">
        <f t="shared" si="1"/>
        <v>18</v>
      </c>
      <c r="T99" s="3" t="str">
        <f>_xlfn.XLOOKUP(C99,Tabla42[ADEP],Tabla42[Sector],"")</f>
        <v>Sector 7</v>
      </c>
    </row>
    <row r="100" spans="1:20" x14ac:dyDescent="0.2">
      <c r="A100" s="16" t="s">
        <v>244</v>
      </c>
      <c r="B100" s="16" t="s">
        <v>18</v>
      </c>
      <c r="C100" s="16" t="s">
        <v>126</v>
      </c>
      <c r="D100" s="16" t="s">
        <v>60</v>
      </c>
      <c r="E100" s="16" t="s">
        <v>3064</v>
      </c>
      <c r="F100" s="17">
        <v>46303.765775462962</v>
      </c>
      <c r="G100" s="16" t="s">
        <v>21</v>
      </c>
      <c r="H100" s="16" t="s">
        <v>3065</v>
      </c>
      <c r="I100" s="16">
        <v>330</v>
      </c>
      <c r="J100" s="16" t="s">
        <v>22</v>
      </c>
      <c r="K100" s="16" t="s">
        <v>23</v>
      </c>
      <c r="L100" s="16">
        <v>135</v>
      </c>
      <c r="M100" s="16" t="s">
        <v>39</v>
      </c>
      <c r="N100" s="17">
        <v>46303.775057870371</v>
      </c>
      <c r="O100" s="16">
        <v>203</v>
      </c>
      <c r="P100" s="16" t="s">
        <v>25</v>
      </c>
      <c r="Q100" s="16">
        <v>190</v>
      </c>
      <c r="R100" s="3" t="str">
        <f>IF(OR(G100="12R",G100="12L"),_xlfn.XLOOKUP(C100,Tabla42[ADEP],Tabla42[SID 12R],""),IF(OR(G100="30L",G100="30R"),_xlfn.XLOOKUP(C100,Tabla42[ADEP],Tabla42[SID 30L],""),""))</f>
        <v>ENEBA</v>
      </c>
      <c r="S100" s="3">
        <f t="shared" si="1"/>
        <v>18</v>
      </c>
      <c r="T100" s="3" t="str">
        <f>_xlfn.XLOOKUP(C100,Tabla42[ADEP],Tabla42[Sector],"")</f>
        <v>Sector 3</v>
      </c>
    </row>
    <row r="101" spans="1:20" x14ac:dyDescent="0.2">
      <c r="A101" s="16" t="s">
        <v>3066</v>
      </c>
      <c r="B101" s="16" t="s">
        <v>18</v>
      </c>
      <c r="C101" s="16" t="s">
        <v>3067</v>
      </c>
      <c r="D101" s="16" t="s">
        <v>3068</v>
      </c>
      <c r="E101" s="16" t="s">
        <v>3066</v>
      </c>
      <c r="F101" s="17">
        <v>46303.769062499996</v>
      </c>
      <c r="G101" s="16" t="s">
        <v>21</v>
      </c>
      <c r="H101" s="16" t="s">
        <v>3069</v>
      </c>
      <c r="I101" s="16">
        <v>410</v>
      </c>
      <c r="J101" s="16" t="s">
        <v>22</v>
      </c>
      <c r="K101" s="16" t="s">
        <v>50</v>
      </c>
      <c r="L101" s="16">
        <v>221</v>
      </c>
      <c r="M101" s="16" t="s">
        <v>355</v>
      </c>
      <c r="N101" s="17">
        <v>46303.784351851849</v>
      </c>
      <c r="O101" s="16">
        <v>312</v>
      </c>
      <c r="P101" s="16" t="s">
        <v>25</v>
      </c>
      <c r="Q101" s="16">
        <v>40</v>
      </c>
      <c r="R101" s="3" t="str">
        <f>IF(OR(G101="12R",G101="12L"),_xlfn.XLOOKUP(C101,Tabla42[ADEP],Tabla42[SID 12R],""),IF(OR(G101="30L",G101="30R"),_xlfn.XLOOKUP(C101,Tabla42[ADEP],Tabla42[SID 30L],""),""))</f>
        <v/>
      </c>
      <c r="S101" s="3">
        <f t="shared" si="1"/>
        <v>18</v>
      </c>
      <c r="T101" s="3" t="str">
        <f>_xlfn.XLOOKUP(C101,Tabla42[ADEP],Tabla42[Sector],"")</f>
        <v/>
      </c>
    </row>
    <row r="102" spans="1:20" x14ac:dyDescent="0.2">
      <c r="A102" s="16" t="s">
        <v>237</v>
      </c>
      <c r="B102" s="16" t="s">
        <v>18</v>
      </c>
      <c r="C102" s="16" t="s">
        <v>116</v>
      </c>
      <c r="D102" s="16" t="s">
        <v>117</v>
      </c>
      <c r="E102" s="16" t="s">
        <v>3070</v>
      </c>
      <c r="F102" s="17">
        <v>46303.77071759259</v>
      </c>
      <c r="G102" s="16" t="s">
        <v>21</v>
      </c>
      <c r="H102" s="16" t="s">
        <v>3071</v>
      </c>
      <c r="I102" s="16">
        <v>400</v>
      </c>
      <c r="J102" s="16" t="s">
        <v>22</v>
      </c>
      <c r="K102" s="16" t="s">
        <v>23</v>
      </c>
      <c r="L102" s="16">
        <v>778</v>
      </c>
      <c r="M102" s="16" t="s">
        <v>210</v>
      </c>
      <c r="N102" s="17">
        <v>46303.812314814815</v>
      </c>
      <c r="O102" s="16">
        <v>400</v>
      </c>
      <c r="P102" s="16" t="s">
        <v>25</v>
      </c>
      <c r="Q102" s="16">
        <v>190</v>
      </c>
      <c r="R102" s="3" t="str">
        <f>IF(OR(G102="12R",G102="12L"),_xlfn.XLOOKUP(C102,Tabla42[ADEP],Tabla42[SID 12R],""),IF(OR(G102="30L",G102="30R"),_xlfn.XLOOKUP(C102,Tabla42[ADEP],Tabla42[SID 30L],""),""))</f>
        <v>ENEBA</v>
      </c>
      <c r="S102" s="3">
        <f t="shared" si="1"/>
        <v>18</v>
      </c>
      <c r="T102" s="3" t="str">
        <f>_xlfn.XLOOKUP(C102,Tabla42[ADEP],Tabla42[Sector],"")</f>
        <v>Sector 3</v>
      </c>
    </row>
    <row r="103" spans="1:20" x14ac:dyDescent="0.2">
      <c r="A103" s="16" t="s">
        <v>227</v>
      </c>
      <c r="B103" s="16" t="s">
        <v>18</v>
      </c>
      <c r="C103" s="16" t="s">
        <v>133</v>
      </c>
      <c r="D103" s="16" t="s">
        <v>60</v>
      </c>
      <c r="E103" s="16" t="s">
        <v>810</v>
      </c>
      <c r="F103" s="17">
        <v>46303.771481481483</v>
      </c>
      <c r="G103" s="16" t="s">
        <v>21</v>
      </c>
      <c r="H103" s="16" t="s">
        <v>3072</v>
      </c>
      <c r="I103" s="16">
        <v>350</v>
      </c>
      <c r="J103" s="16" t="s">
        <v>22</v>
      </c>
      <c r="K103" s="16" t="s">
        <v>23</v>
      </c>
      <c r="L103" s="16">
        <v>136</v>
      </c>
      <c r="M103" s="16" t="s">
        <v>39</v>
      </c>
      <c r="N103" s="17">
        <v>46303.7809837963</v>
      </c>
      <c r="O103" s="16">
        <v>191</v>
      </c>
      <c r="P103" s="16" t="s">
        <v>25</v>
      </c>
      <c r="Q103" s="16">
        <v>190</v>
      </c>
      <c r="R103" s="3" t="str">
        <f>IF(OR(G103="12R",G103="12L"),_xlfn.XLOOKUP(C103,Tabla42[ADEP],Tabla42[SID 12R],""),IF(OR(G103="30L",G103="30R"),_xlfn.XLOOKUP(C103,Tabla42[ADEP],Tabla42[SID 30L],""),""))</f>
        <v>OMSUK</v>
      </c>
      <c r="S103" s="3">
        <f t="shared" si="1"/>
        <v>18</v>
      </c>
      <c r="T103" s="3" t="str">
        <f>_xlfn.XLOOKUP(C103,Tabla42[ADEP],Tabla42[Sector],"")</f>
        <v>Sector 3</v>
      </c>
    </row>
    <row r="104" spans="1:20" x14ac:dyDescent="0.2">
      <c r="A104" s="16" t="s">
        <v>218</v>
      </c>
      <c r="B104" s="16" t="s">
        <v>18</v>
      </c>
      <c r="C104" s="16" t="s">
        <v>219</v>
      </c>
      <c r="D104" s="16" t="s">
        <v>43</v>
      </c>
      <c r="E104" s="16" t="s">
        <v>481</v>
      </c>
      <c r="F104" s="17">
        <v>46303.772650462968</v>
      </c>
      <c r="G104" s="16" t="s">
        <v>21</v>
      </c>
      <c r="H104" s="16" t="s">
        <v>3073</v>
      </c>
      <c r="I104" s="16">
        <v>320</v>
      </c>
      <c r="J104" s="16" t="s">
        <v>22</v>
      </c>
      <c r="K104" s="16" t="s">
        <v>23</v>
      </c>
      <c r="L104" s="16">
        <v>890</v>
      </c>
      <c r="M104" s="16" t="s">
        <v>35</v>
      </c>
      <c r="N104" s="17">
        <v>46303.820659722223</v>
      </c>
      <c r="O104" s="16">
        <v>320</v>
      </c>
      <c r="P104" s="16" t="s">
        <v>25</v>
      </c>
      <c r="Q104" s="16">
        <v>190</v>
      </c>
      <c r="R104" s="3" t="str">
        <f>IF(OR(G104="12R",G104="12L"),_xlfn.XLOOKUP(C104,Tabla42[ADEP],Tabla42[SID 12R],""),IF(OR(G104="30L",G104="30R"),_xlfn.XLOOKUP(C104,Tabla42[ADEP],Tabla42[SID 30L],""),""))</f>
        <v>UDGUV</v>
      </c>
      <c r="S104" s="3">
        <f t="shared" si="1"/>
        <v>18</v>
      </c>
      <c r="T104" s="3" t="str">
        <f>_xlfn.XLOOKUP(C104,Tabla42[ADEP],Tabla42[Sector],"")</f>
        <v>Sector 2</v>
      </c>
    </row>
    <row r="105" spans="1:20" x14ac:dyDescent="0.2">
      <c r="A105" s="16" t="s">
        <v>597</v>
      </c>
      <c r="B105" s="16" t="s">
        <v>18</v>
      </c>
      <c r="C105" s="16" t="s">
        <v>598</v>
      </c>
      <c r="D105" s="16" t="s">
        <v>122</v>
      </c>
      <c r="E105" s="16" t="s">
        <v>590</v>
      </c>
      <c r="F105" s="17">
        <v>46303.774479166663</v>
      </c>
      <c r="G105" s="16" t="s">
        <v>21</v>
      </c>
      <c r="H105" s="16" t="s">
        <v>3074</v>
      </c>
      <c r="I105" s="16">
        <v>360</v>
      </c>
      <c r="J105" s="16" t="s">
        <v>22</v>
      </c>
      <c r="K105" s="16" t="s">
        <v>23</v>
      </c>
      <c r="L105" s="16">
        <v>935</v>
      </c>
      <c r="M105" s="16" t="s">
        <v>3075</v>
      </c>
      <c r="N105" s="17">
        <v>46303.826354166667</v>
      </c>
      <c r="O105" s="16">
        <v>360</v>
      </c>
      <c r="P105" s="16" t="s">
        <v>25</v>
      </c>
      <c r="Q105" s="16">
        <v>190</v>
      </c>
      <c r="R105" s="3" t="str">
        <f>IF(OR(G105="12R",G105="12L"),_xlfn.XLOOKUP(C105,Tabla42[ADEP],Tabla42[SID 12R],""),IF(OR(G105="30L",G105="30R"),_xlfn.XLOOKUP(C105,Tabla42[ADEP],Tabla42[SID 30L],""),""))</f>
        <v>OMSUK</v>
      </c>
      <c r="S105" s="3">
        <f t="shared" si="1"/>
        <v>18</v>
      </c>
      <c r="T105" s="3" t="str">
        <f>_xlfn.XLOOKUP(C105,Tabla42[ADEP],Tabla42[Sector],"")</f>
        <v>Sector 3</v>
      </c>
    </row>
    <row r="106" spans="1:20" x14ac:dyDescent="0.2">
      <c r="A106" s="16" t="s">
        <v>228</v>
      </c>
      <c r="B106" s="16" t="s">
        <v>18</v>
      </c>
      <c r="C106" s="16" t="s">
        <v>27</v>
      </c>
      <c r="D106" s="16" t="s">
        <v>28</v>
      </c>
      <c r="E106" s="16" t="s">
        <v>3076</v>
      </c>
      <c r="F106" s="17">
        <v>46303.775659722218</v>
      </c>
      <c r="G106" s="16" t="s">
        <v>21</v>
      </c>
      <c r="H106" s="16" t="s">
        <v>3077</v>
      </c>
      <c r="I106" s="16">
        <v>370</v>
      </c>
      <c r="J106" s="16" t="s">
        <v>22</v>
      </c>
      <c r="K106" s="16" t="s">
        <v>23</v>
      </c>
      <c r="L106" s="16">
        <v>222</v>
      </c>
      <c r="M106" s="16" t="s">
        <v>355</v>
      </c>
      <c r="N106" s="17">
        <v>46303.789189814815</v>
      </c>
      <c r="O106" s="16">
        <v>290</v>
      </c>
      <c r="P106" s="16" t="s">
        <v>25</v>
      </c>
      <c r="Q106" s="16">
        <v>40</v>
      </c>
      <c r="R106" s="3" t="str">
        <f>IF(OR(G106="12R",G106="12L"),_xlfn.XLOOKUP(C106,Tabla42[ADEP],Tabla42[SID 12R],""),IF(OR(G106="30L",G106="30R"),_xlfn.XLOOKUP(C106,Tabla42[ADEP],Tabla42[SID 30L],""),""))</f>
        <v>OMSUK</v>
      </c>
      <c r="S106" s="3">
        <f t="shared" si="1"/>
        <v>18</v>
      </c>
      <c r="T106" s="3" t="str">
        <f>_xlfn.XLOOKUP(C106,Tabla42[ADEP],Tabla42[Sector],"")</f>
        <v>Sector 3</v>
      </c>
    </row>
    <row r="107" spans="1:20" x14ac:dyDescent="0.2">
      <c r="A107" s="16" t="s">
        <v>3078</v>
      </c>
      <c r="B107" s="16" t="s">
        <v>18</v>
      </c>
      <c r="C107" s="16" t="s">
        <v>32</v>
      </c>
      <c r="D107" s="16" t="s">
        <v>20</v>
      </c>
      <c r="E107" s="16" t="s">
        <v>57</v>
      </c>
      <c r="F107" s="17">
        <v>46303.777245370366</v>
      </c>
      <c r="G107" s="16" t="s">
        <v>21</v>
      </c>
      <c r="H107" s="16" t="s">
        <v>3079</v>
      </c>
      <c r="I107" s="16">
        <v>340</v>
      </c>
      <c r="J107" s="16" t="s">
        <v>22</v>
      </c>
      <c r="K107" s="16" t="s">
        <v>141</v>
      </c>
      <c r="L107" s="16">
        <v>903</v>
      </c>
      <c r="M107" s="16" t="s">
        <v>3080</v>
      </c>
      <c r="N107" s="17">
        <v>46303.827361111107</v>
      </c>
      <c r="O107" s="16">
        <v>340</v>
      </c>
      <c r="P107" s="16" t="s">
        <v>25</v>
      </c>
      <c r="Q107" s="16">
        <v>190</v>
      </c>
      <c r="R107" s="3" t="str">
        <f>IF(OR(G107="12R",G107="12L"),_xlfn.XLOOKUP(C107,Tabla42[ADEP],Tabla42[SID 12R],""),IF(OR(G107="30L",G107="30R"),_xlfn.XLOOKUP(C107,Tabla42[ADEP],Tabla42[SID 30L],""),""))</f>
        <v>UDGUV</v>
      </c>
      <c r="S107" s="3">
        <f t="shared" si="1"/>
        <v>18</v>
      </c>
      <c r="T107" s="3" t="str">
        <f>_xlfn.XLOOKUP(C107,Tabla42[ADEP],Tabla42[Sector],"")</f>
        <v>Sector 2</v>
      </c>
    </row>
    <row r="108" spans="1:20" x14ac:dyDescent="0.2">
      <c r="A108" s="16" t="s">
        <v>240</v>
      </c>
      <c r="B108" s="16" t="s">
        <v>18</v>
      </c>
      <c r="C108" s="16" t="s">
        <v>116</v>
      </c>
      <c r="D108" s="16" t="s">
        <v>117</v>
      </c>
      <c r="E108" s="16" t="s">
        <v>3081</v>
      </c>
      <c r="F108" s="17">
        <v>46303.782523148147</v>
      </c>
      <c r="G108" s="16" t="s">
        <v>21</v>
      </c>
      <c r="H108" s="16" t="s">
        <v>3082</v>
      </c>
      <c r="I108" s="16">
        <v>380</v>
      </c>
      <c r="J108" s="16" t="s">
        <v>22</v>
      </c>
      <c r="K108" s="16" t="s">
        <v>23</v>
      </c>
      <c r="L108" s="16">
        <v>750</v>
      </c>
      <c r="M108" s="16" t="s">
        <v>210</v>
      </c>
      <c r="N108" s="17">
        <v>46303.822696759264</v>
      </c>
      <c r="O108" s="16">
        <v>380</v>
      </c>
      <c r="P108" s="16" t="s">
        <v>25</v>
      </c>
      <c r="Q108" s="16">
        <v>190</v>
      </c>
      <c r="R108" s="3" t="str">
        <f>IF(OR(G108="12R",G108="12L"),_xlfn.XLOOKUP(C108,Tabla42[ADEP],Tabla42[SID 12R],""),IF(OR(G108="30L",G108="30R"),_xlfn.XLOOKUP(C108,Tabla42[ADEP],Tabla42[SID 30L],""),""))</f>
        <v>ENEBA</v>
      </c>
      <c r="S108" s="3">
        <f t="shared" si="1"/>
        <v>18</v>
      </c>
      <c r="T108" s="3" t="str">
        <f>_xlfn.XLOOKUP(C108,Tabla42[ADEP],Tabla42[Sector],"")</f>
        <v>Sector 3</v>
      </c>
    </row>
    <row r="109" spans="1:20" x14ac:dyDescent="0.2">
      <c r="A109" s="16" t="s">
        <v>445</v>
      </c>
      <c r="B109" s="16" t="s">
        <v>18</v>
      </c>
      <c r="C109" s="16" t="s">
        <v>263</v>
      </c>
      <c r="D109" s="16" t="s">
        <v>28</v>
      </c>
      <c r="E109" s="16" t="s">
        <v>3083</v>
      </c>
      <c r="F109" s="17">
        <v>46303.783379629633</v>
      </c>
      <c r="G109" s="16" t="s">
        <v>21</v>
      </c>
      <c r="H109" s="16" t="s">
        <v>3084</v>
      </c>
      <c r="I109" s="16">
        <v>390</v>
      </c>
      <c r="J109" s="16" t="s">
        <v>22</v>
      </c>
      <c r="K109" s="16" t="s">
        <v>23</v>
      </c>
      <c r="L109" s="16">
        <v>136</v>
      </c>
      <c r="M109" s="16" t="s">
        <v>3015</v>
      </c>
      <c r="N109" s="17">
        <v>46303.79184027778</v>
      </c>
      <c r="O109" s="16">
        <v>239</v>
      </c>
      <c r="P109" s="16" t="s">
        <v>25</v>
      </c>
      <c r="Q109" s="16">
        <v>190</v>
      </c>
      <c r="R109" s="3" t="str">
        <f>IF(OR(G109="12R",G109="12L"),_xlfn.XLOOKUP(C109,Tabla42[ADEP],Tabla42[SID 12R],""),IF(OR(G109="30L",G109="30R"),_xlfn.XLOOKUP(C109,Tabla42[ADEP],Tabla42[SID 30L],""),""))</f>
        <v>OMSUK</v>
      </c>
      <c r="S109" s="3">
        <f t="shared" si="1"/>
        <v>18</v>
      </c>
      <c r="T109" s="3" t="str">
        <f>_xlfn.XLOOKUP(C109,Tabla42[ADEP],Tabla42[Sector],"")</f>
        <v>Sector 3</v>
      </c>
    </row>
    <row r="110" spans="1:20" x14ac:dyDescent="0.2">
      <c r="A110" s="16" t="s">
        <v>495</v>
      </c>
      <c r="B110" s="16" t="s">
        <v>18</v>
      </c>
      <c r="C110" s="16" t="s">
        <v>510</v>
      </c>
      <c r="D110" s="16" t="s">
        <v>458</v>
      </c>
      <c r="E110" s="16"/>
      <c r="F110" s="17">
        <v>46303.78496527778</v>
      </c>
      <c r="G110" s="16" t="s">
        <v>21</v>
      </c>
      <c r="H110" s="16" t="s">
        <v>155</v>
      </c>
      <c r="I110" s="16">
        <v>65</v>
      </c>
      <c r="J110" s="16" t="s">
        <v>130</v>
      </c>
      <c r="K110" s="16" t="s">
        <v>50</v>
      </c>
      <c r="L110" s="16">
        <v>227</v>
      </c>
      <c r="M110" s="16" t="s">
        <v>510</v>
      </c>
      <c r="N110" s="17">
        <v>46303.826192129629</v>
      </c>
      <c r="O110" s="16">
        <v>0</v>
      </c>
      <c r="P110" s="16" t="s">
        <v>129</v>
      </c>
      <c r="Q110" s="16">
        <v>15</v>
      </c>
      <c r="R110" s="3" t="str">
        <f>IF(OR(G110="12R",G110="12L"),_xlfn.XLOOKUP(C110,Tabla42[ADEP],Tabla42[SID 12R],""),IF(OR(G110="30L",G110="30R"),_xlfn.XLOOKUP(C110,Tabla42[ADEP],Tabla42[SID 30L],""),""))</f>
        <v/>
      </c>
      <c r="S110" s="3">
        <f t="shared" si="1"/>
        <v>18</v>
      </c>
      <c r="T110" s="3" t="str">
        <f>_xlfn.XLOOKUP(C110,Tabla42[ADEP],Tabla42[Sector],"")</f>
        <v/>
      </c>
    </row>
    <row r="111" spans="1:20" x14ac:dyDescent="0.2">
      <c r="A111" s="16" t="s">
        <v>460</v>
      </c>
      <c r="B111" s="16" t="s">
        <v>18</v>
      </c>
      <c r="C111" s="16" t="s">
        <v>126</v>
      </c>
      <c r="D111" s="16" t="s">
        <v>20</v>
      </c>
      <c r="E111" s="16" t="s">
        <v>3085</v>
      </c>
      <c r="F111" s="17">
        <v>46303.786956018521</v>
      </c>
      <c r="G111" s="16" t="s">
        <v>21</v>
      </c>
      <c r="H111" s="16" t="s">
        <v>3086</v>
      </c>
      <c r="I111" s="16">
        <v>370</v>
      </c>
      <c r="J111" s="16" t="s">
        <v>22</v>
      </c>
      <c r="K111" s="16" t="s">
        <v>23</v>
      </c>
      <c r="L111" s="16">
        <v>136</v>
      </c>
      <c r="M111" s="16" t="s">
        <v>39</v>
      </c>
      <c r="N111" s="17">
        <v>46303.795694444445</v>
      </c>
      <c r="O111" s="16">
        <v>265</v>
      </c>
      <c r="P111" s="16" t="s">
        <v>25</v>
      </c>
      <c r="Q111" s="16">
        <v>190</v>
      </c>
      <c r="R111" s="3" t="str">
        <f>IF(OR(G111="12R",G111="12L"),_xlfn.XLOOKUP(C111,Tabla42[ADEP],Tabla42[SID 12R],""),IF(OR(G111="30L",G111="30R"),_xlfn.XLOOKUP(C111,Tabla42[ADEP],Tabla42[SID 30L],""),""))</f>
        <v>ENEBA</v>
      </c>
      <c r="S111" s="3">
        <f t="shared" si="1"/>
        <v>18</v>
      </c>
      <c r="T111" s="3" t="str">
        <f>_xlfn.XLOOKUP(C111,Tabla42[ADEP],Tabla42[Sector],"")</f>
        <v>Sector 3</v>
      </c>
    </row>
    <row r="112" spans="1:20" x14ac:dyDescent="0.2">
      <c r="A112" s="16" t="s">
        <v>229</v>
      </c>
      <c r="B112" s="16" t="s">
        <v>18</v>
      </c>
      <c r="C112" s="16" t="s">
        <v>230</v>
      </c>
      <c r="D112" s="16" t="s">
        <v>231</v>
      </c>
      <c r="E112" s="16" t="s">
        <v>591</v>
      </c>
      <c r="F112" s="17">
        <v>46303.788576388892</v>
      </c>
      <c r="G112" s="16" t="s">
        <v>21</v>
      </c>
      <c r="H112" s="16" t="s">
        <v>3087</v>
      </c>
      <c r="I112" s="16">
        <v>100</v>
      </c>
      <c r="J112" s="16" t="s">
        <v>22</v>
      </c>
      <c r="K112" s="16" t="s">
        <v>23</v>
      </c>
      <c r="L112" s="16">
        <v>351</v>
      </c>
      <c r="M112" s="16" t="s">
        <v>230</v>
      </c>
      <c r="N112" s="17">
        <v>46303.854942129634</v>
      </c>
      <c r="O112" s="16">
        <v>0</v>
      </c>
      <c r="P112" s="16" t="s">
        <v>129</v>
      </c>
      <c r="Q112" s="16">
        <v>40</v>
      </c>
      <c r="R112" s="3" t="str">
        <f>IF(OR(G112="12R",G112="12L"),_xlfn.XLOOKUP(C112,Tabla42[ADEP],Tabla42[SID 12R],""),IF(OR(G112="30L",G112="30R"),_xlfn.XLOOKUP(C112,Tabla42[ADEP],Tabla42[SID 30L],""),""))</f>
        <v>CZM</v>
      </c>
      <c r="S112" s="3">
        <f t="shared" si="1"/>
        <v>18</v>
      </c>
      <c r="T112" s="3" t="str">
        <f>_xlfn.XLOOKUP(C112,Tabla42[ADEP],Tabla42[Sector],"")</f>
        <v>Sector 7</v>
      </c>
    </row>
    <row r="113" spans="1:20" x14ac:dyDescent="0.2">
      <c r="A113" s="16" t="s">
        <v>449</v>
      </c>
      <c r="B113" s="16" t="s">
        <v>18</v>
      </c>
      <c r="C113" s="16" t="s">
        <v>96</v>
      </c>
      <c r="D113" s="16" t="s">
        <v>53</v>
      </c>
      <c r="E113" s="16" t="s">
        <v>393</v>
      </c>
      <c r="F113" s="17">
        <v>46303.794317129628</v>
      </c>
      <c r="G113" s="16" t="s">
        <v>21</v>
      </c>
      <c r="H113" s="16" t="s">
        <v>3088</v>
      </c>
      <c r="I113" s="16">
        <v>380</v>
      </c>
      <c r="J113" s="16" t="s">
        <v>22</v>
      </c>
      <c r="K113" s="16" t="s">
        <v>141</v>
      </c>
      <c r="L113" s="16">
        <v>860</v>
      </c>
      <c r="M113" s="16" t="s">
        <v>45</v>
      </c>
      <c r="N113" s="17">
        <v>46303.842546296291</v>
      </c>
      <c r="O113" s="16">
        <v>380</v>
      </c>
      <c r="P113" s="16" t="s">
        <v>25</v>
      </c>
      <c r="Q113" s="16">
        <v>190</v>
      </c>
      <c r="R113" s="3" t="str">
        <f>IF(OR(G113="12R",G113="12L"),_xlfn.XLOOKUP(C113,Tabla42[ADEP],Tabla42[SID 12R],""),IF(OR(G113="30L",G113="30R"),_xlfn.XLOOKUP(C113,Tabla42[ADEP],Tabla42[SID 30L],""),""))</f>
        <v>UDGUV</v>
      </c>
      <c r="S113" s="3">
        <f t="shared" si="1"/>
        <v>19</v>
      </c>
      <c r="T113" s="3" t="str">
        <f>_xlfn.XLOOKUP(C113,Tabla42[ADEP],Tabla42[Sector],"")</f>
        <v>Sector 2</v>
      </c>
    </row>
    <row r="114" spans="1:20" x14ac:dyDescent="0.2">
      <c r="A114" s="16" t="s">
        <v>2076</v>
      </c>
      <c r="B114" s="16" t="s">
        <v>18</v>
      </c>
      <c r="C114" s="16" t="s">
        <v>18</v>
      </c>
      <c r="D114" s="16" t="s">
        <v>2077</v>
      </c>
      <c r="E114" s="16"/>
      <c r="F114" s="17">
        <v>46303.796157407407</v>
      </c>
      <c r="G114" s="16" t="s">
        <v>21</v>
      </c>
      <c r="H114" s="16" t="s">
        <v>3089</v>
      </c>
      <c r="I114" s="16">
        <v>15</v>
      </c>
      <c r="J114" s="16" t="s">
        <v>130</v>
      </c>
      <c r="K114" s="16" t="s">
        <v>50</v>
      </c>
      <c r="L114" s="16">
        <v>82</v>
      </c>
      <c r="M114" s="16" t="s">
        <v>18</v>
      </c>
      <c r="N114" s="17">
        <v>46303.834189814814</v>
      </c>
      <c r="O114" s="16">
        <v>0</v>
      </c>
      <c r="P114" s="16" t="s">
        <v>129</v>
      </c>
      <c r="Q114" s="16">
        <v>15</v>
      </c>
      <c r="R114" s="3" t="str">
        <f>IF(OR(G114="12R",G114="12L"),_xlfn.XLOOKUP(C114,Tabla42[ADEP],Tabla42[SID 12R],""),IF(OR(G114="30L",G114="30R"),_xlfn.XLOOKUP(C114,Tabla42[ADEP],Tabla42[SID 30L],""),""))</f>
        <v/>
      </c>
      <c r="S114" s="3">
        <f t="shared" si="1"/>
        <v>19</v>
      </c>
      <c r="T114" s="3" t="str">
        <f>_xlfn.XLOOKUP(C114,Tabla42[ADEP],Tabla42[Sector],"")</f>
        <v/>
      </c>
    </row>
    <row r="115" spans="1:20" x14ac:dyDescent="0.2">
      <c r="A115" s="16" t="s">
        <v>454</v>
      </c>
      <c r="B115" s="16" t="s">
        <v>18</v>
      </c>
      <c r="C115" s="16" t="s">
        <v>242</v>
      </c>
      <c r="D115" s="16" t="s">
        <v>243</v>
      </c>
      <c r="E115" s="16" t="s">
        <v>3090</v>
      </c>
      <c r="F115" s="17">
        <v>46303.798101851848</v>
      </c>
      <c r="G115" s="16" t="s">
        <v>21</v>
      </c>
      <c r="H115" s="16" t="s">
        <v>3091</v>
      </c>
      <c r="I115" s="16">
        <v>350</v>
      </c>
      <c r="J115" s="16" t="s">
        <v>22</v>
      </c>
      <c r="K115" s="16" t="s">
        <v>23</v>
      </c>
      <c r="L115" s="16">
        <v>136</v>
      </c>
      <c r="M115" s="16" t="s">
        <v>39</v>
      </c>
      <c r="N115" s="17">
        <v>46303.806932870371</v>
      </c>
      <c r="O115" s="16">
        <v>229</v>
      </c>
      <c r="P115" s="16" t="s">
        <v>40</v>
      </c>
      <c r="Q115" s="16">
        <v>190</v>
      </c>
      <c r="R115" s="3" t="str">
        <f>IF(OR(G115="12R",G115="12L"),_xlfn.XLOOKUP(C115,Tabla42[ADEP],Tabla42[SID 12R],""),IF(OR(G115="30L",G115="30R"),_xlfn.XLOOKUP(C115,Tabla42[ADEP],Tabla42[SID 30L],""),""))</f>
        <v>NUDAL</v>
      </c>
      <c r="S115" s="3">
        <f t="shared" si="1"/>
        <v>19</v>
      </c>
      <c r="T115" s="3" t="str">
        <f>_xlfn.XLOOKUP(C115,Tabla42[ADEP],Tabla42[Sector],"")</f>
        <v>Sector 3</v>
      </c>
    </row>
    <row r="116" spans="1:20" x14ac:dyDescent="0.2">
      <c r="A116" s="16" t="s">
        <v>245</v>
      </c>
      <c r="B116" s="16" t="s">
        <v>18</v>
      </c>
      <c r="C116" s="16" t="s">
        <v>109</v>
      </c>
      <c r="D116" s="16" t="s">
        <v>28</v>
      </c>
      <c r="E116" s="16" t="s">
        <v>2717</v>
      </c>
      <c r="F116" s="17">
        <v>46303.799942129626</v>
      </c>
      <c r="G116" s="16" t="s">
        <v>21</v>
      </c>
      <c r="H116" s="16" t="s">
        <v>3092</v>
      </c>
      <c r="I116" s="16">
        <v>350</v>
      </c>
      <c r="J116" s="16" t="s">
        <v>22</v>
      </c>
      <c r="K116" s="16" t="s">
        <v>23</v>
      </c>
      <c r="L116" s="16">
        <v>150</v>
      </c>
      <c r="M116" s="16" t="s">
        <v>111</v>
      </c>
      <c r="N116" s="17">
        <v>46303.810289351852</v>
      </c>
      <c r="O116" s="16">
        <v>242</v>
      </c>
      <c r="P116" s="16" t="s">
        <v>25</v>
      </c>
      <c r="Q116" s="16">
        <v>190</v>
      </c>
      <c r="R116" s="3" t="str">
        <f>IF(OR(G116="12R",G116="12L"),_xlfn.XLOOKUP(C116,Tabla42[ADEP],Tabla42[SID 12R],""),IF(OR(G116="30L",G116="30R"),_xlfn.XLOOKUP(C116,Tabla42[ADEP],Tabla42[SID 30L],""),""))</f>
        <v>TAKUX</v>
      </c>
      <c r="S116" s="3">
        <f t="shared" si="1"/>
        <v>19</v>
      </c>
      <c r="T116" s="3" t="str">
        <f>_xlfn.XLOOKUP(C116,Tabla42[ADEP],Tabla42[Sector],"")</f>
        <v>Sector 7</v>
      </c>
    </row>
    <row r="117" spans="1:20" x14ac:dyDescent="0.2">
      <c r="A117" s="16" t="s">
        <v>171</v>
      </c>
      <c r="B117" s="16" t="s">
        <v>18</v>
      </c>
      <c r="C117" s="16" t="s">
        <v>510</v>
      </c>
      <c r="D117" s="16" t="s">
        <v>172</v>
      </c>
      <c r="E117" s="16"/>
      <c r="F117" s="17">
        <v>46303.80159722222</v>
      </c>
      <c r="G117" s="16" t="s">
        <v>21</v>
      </c>
      <c r="H117" s="16" t="s">
        <v>155</v>
      </c>
      <c r="I117" s="16">
        <v>15</v>
      </c>
      <c r="J117" s="16" t="s">
        <v>130</v>
      </c>
      <c r="K117" s="16" t="s">
        <v>50</v>
      </c>
      <c r="L117" s="16">
        <v>227</v>
      </c>
      <c r="M117" s="16" t="s">
        <v>510</v>
      </c>
      <c r="N117" s="17">
        <v>46303.849641203706</v>
      </c>
      <c r="O117" s="16">
        <v>0</v>
      </c>
      <c r="P117" s="16" t="s">
        <v>129</v>
      </c>
      <c r="Q117" s="16">
        <v>15</v>
      </c>
      <c r="R117" s="3" t="str">
        <f>IF(OR(G117="12R",G117="12L"),_xlfn.XLOOKUP(C117,Tabla42[ADEP],Tabla42[SID 12R],""),IF(OR(G117="30L",G117="30R"),_xlfn.XLOOKUP(C117,Tabla42[ADEP],Tabla42[SID 30L],""),""))</f>
        <v/>
      </c>
      <c r="S117" s="3">
        <f t="shared" si="1"/>
        <v>19</v>
      </c>
      <c r="T117" s="3" t="str">
        <f>_xlfn.XLOOKUP(C117,Tabla42[ADEP],Tabla42[Sector],"")</f>
        <v/>
      </c>
    </row>
    <row r="118" spans="1:20" x14ac:dyDescent="0.2">
      <c r="A118" s="16" t="s">
        <v>247</v>
      </c>
      <c r="B118" s="16" t="s">
        <v>18</v>
      </c>
      <c r="C118" s="16" t="s">
        <v>137</v>
      </c>
      <c r="D118" s="16" t="s">
        <v>122</v>
      </c>
      <c r="E118" s="16" t="s">
        <v>3093</v>
      </c>
      <c r="F118" s="17">
        <v>46303.806018518517</v>
      </c>
      <c r="G118" s="16" t="s">
        <v>21</v>
      </c>
      <c r="H118" s="16" t="s">
        <v>386</v>
      </c>
      <c r="I118" s="16">
        <v>370</v>
      </c>
      <c r="J118" s="16" t="s">
        <v>22</v>
      </c>
      <c r="K118" s="16" t="s">
        <v>23</v>
      </c>
      <c r="L118" s="16">
        <v>136</v>
      </c>
      <c r="M118" s="16" t="s">
        <v>39</v>
      </c>
      <c r="N118" s="17">
        <v>46303.815023148149</v>
      </c>
      <c r="O118" s="16">
        <v>254</v>
      </c>
      <c r="P118" s="16" t="s">
        <v>25</v>
      </c>
      <c r="Q118" s="16">
        <v>190</v>
      </c>
      <c r="R118" s="3" t="str">
        <f>IF(OR(G118="12R",G118="12L"),_xlfn.XLOOKUP(C118,Tabla42[ADEP],Tabla42[SID 12R],""),IF(OR(G118="30L",G118="30R"),_xlfn.XLOOKUP(C118,Tabla42[ADEP],Tabla42[SID 30L],""),""))</f>
        <v>NUDAL</v>
      </c>
      <c r="S118" s="3">
        <f t="shared" si="1"/>
        <v>19</v>
      </c>
      <c r="T118" s="3" t="str">
        <f>_xlfn.XLOOKUP(C118,Tabla42[ADEP],Tabla42[Sector],"")</f>
        <v>Sector 3</v>
      </c>
    </row>
    <row r="119" spans="1:20" x14ac:dyDescent="0.2">
      <c r="A119" s="16" t="s">
        <v>3094</v>
      </c>
      <c r="B119" s="16" t="s">
        <v>18</v>
      </c>
      <c r="C119" s="16" t="s">
        <v>190</v>
      </c>
      <c r="D119" s="16" t="s">
        <v>33</v>
      </c>
      <c r="E119" s="16" t="s">
        <v>2248</v>
      </c>
      <c r="F119" s="17">
        <v>46303.807488425926</v>
      </c>
      <c r="G119" s="16" t="s">
        <v>21</v>
      </c>
      <c r="H119" s="16" t="s">
        <v>191</v>
      </c>
      <c r="I119" s="16">
        <v>390</v>
      </c>
      <c r="J119" s="16" t="s">
        <v>22</v>
      </c>
      <c r="K119" s="16" t="s">
        <v>23</v>
      </c>
      <c r="L119" s="16">
        <v>136</v>
      </c>
      <c r="M119" s="16" t="s">
        <v>39</v>
      </c>
      <c r="N119" s="17">
        <v>46303.816458333335</v>
      </c>
      <c r="O119" s="16">
        <v>276</v>
      </c>
      <c r="P119" s="16" t="s">
        <v>25</v>
      </c>
      <c r="Q119" s="16">
        <v>190</v>
      </c>
      <c r="R119" s="3" t="str">
        <f>IF(OR(G119="12R",G119="12L"),_xlfn.XLOOKUP(C119,Tabla42[ADEP],Tabla42[SID 12R],""),IF(OR(G119="30L",G119="30R"),_xlfn.XLOOKUP(C119,Tabla42[ADEP],Tabla42[SID 30L],""),""))</f>
        <v>NUDAL</v>
      </c>
      <c r="S119" s="3">
        <f t="shared" si="1"/>
        <v>19</v>
      </c>
      <c r="T119" s="3" t="str">
        <f>_xlfn.XLOOKUP(C119,Tabla42[ADEP],Tabla42[Sector],"")</f>
        <v>Sector 3</v>
      </c>
    </row>
    <row r="120" spans="1:20" x14ac:dyDescent="0.2">
      <c r="A120" s="16" t="s">
        <v>452</v>
      </c>
      <c r="B120" s="16" t="s">
        <v>18</v>
      </c>
      <c r="C120" s="16" t="s">
        <v>453</v>
      </c>
      <c r="D120" s="16" t="s">
        <v>28</v>
      </c>
      <c r="E120" s="16" t="s">
        <v>3095</v>
      </c>
      <c r="F120" s="17">
        <v>46303.808657407411</v>
      </c>
      <c r="G120" s="16" t="s">
        <v>21</v>
      </c>
      <c r="H120" s="16" t="s">
        <v>3096</v>
      </c>
      <c r="I120" s="16">
        <v>360</v>
      </c>
      <c r="J120" s="16" t="s">
        <v>22</v>
      </c>
      <c r="K120" s="16" t="s">
        <v>23</v>
      </c>
      <c r="L120" s="16">
        <v>865</v>
      </c>
      <c r="M120" s="16" t="s">
        <v>35</v>
      </c>
      <c r="N120" s="17">
        <v>46303.857187500005</v>
      </c>
      <c r="O120" s="16">
        <v>360</v>
      </c>
      <c r="P120" s="16" t="s">
        <v>25</v>
      </c>
      <c r="Q120" s="16">
        <v>190</v>
      </c>
      <c r="R120" s="3" t="str">
        <f>IF(OR(G120="12R",G120="12L"),_xlfn.XLOOKUP(C120,Tabla42[ADEP],Tabla42[SID 12R],""),IF(OR(G120="30L",G120="30R"),_xlfn.XLOOKUP(C120,Tabla42[ADEP],Tabla42[SID 30L],""),""))</f>
        <v>OMSUK</v>
      </c>
      <c r="S120" s="3">
        <f t="shared" si="1"/>
        <v>19</v>
      </c>
      <c r="T120" s="3" t="str">
        <f>_xlfn.XLOOKUP(C120,Tabla42[ADEP],Tabla42[Sector],"")</f>
        <v>Sector 3</v>
      </c>
    </row>
    <row r="121" spans="1:20" x14ac:dyDescent="0.2">
      <c r="A121" s="16" t="s">
        <v>3097</v>
      </c>
      <c r="B121" s="16" t="s">
        <v>18</v>
      </c>
      <c r="C121" s="16" t="s">
        <v>3098</v>
      </c>
      <c r="D121" s="16" t="s">
        <v>2789</v>
      </c>
      <c r="E121" s="16"/>
      <c r="F121" s="17">
        <v>46303.809641203705</v>
      </c>
      <c r="G121" s="16" t="s">
        <v>21</v>
      </c>
      <c r="H121" s="16" t="s">
        <v>3099</v>
      </c>
      <c r="I121" s="16">
        <v>410</v>
      </c>
      <c r="J121" s="16" t="s">
        <v>22</v>
      </c>
      <c r="K121" s="16" t="s">
        <v>50</v>
      </c>
      <c r="L121" s="16">
        <v>136</v>
      </c>
      <c r="M121" s="16" t="s">
        <v>39</v>
      </c>
      <c r="N121" s="17">
        <v>46303.817939814813</v>
      </c>
      <c r="O121" s="16">
        <v>342</v>
      </c>
      <c r="P121" s="16" t="s">
        <v>25</v>
      </c>
      <c r="Q121" s="16">
        <v>30</v>
      </c>
      <c r="R121" s="3" t="str">
        <f>IF(OR(G121="12R",G121="12L"),_xlfn.XLOOKUP(C121,Tabla42[ADEP],Tabla42[SID 12R],""),IF(OR(G121="30L",G121="30R"),_xlfn.XLOOKUP(C121,Tabla42[ADEP],Tabla42[SID 30L],""),""))</f>
        <v/>
      </c>
      <c r="S121" s="3">
        <f t="shared" si="1"/>
        <v>19</v>
      </c>
      <c r="T121" s="3" t="str">
        <f>_xlfn.XLOOKUP(C121,Tabla42[ADEP],Tabla42[Sector],"")</f>
        <v/>
      </c>
    </row>
    <row r="122" spans="1:20" x14ac:dyDescent="0.2">
      <c r="A122" s="16" t="s">
        <v>253</v>
      </c>
      <c r="B122" s="16" t="s">
        <v>18</v>
      </c>
      <c r="C122" s="16" t="s">
        <v>254</v>
      </c>
      <c r="D122" s="16" t="s">
        <v>20</v>
      </c>
      <c r="E122" s="16" t="s">
        <v>2209</v>
      </c>
      <c r="F122" s="17">
        <v>46303.810925925922</v>
      </c>
      <c r="G122" s="16" t="s">
        <v>21</v>
      </c>
      <c r="H122" s="16" t="s">
        <v>3100</v>
      </c>
      <c r="I122" s="16">
        <v>340</v>
      </c>
      <c r="J122" s="16" t="s">
        <v>22</v>
      </c>
      <c r="K122" s="16" t="s">
        <v>23</v>
      </c>
      <c r="L122" s="16">
        <v>874</v>
      </c>
      <c r="M122" s="16" t="s">
        <v>35</v>
      </c>
      <c r="N122" s="17">
        <v>46303.859282407408</v>
      </c>
      <c r="O122" s="16">
        <v>340</v>
      </c>
      <c r="P122" s="16" t="s">
        <v>25</v>
      </c>
      <c r="Q122" s="16">
        <v>190</v>
      </c>
      <c r="R122" s="3" t="str">
        <f>IF(OR(G122="12R",G122="12L"),_xlfn.XLOOKUP(C122,Tabla42[ADEP],Tabla42[SID 12R],""),IF(OR(G122="30L",G122="30R"),_xlfn.XLOOKUP(C122,Tabla42[ADEP],Tabla42[SID 30L],""),""))</f>
        <v>UDGUV</v>
      </c>
      <c r="S122" s="3">
        <f t="shared" si="1"/>
        <v>19</v>
      </c>
      <c r="T122" s="3" t="str">
        <f>_xlfn.XLOOKUP(C122,Tabla42[ADEP],Tabla42[Sector],"")</f>
        <v>Sector 2</v>
      </c>
    </row>
    <row r="123" spans="1:20" x14ac:dyDescent="0.2">
      <c r="A123" s="16" t="s">
        <v>600</v>
      </c>
      <c r="B123" s="16" t="s">
        <v>18</v>
      </c>
      <c r="C123" s="16" t="s">
        <v>293</v>
      </c>
      <c r="D123" s="16" t="s">
        <v>20</v>
      </c>
      <c r="E123" s="16" t="s">
        <v>3101</v>
      </c>
      <c r="F123" s="17">
        <v>46303.812337962961</v>
      </c>
      <c r="G123" s="16" t="s">
        <v>21</v>
      </c>
      <c r="H123" s="16" t="s">
        <v>3102</v>
      </c>
      <c r="I123" s="16">
        <v>360</v>
      </c>
      <c r="J123" s="16" t="s">
        <v>22</v>
      </c>
      <c r="K123" s="16" t="s">
        <v>23</v>
      </c>
      <c r="L123" s="16">
        <v>895</v>
      </c>
      <c r="M123" s="16" t="s">
        <v>2099</v>
      </c>
      <c r="N123" s="17">
        <v>46303.860868055555</v>
      </c>
      <c r="O123" s="16">
        <v>320</v>
      </c>
      <c r="P123" s="16" t="s">
        <v>25</v>
      </c>
      <c r="Q123" s="16">
        <v>190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16" t="s">
        <v>199</v>
      </c>
      <c r="B124" s="16" t="s">
        <v>18</v>
      </c>
      <c r="C124" s="16" t="s">
        <v>200</v>
      </c>
      <c r="D124" s="16" t="s">
        <v>110</v>
      </c>
      <c r="E124" s="16" t="s">
        <v>2603</v>
      </c>
      <c r="F124" s="17">
        <v>46303.813125000001</v>
      </c>
      <c r="G124" s="16" t="s">
        <v>21</v>
      </c>
      <c r="H124" s="16" t="s">
        <v>3103</v>
      </c>
      <c r="I124" s="16">
        <v>390</v>
      </c>
      <c r="J124" s="16" t="s">
        <v>22</v>
      </c>
      <c r="K124" s="16" t="s">
        <v>23</v>
      </c>
      <c r="L124" s="16">
        <v>213</v>
      </c>
      <c r="M124" s="16" t="s">
        <v>355</v>
      </c>
      <c r="N124" s="17">
        <v>46303.825844907406</v>
      </c>
      <c r="O124" s="16">
        <v>352</v>
      </c>
      <c r="P124" s="16" t="s">
        <v>25</v>
      </c>
      <c r="Q124" s="16">
        <v>40</v>
      </c>
      <c r="R124" s="3" t="str">
        <f>IF(OR(G124="12R",G124="12L"),_xlfn.XLOOKUP(C124,Tabla42[ADEP],Tabla42[SID 12R],""),IF(OR(G124="30L",G124="30R"),_xlfn.XLOOKUP(C124,Tabla42[ADEP],Tabla42[SID 30L],""),""))</f>
        <v>OMSUK</v>
      </c>
      <c r="S124" s="3">
        <f t="shared" si="1"/>
        <v>19</v>
      </c>
      <c r="T124" s="3" t="str">
        <f>_xlfn.XLOOKUP(C124,Tabla42[ADEP],Tabla42[Sector],"")</f>
        <v>Sector 3</v>
      </c>
    </row>
    <row r="125" spans="1:20" x14ac:dyDescent="0.2">
      <c r="A125" s="16" t="s">
        <v>173</v>
      </c>
      <c r="B125" s="16" t="s">
        <v>18</v>
      </c>
      <c r="C125" s="16" t="s">
        <v>18</v>
      </c>
      <c r="D125" s="16" t="s">
        <v>174</v>
      </c>
      <c r="E125" s="16"/>
      <c r="F125" s="17">
        <v>46303.815532407403</v>
      </c>
      <c r="G125" s="16" t="s">
        <v>21</v>
      </c>
      <c r="H125" s="16" t="s">
        <v>3104</v>
      </c>
      <c r="I125" s="16">
        <v>15</v>
      </c>
      <c r="J125" s="16" t="s">
        <v>130</v>
      </c>
      <c r="K125" s="16" t="s">
        <v>50</v>
      </c>
      <c r="L125" s="16">
        <v>76</v>
      </c>
      <c r="M125" s="16" t="s">
        <v>18</v>
      </c>
      <c r="N125" s="17">
        <v>46303.885011574079</v>
      </c>
      <c r="O125" s="16">
        <v>0</v>
      </c>
      <c r="P125" s="16" t="s">
        <v>129</v>
      </c>
      <c r="Q125" s="16">
        <v>15</v>
      </c>
      <c r="R125" s="3" t="str">
        <f>IF(OR(G125="12R",G125="12L"),_xlfn.XLOOKUP(C125,Tabla42[ADEP],Tabla42[SID 12R],""),IF(OR(G125="30L",G125="30R"),_xlfn.XLOOKUP(C125,Tabla42[ADEP],Tabla42[SID 30L],""),""))</f>
        <v/>
      </c>
      <c r="S125" s="3">
        <f t="shared" si="1"/>
        <v>19</v>
      </c>
      <c r="T125" s="3" t="str">
        <f>_xlfn.XLOOKUP(C125,Tabla42[ADEP],Tabla42[Sector],"")</f>
        <v/>
      </c>
    </row>
    <row r="126" spans="1:20" x14ac:dyDescent="0.2">
      <c r="A126" s="16" t="s">
        <v>261</v>
      </c>
      <c r="B126" s="16" t="s">
        <v>18</v>
      </c>
      <c r="C126" s="16" t="s">
        <v>158</v>
      </c>
      <c r="D126" s="16" t="s">
        <v>33</v>
      </c>
      <c r="E126" s="16" t="s">
        <v>1449</v>
      </c>
      <c r="F126" s="17">
        <v>46303.81658564815</v>
      </c>
      <c r="G126" s="16" t="s">
        <v>21</v>
      </c>
      <c r="H126" s="16" t="s">
        <v>3105</v>
      </c>
      <c r="I126" s="16">
        <v>350</v>
      </c>
      <c r="J126" s="16" t="s">
        <v>22</v>
      </c>
      <c r="K126" s="16" t="s">
        <v>23</v>
      </c>
      <c r="L126" s="16">
        <v>136</v>
      </c>
      <c r="M126" s="16" t="s">
        <v>39</v>
      </c>
      <c r="N126" s="17">
        <v>46303.825787037036</v>
      </c>
      <c r="O126" s="16">
        <v>249</v>
      </c>
      <c r="P126" s="16" t="s">
        <v>25</v>
      </c>
      <c r="Q126" s="16">
        <v>190</v>
      </c>
      <c r="R126" s="3" t="str">
        <f>IF(OR(G126="12R",G126="12L"),_xlfn.XLOOKUP(C126,Tabla42[ADEP],Tabla42[SID 12R],""),IF(OR(G126="30L",G126="30R"),_xlfn.XLOOKUP(C126,Tabla42[ADEP],Tabla42[SID 30L],""),""))</f>
        <v>OMSUK</v>
      </c>
      <c r="S126" s="3">
        <f t="shared" si="1"/>
        <v>19</v>
      </c>
      <c r="T126" s="3" t="str">
        <f>_xlfn.XLOOKUP(C126,Tabla42[ADEP],Tabla42[Sector],"")</f>
        <v>Sector 3</v>
      </c>
    </row>
    <row r="127" spans="1:20" x14ac:dyDescent="0.2">
      <c r="A127" s="16" t="s">
        <v>251</v>
      </c>
      <c r="B127" s="16" t="s">
        <v>18</v>
      </c>
      <c r="C127" s="16" t="s">
        <v>126</v>
      </c>
      <c r="D127" s="16" t="s">
        <v>60</v>
      </c>
      <c r="E127" s="16" t="s">
        <v>1868</v>
      </c>
      <c r="F127" s="17">
        <v>46303.817986111113</v>
      </c>
      <c r="G127" s="16" t="s">
        <v>21</v>
      </c>
      <c r="H127" s="16" t="s">
        <v>3106</v>
      </c>
      <c r="I127" s="16">
        <v>330</v>
      </c>
      <c r="J127" s="16" t="s">
        <v>22</v>
      </c>
      <c r="K127" s="16" t="s">
        <v>23</v>
      </c>
      <c r="L127" s="16">
        <v>136</v>
      </c>
      <c r="M127" s="16" t="s">
        <v>39</v>
      </c>
      <c r="N127" s="17">
        <v>46303.827187499999</v>
      </c>
      <c r="O127" s="16">
        <v>211</v>
      </c>
      <c r="P127" s="16" t="s">
        <v>25</v>
      </c>
      <c r="Q127" s="16">
        <v>190</v>
      </c>
      <c r="R127" s="3" t="str">
        <f>IF(OR(G127="12R",G127="12L"),_xlfn.XLOOKUP(C127,Tabla42[ADEP],Tabla42[SID 12R],""),IF(OR(G127="30L",G127="30R"),_xlfn.XLOOKUP(C127,Tabla42[ADEP],Tabla42[SID 30L],""),""))</f>
        <v>ENEBA</v>
      </c>
      <c r="S127" s="3">
        <f t="shared" si="1"/>
        <v>19</v>
      </c>
      <c r="T127" s="3" t="str">
        <f>_xlfn.XLOOKUP(C127,Tabla42[ADEP],Tabla42[Sector],"")</f>
        <v>Sector 3</v>
      </c>
    </row>
    <row r="128" spans="1:20" x14ac:dyDescent="0.2">
      <c r="A128" s="16" t="s">
        <v>235</v>
      </c>
      <c r="B128" s="16" t="s">
        <v>18</v>
      </c>
      <c r="C128" s="16" t="s">
        <v>62</v>
      </c>
      <c r="D128" s="16" t="s">
        <v>33</v>
      </c>
      <c r="E128" s="16" t="s">
        <v>82</v>
      </c>
      <c r="F128" s="17">
        <v>46303.819490740745</v>
      </c>
      <c r="G128" s="16" t="s">
        <v>21</v>
      </c>
      <c r="H128" s="16" t="s">
        <v>3107</v>
      </c>
      <c r="I128" s="16">
        <v>360</v>
      </c>
      <c r="J128" s="16" t="s">
        <v>22</v>
      </c>
      <c r="K128" s="16" t="s">
        <v>23</v>
      </c>
      <c r="L128" s="16">
        <v>871</v>
      </c>
      <c r="M128" s="16" t="s">
        <v>669</v>
      </c>
      <c r="N128" s="17">
        <v>46303.868564814809</v>
      </c>
      <c r="O128" s="16">
        <v>360</v>
      </c>
      <c r="P128" s="16" t="s">
        <v>25</v>
      </c>
      <c r="Q128" s="16">
        <v>190</v>
      </c>
      <c r="R128" s="3" t="str">
        <f>IF(OR(G128="12R",G128="12L"),_xlfn.XLOOKUP(C128,Tabla42[ADEP],Tabla42[SID 12R],""),IF(OR(G128="30L",G128="30R"),_xlfn.XLOOKUP(C128,Tabla42[ADEP],Tabla42[SID 30L],""),""))</f>
        <v>UDGUV</v>
      </c>
      <c r="S128" s="3">
        <f t="shared" si="1"/>
        <v>19</v>
      </c>
      <c r="T128" s="3" t="str">
        <f>_xlfn.XLOOKUP(C128,Tabla42[ADEP],Tabla42[Sector],"")</f>
        <v>Sector 2</v>
      </c>
    </row>
    <row r="129" spans="1:20" x14ac:dyDescent="0.2">
      <c r="A129" s="16" t="s">
        <v>304</v>
      </c>
      <c r="B129" s="16" t="s">
        <v>18</v>
      </c>
      <c r="C129" s="16" t="s">
        <v>305</v>
      </c>
      <c r="D129" s="16" t="s">
        <v>33</v>
      </c>
      <c r="E129" s="16" t="s">
        <v>3108</v>
      </c>
      <c r="F129" s="17">
        <v>46303.820405092592</v>
      </c>
      <c r="G129" s="16" t="s">
        <v>21</v>
      </c>
      <c r="H129" s="16" t="s">
        <v>3109</v>
      </c>
      <c r="I129" s="16">
        <v>350</v>
      </c>
      <c r="J129" s="16" t="s">
        <v>22</v>
      </c>
      <c r="K129" s="16" t="s">
        <v>23</v>
      </c>
      <c r="L129" s="16">
        <v>136</v>
      </c>
      <c r="M129" s="16" t="s">
        <v>39</v>
      </c>
      <c r="N129" s="17">
        <v>46303.829421296294</v>
      </c>
      <c r="O129" s="16">
        <v>234</v>
      </c>
      <c r="P129" s="16" t="s">
        <v>25</v>
      </c>
      <c r="Q129" s="16">
        <v>190</v>
      </c>
      <c r="R129" s="3" t="str">
        <f>IF(OR(G129="12R",G129="12L"),_xlfn.XLOOKUP(C129,Tabla42[ADEP],Tabla42[SID 12R],""),IF(OR(G129="30L",G129="30R"),_xlfn.XLOOKUP(C129,Tabla42[ADEP],Tabla42[SID 30L],""),""))</f>
        <v>OMSUK</v>
      </c>
      <c r="S129" s="3">
        <f t="shared" si="1"/>
        <v>19</v>
      </c>
      <c r="T129" s="3" t="str">
        <f>_xlfn.XLOOKUP(C129,Tabla42[ADEP],Tabla42[Sector],"")</f>
        <v>Sector 3</v>
      </c>
    </row>
    <row r="130" spans="1:20" x14ac:dyDescent="0.2">
      <c r="A130" s="16" t="s">
        <v>246</v>
      </c>
      <c r="B130" s="16" t="s">
        <v>18</v>
      </c>
      <c r="C130" s="16" t="s">
        <v>209</v>
      </c>
      <c r="D130" s="16" t="s">
        <v>28</v>
      </c>
      <c r="E130" s="16" t="s">
        <v>608</v>
      </c>
      <c r="F130" s="17">
        <v>46303.822476851856</v>
      </c>
      <c r="G130" s="16" t="s">
        <v>21</v>
      </c>
      <c r="H130" s="16" t="s">
        <v>3110</v>
      </c>
      <c r="I130" s="16">
        <v>400</v>
      </c>
      <c r="J130" s="16" t="s">
        <v>22</v>
      </c>
      <c r="K130" s="16" t="s">
        <v>23</v>
      </c>
      <c r="L130" s="16">
        <v>775</v>
      </c>
      <c r="M130" s="16" t="s">
        <v>210</v>
      </c>
      <c r="N130" s="17">
        <v>46303.864340277782</v>
      </c>
      <c r="O130" s="16">
        <v>400</v>
      </c>
      <c r="P130" s="16" t="s">
        <v>25</v>
      </c>
      <c r="Q130" s="16">
        <v>190</v>
      </c>
      <c r="R130" s="3" t="str">
        <f>IF(OR(G130="12R",G130="12L"),_xlfn.XLOOKUP(C130,Tabla42[ADEP],Tabla42[SID 12R],""),IF(OR(G130="30L",G130="30R"),_xlfn.XLOOKUP(C130,Tabla42[ADEP],Tabla42[SID 30L],""),""))</f>
        <v>ENEBA</v>
      </c>
      <c r="S130" s="3">
        <f t="shared" si="1"/>
        <v>19</v>
      </c>
      <c r="T130" s="3" t="str">
        <f>_xlfn.XLOOKUP(C130,Tabla42[ADEP],Tabla42[Sector],"")</f>
        <v>Sector 3</v>
      </c>
    </row>
    <row r="131" spans="1:20" x14ac:dyDescent="0.2">
      <c r="A131" s="16" t="s">
        <v>259</v>
      </c>
      <c r="B131" s="16" t="s">
        <v>18</v>
      </c>
      <c r="C131" s="16" t="s">
        <v>32</v>
      </c>
      <c r="D131" s="16" t="s">
        <v>20</v>
      </c>
      <c r="E131" s="16" t="s">
        <v>522</v>
      </c>
      <c r="F131" s="17">
        <v>46303.825509259259</v>
      </c>
      <c r="G131" s="16" t="s">
        <v>21</v>
      </c>
      <c r="H131" s="16" t="s">
        <v>3111</v>
      </c>
      <c r="I131" s="16">
        <v>360</v>
      </c>
      <c r="J131" s="16" t="s">
        <v>22</v>
      </c>
      <c r="K131" s="16" t="s">
        <v>23</v>
      </c>
      <c r="L131" s="16">
        <v>900</v>
      </c>
      <c r="M131" s="16" t="s">
        <v>35</v>
      </c>
      <c r="N131" s="17">
        <v>46303.875162037039</v>
      </c>
      <c r="O131" s="16">
        <v>360</v>
      </c>
      <c r="P131" s="16" t="s">
        <v>25</v>
      </c>
      <c r="Q131" s="16">
        <v>190</v>
      </c>
      <c r="R131" s="3" t="str">
        <f>IF(OR(G131="12R",G131="12L"),_xlfn.XLOOKUP(C131,Tabla42[ADEP],Tabla42[SID 12R],""),IF(OR(G131="30L",G131="30R"),_xlfn.XLOOKUP(C131,Tabla42[ADEP],Tabla42[SID 30L],""),""))</f>
        <v>UDGUV</v>
      </c>
      <c r="S131" s="3">
        <f t="shared" ref="S131:S194" si="2">HOUR(F131)</f>
        <v>19</v>
      </c>
      <c r="T131" s="3" t="str">
        <f>_xlfn.XLOOKUP(C131,Tabla42[ADEP],Tabla42[Sector],"")</f>
        <v>Sector 2</v>
      </c>
    </row>
    <row r="132" spans="1:20" x14ac:dyDescent="0.2">
      <c r="A132" s="16" t="s">
        <v>268</v>
      </c>
      <c r="B132" s="16" t="s">
        <v>18</v>
      </c>
      <c r="C132" s="16" t="s">
        <v>42</v>
      </c>
      <c r="D132" s="16" t="s">
        <v>43</v>
      </c>
      <c r="E132" s="16" t="s">
        <v>515</v>
      </c>
      <c r="F132" s="17">
        <v>46303.826898148152</v>
      </c>
      <c r="G132" s="16" t="s">
        <v>21</v>
      </c>
      <c r="H132" s="16" t="s">
        <v>3112</v>
      </c>
      <c r="I132" s="16">
        <v>360</v>
      </c>
      <c r="J132" s="16" t="s">
        <v>22</v>
      </c>
      <c r="K132" s="16" t="s">
        <v>23</v>
      </c>
      <c r="L132" s="16">
        <v>892</v>
      </c>
      <c r="M132" s="16" t="s">
        <v>786</v>
      </c>
      <c r="N132" s="17">
        <v>46303.876192129625</v>
      </c>
      <c r="O132" s="16">
        <v>360</v>
      </c>
      <c r="P132" s="16" t="s">
        <v>25</v>
      </c>
      <c r="Q132" s="16">
        <v>190</v>
      </c>
      <c r="R132" s="3" t="str">
        <f>IF(OR(G132="12R",G132="12L"),_xlfn.XLOOKUP(C132,Tabla42[ADEP],Tabla42[SID 12R],""),IF(OR(G132="30L",G132="30R"),_xlfn.XLOOKUP(C132,Tabla42[ADEP],Tabla42[SID 30L],""),""))</f>
        <v>UDGUV</v>
      </c>
      <c r="S132" s="3">
        <f t="shared" si="2"/>
        <v>19</v>
      </c>
      <c r="T132" s="3" t="str">
        <f>_xlfn.XLOOKUP(C132,Tabla42[ADEP],Tabla42[Sector],"")</f>
        <v>Sector 2</v>
      </c>
    </row>
    <row r="133" spans="1:20" x14ac:dyDescent="0.2">
      <c r="A133" s="16" t="s">
        <v>278</v>
      </c>
      <c r="B133" s="16" t="s">
        <v>18</v>
      </c>
      <c r="C133" s="16" t="s">
        <v>265</v>
      </c>
      <c r="D133" s="16" t="s">
        <v>33</v>
      </c>
      <c r="E133" s="16" t="s">
        <v>281</v>
      </c>
      <c r="F133" s="17">
        <v>46303.828229166669</v>
      </c>
      <c r="G133" s="16" t="s">
        <v>21</v>
      </c>
      <c r="H133" s="16" t="s">
        <v>3113</v>
      </c>
      <c r="I133" s="16">
        <v>340</v>
      </c>
      <c r="J133" s="16" t="s">
        <v>22</v>
      </c>
      <c r="K133" s="16" t="s">
        <v>23</v>
      </c>
      <c r="L133" s="16">
        <v>871</v>
      </c>
      <c r="M133" s="16" t="s">
        <v>167</v>
      </c>
      <c r="N133" s="17">
        <v>46303.878194444449</v>
      </c>
      <c r="O133" s="16">
        <v>340</v>
      </c>
      <c r="P133" s="16" t="s">
        <v>25</v>
      </c>
      <c r="Q133" s="16">
        <v>190</v>
      </c>
      <c r="R133" s="3" t="str">
        <f>IF(OR(G133="12R",G133="12L"),_xlfn.XLOOKUP(C133,Tabla42[ADEP],Tabla42[SID 12R],""),IF(OR(G133="30L",G133="30R"),_xlfn.XLOOKUP(C133,Tabla42[ADEP],Tabla42[SID 30L],""),""))</f>
        <v>UDGUV</v>
      </c>
      <c r="S133" s="3">
        <f t="shared" si="2"/>
        <v>19</v>
      </c>
      <c r="T133" s="3" t="str">
        <f>_xlfn.XLOOKUP(C133,Tabla42[ADEP],Tabla42[Sector],"")</f>
        <v>Sector 2</v>
      </c>
    </row>
    <row r="134" spans="1:20" x14ac:dyDescent="0.2">
      <c r="A134" s="16" t="s">
        <v>1201</v>
      </c>
      <c r="B134" s="16" t="s">
        <v>18</v>
      </c>
      <c r="C134" s="16" t="s">
        <v>592</v>
      </c>
      <c r="D134" s="16" t="s">
        <v>28</v>
      </c>
      <c r="E134" s="16" t="s">
        <v>1732</v>
      </c>
      <c r="F134" s="17">
        <v>46303.82913194444</v>
      </c>
      <c r="G134" s="16" t="s">
        <v>21</v>
      </c>
      <c r="H134" s="16" t="s">
        <v>3114</v>
      </c>
      <c r="I134" s="16">
        <v>330</v>
      </c>
      <c r="J134" s="16" t="s">
        <v>22</v>
      </c>
      <c r="K134" s="16" t="s">
        <v>23</v>
      </c>
      <c r="L134" s="16">
        <v>216</v>
      </c>
      <c r="M134" s="16" t="s">
        <v>355</v>
      </c>
      <c r="N134" s="17">
        <v>46303.842199074075</v>
      </c>
      <c r="O134" s="16">
        <v>298</v>
      </c>
      <c r="P134" s="16" t="s">
        <v>25</v>
      </c>
      <c r="Q134" s="16">
        <v>40</v>
      </c>
      <c r="R134" s="3" t="str">
        <f>IF(OR(G134="12R",G134="12L"),_xlfn.XLOOKUP(C134,Tabla42[ADEP],Tabla42[SID 12R],""),IF(OR(G134="30L",G134="30R"),_xlfn.XLOOKUP(C134,Tabla42[ADEP],Tabla42[SID 30L],""),""))</f>
        <v>ENEBA</v>
      </c>
      <c r="S134" s="3">
        <f t="shared" si="2"/>
        <v>19</v>
      </c>
      <c r="T134" s="3" t="str">
        <f>_xlfn.XLOOKUP(C134,Tabla42[ADEP],Tabla42[Sector],"")</f>
        <v>Sector 3</v>
      </c>
    </row>
    <row r="135" spans="1:20" x14ac:dyDescent="0.2">
      <c r="A135" s="16" t="s">
        <v>256</v>
      </c>
      <c r="B135" s="16" t="s">
        <v>18</v>
      </c>
      <c r="C135" s="16" t="s">
        <v>257</v>
      </c>
      <c r="D135" s="16" t="s">
        <v>117</v>
      </c>
      <c r="E135" s="16" t="s">
        <v>2130</v>
      </c>
      <c r="F135" s="17">
        <v>46303.83012731481</v>
      </c>
      <c r="G135" s="16" t="s">
        <v>21</v>
      </c>
      <c r="H135" s="16" t="s">
        <v>3115</v>
      </c>
      <c r="I135" s="16">
        <v>300</v>
      </c>
      <c r="J135" s="16" t="s">
        <v>22</v>
      </c>
      <c r="K135" s="16" t="s">
        <v>23</v>
      </c>
      <c r="L135" s="16">
        <v>868</v>
      </c>
      <c r="M135" s="16" t="s">
        <v>167</v>
      </c>
      <c r="N135" s="17">
        <v>46303.87700231481</v>
      </c>
      <c r="O135" s="16">
        <v>300</v>
      </c>
      <c r="P135" s="16" t="s">
        <v>25</v>
      </c>
      <c r="Q135" s="16">
        <v>190</v>
      </c>
      <c r="R135" s="3" t="str">
        <f>IF(OR(G135="12R",G135="12L"),_xlfn.XLOOKUP(C135,Tabla42[ADEP],Tabla42[SID 12R],""),IF(OR(G135="30L",G135="30R"),_xlfn.XLOOKUP(C135,Tabla42[ADEP],Tabla42[SID 30L],""),""))</f>
        <v>UDGUV</v>
      </c>
      <c r="S135" s="3">
        <f t="shared" si="2"/>
        <v>19</v>
      </c>
      <c r="T135" s="3" t="str">
        <f>_xlfn.XLOOKUP(C135,Tabla42[ADEP],Tabla42[Sector],"")</f>
        <v>Sector 2</v>
      </c>
    </row>
    <row r="136" spans="1:20" x14ac:dyDescent="0.2">
      <c r="A136" s="16" t="s">
        <v>387</v>
      </c>
      <c r="B136" s="16" t="s">
        <v>18</v>
      </c>
      <c r="C136" s="16" t="s">
        <v>388</v>
      </c>
      <c r="D136" s="16" t="s">
        <v>60</v>
      </c>
      <c r="E136" s="16" t="s">
        <v>2204</v>
      </c>
      <c r="F136" s="17">
        <v>46303.83185185185</v>
      </c>
      <c r="G136" s="16" t="s">
        <v>21</v>
      </c>
      <c r="H136" s="16" t="s">
        <v>3116</v>
      </c>
      <c r="I136" s="16">
        <v>360</v>
      </c>
      <c r="J136" s="16" t="s">
        <v>22</v>
      </c>
      <c r="K136" s="16" t="s">
        <v>23</v>
      </c>
      <c r="L136" s="16">
        <v>901</v>
      </c>
      <c r="M136" s="16" t="s">
        <v>210</v>
      </c>
      <c r="N136" s="17">
        <v>46303.882094907407</v>
      </c>
      <c r="O136" s="16">
        <v>360</v>
      </c>
      <c r="P136" s="16" t="s">
        <v>25</v>
      </c>
      <c r="Q136" s="16">
        <v>190</v>
      </c>
      <c r="R136" s="3" t="str">
        <f>IF(OR(G136="12R",G136="12L"),_xlfn.XLOOKUP(C136,Tabla42[ADEP],Tabla42[SID 12R],""),IF(OR(G136="30L",G136="30R"),_xlfn.XLOOKUP(C136,Tabla42[ADEP],Tabla42[SID 30L],""),""))</f>
        <v>ENEBA</v>
      </c>
      <c r="S136" s="3">
        <f t="shared" si="2"/>
        <v>19</v>
      </c>
      <c r="T136" s="3" t="str">
        <f>_xlfn.XLOOKUP(C136,Tabla42[ADEP],Tabla42[Sector],"")</f>
        <v>Sector 3</v>
      </c>
    </row>
    <row r="137" spans="1:20" x14ac:dyDescent="0.2">
      <c r="A137" s="16" t="s">
        <v>271</v>
      </c>
      <c r="B137" s="16" t="s">
        <v>18</v>
      </c>
      <c r="C137" s="16" t="s">
        <v>116</v>
      </c>
      <c r="D137" s="16" t="s">
        <v>43</v>
      </c>
      <c r="E137" s="16" t="s">
        <v>3117</v>
      </c>
      <c r="F137" s="17">
        <v>46303.833275462966</v>
      </c>
      <c r="G137" s="16" t="s">
        <v>21</v>
      </c>
      <c r="H137" s="16" t="s">
        <v>3118</v>
      </c>
      <c r="I137" s="16">
        <v>360</v>
      </c>
      <c r="J137" s="16" t="s">
        <v>22</v>
      </c>
      <c r="K137" s="16" t="s">
        <v>23</v>
      </c>
      <c r="L137" s="16">
        <v>889</v>
      </c>
      <c r="M137" s="16" t="s">
        <v>695</v>
      </c>
      <c r="N137" s="17">
        <v>46303.882939814815</v>
      </c>
      <c r="O137" s="16">
        <v>360</v>
      </c>
      <c r="P137" s="16" t="s">
        <v>25</v>
      </c>
      <c r="Q137" s="16">
        <v>190</v>
      </c>
      <c r="R137" s="3" t="str">
        <f>IF(OR(G137="12R",G137="12L"),_xlfn.XLOOKUP(C137,Tabla42[ADEP],Tabla42[SID 12R],""),IF(OR(G137="30L",G137="30R"),_xlfn.XLOOKUP(C137,Tabla42[ADEP],Tabla42[SID 30L],""),""))</f>
        <v>ENEBA</v>
      </c>
      <c r="S137" s="3">
        <f t="shared" si="2"/>
        <v>19</v>
      </c>
      <c r="T137" s="3" t="str">
        <f>_xlfn.XLOOKUP(C137,Tabla42[ADEP],Tabla42[Sector],"")</f>
        <v>Sector 3</v>
      </c>
    </row>
    <row r="138" spans="1:20" x14ac:dyDescent="0.2">
      <c r="A138" s="16" t="s">
        <v>443</v>
      </c>
      <c r="B138" s="16" t="s">
        <v>18</v>
      </c>
      <c r="C138" s="16" t="s">
        <v>444</v>
      </c>
      <c r="D138" s="16" t="s">
        <v>110</v>
      </c>
      <c r="E138" s="16" t="s">
        <v>651</v>
      </c>
      <c r="F138" s="17">
        <v>46303.83430555556</v>
      </c>
      <c r="G138" s="16" t="s">
        <v>21</v>
      </c>
      <c r="H138" s="16" t="s">
        <v>3119</v>
      </c>
      <c r="I138" s="16">
        <v>310</v>
      </c>
      <c r="J138" s="16" t="s">
        <v>22</v>
      </c>
      <c r="K138" s="16" t="s">
        <v>23</v>
      </c>
      <c r="L138" s="16">
        <v>216</v>
      </c>
      <c r="M138" s="16" t="s">
        <v>355</v>
      </c>
      <c r="N138" s="17">
        <v>46303.84674768518</v>
      </c>
      <c r="O138" s="16">
        <v>310</v>
      </c>
      <c r="P138" s="16" t="s">
        <v>25</v>
      </c>
      <c r="Q138" s="16">
        <v>40</v>
      </c>
      <c r="R138" s="3" t="str">
        <f>IF(OR(G138="12R",G138="12L"),_xlfn.XLOOKUP(C138,Tabla42[ADEP],Tabla42[SID 12R],""),IF(OR(G138="30L",G138="30R"),_xlfn.XLOOKUP(C138,Tabla42[ADEP],Tabla42[SID 30L],""),""))</f>
        <v>ENEBA</v>
      </c>
      <c r="S138" s="3">
        <f t="shared" si="2"/>
        <v>20</v>
      </c>
      <c r="T138" s="3" t="str">
        <f>_xlfn.XLOOKUP(C138,Tabla42[ADEP],Tabla42[Sector],"")</f>
        <v>Sector 3</v>
      </c>
    </row>
    <row r="139" spans="1:20" x14ac:dyDescent="0.2">
      <c r="A139" s="16" t="s">
        <v>272</v>
      </c>
      <c r="B139" s="16" t="s">
        <v>18</v>
      </c>
      <c r="C139" s="16" t="s">
        <v>42</v>
      </c>
      <c r="D139" s="16" t="s">
        <v>20</v>
      </c>
      <c r="E139" s="16" t="s">
        <v>819</v>
      </c>
      <c r="F139" s="17">
        <v>46303.835555555561</v>
      </c>
      <c r="G139" s="16" t="s">
        <v>21</v>
      </c>
      <c r="H139" s="16" t="s">
        <v>3120</v>
      </c>
      <c r="I139" s="16">
        <v>340</v>
      </c>
      <c r="J139" s="16" t="s">
        <v>22</v>
      </c>
      <c r="K139" s="16" t="s">
        <v>23</v>
      </c>
      <c r="L139" s="16">
        <v>877</v>
      </c>
      <c r="M139" s="16" t="s">
        <v>3121</v>
      </c>
      <c r="N139" s="17">
        <v>46303.884201388893</v>
      </c>
      <c r="O139" s="16">
        <v>320</v>
      </c>
      <c r="P139" s="16" t="s">
        <v>25</v>
      </c>
      <c r="Q139" s="16">
        <v>190</v>
      </c>
      <c r="R139" s="3" t="str">
        <f>IF(OR(G139="12R",G139="12L"),_xlfn.XLOOKUP(C139,Tabla42[ADEP],Tabla42[SID 12R],""),IF(OR(G139="30L",G139="30R"),_xlfn.XLOOKUP(C139,Tabla42[ADEP],Tabla42[SID 30L],""),""))</f>
        <v>UDGUV</v>
      </c>
      <c r="S139" s="3">
        <f t="shared" si="2"/>
        <v>20</v>
      </c>
      <c r="T139" s="3" t="str">
        <f>_xlfn.XLOOKUP(C139,Tabla42[ADEP],Tabla42[Sector],"")</f>
        <v>Sector 2</v>
      </c>
    </row>
    <row r="140" spans="1:20" x14ac:dyDescent="0.2">
      <c r="A140" s="16" t="s">
        <v>744</v>
      </c>
      <c r="B140" s="16" t="s">
        <v>18</v>
      </c>
      <c r="C140" s="16" t="s">
        <v>188</v>
      </c>
      <c r="D140" s="16" t="s">
        <v>122</v>
      </c>
      <c r="E140" s="16" t="s">
        <v>3122</v>
      </c>
      <c r="F140" s="17">
        <v>46303.836631944447</v>
      </c>
      <c r="G140" s="16" t="s">
        <v>21</v>
      </c>
      <c r="H140" s="16" t="s">
        <v>3123</v>
      </c>
      <c r="I140" s="16">
        <v>370</v>
      </c>
      <c r="J140" s="16" t="s">
        <v>22</v>
      </c>
      <c r="K140" s="16" t="s">
        <v>23</v>
      </c>
      <c r="L140" s="16">
        <v>136</v>
      </c>
      <c r="M140" s="16" t="s">
        <v>39</v>
      </c>
      <c r="N140" s="17">
        <v>46303.845694444448</v>
      </c>
      <c r="O140" s="16">
        <v>211</v>
      </c>
      <c r="P140" s="16" t="s">
        <v>25</v>
      </c>
      <c r="Q140" s="16">
        <v>190</v>
      </c>
      <c r="R140" s="3" t="str">
        <f>IF(OR(G140="12R",G140="12L"),_xlfn.XLOOKUP(C140,Tabla42[ADEP],Tabla42[SID 12R],""),IF(OR(G140="30L",G140="30R"),_xlfn.XLOOKUP(C140,Tabla42[ADEP],Tabla42[SID 30L],""),""))</f>
        <v>ENEBA</v>
      </c>
      <c r="S140" s="3">
        <f t="shared" si="2"/>
        <v>20</v>
      </c>
      <c r="T140" s="3" t="str">
        <f>_xlfn.XLOOKUP(C140,Tabla42[ADEP],Tabla42[Sector],"")</f>
        <v>Sector 3</v>
      </c>
    </row>
    <row r="141" spans="1:20" x14ac:dyDescent="0.2">
      <c r="A141" s="16" t="s">
        <v>274</v>
      </c>
      <c r="B141" s="16" t="s">
        <v>18</v>
      </c>
      <c r="C141" s="16" t="s">
        <v>96</v>
      </c>
      <c r="D141" s="16" t="s">
        <v>53</v>
      </c>
      <c r="E141" s="16" t="s">
        <v>3124</v>
      </c>
      <c r="F141" s="17">
        <v>46303.837870370371</v>
      </c>
      <c r="G141" s="16" t="s">
        <v>21</v>
      </c>
      <c r="H141" s="16" t="s">
        <v>3125</v>
      </c>
      <c r="I141" s="16">
        <v>380</v>
      </c>
      <c r="J141" s="16" t="s">
        <v>22</v>
      </c>
      <c r="K141" s="16" t="s">
        <v>23</v>
      </c>
      <c r="L141" s="16">
        <v>862</v>
      </c>
      <c r="M141" s="16" t="s">
        <v>349</v>
      </c>
      <c r="N141" s="17">
        <v>46303.886203703703</v>
      </c>
      <c r="O141" s="16">
        <v>380</v>
      </c>
      <c r="P141" s="16" t="s">
        <v>25</v>
      </c>
      <c r="Q141" s="16">
        <v>190</v>
      </c>
      <c r="R141" s="3" t="str">
        <f>IF(OR(G141="12R",G141="12L"),_xlfn.XLOOKUP(C141,Tabla42[ADEP],Tabla42[SID 12R],""),IF(OR(G141="30L",G141="30R"),_xlfn.XLOOKUP(C141,Tabla42[ADEP],Tabla42[SID 30L],""),""))</f>
        <v>UDGUV</v>
      </c>
      <c r="S141" s="3">
        <f t="shared" si="2"/>
        <v>20</v>
      </c>
      <c r="T141" s="3" t="str">
        <f>_xlfn.XLOOKUP(C141,Tabla42[ADEP],Tabla42[Sector],"")</f>
        <v>Sector 2</v>
      </c>
    </row>
    <row r="142" spans="1:20" x14ac:dyDescent="0.2">
      <c r="A142" s="16" t="s">
        <v>280</v>
      </c>
      <c r="B142" s="16" t="s">
        <v>18</v>
      </c>
      <c r="C142" s="16" t="s">
        <v>49</v>
      </c>
      <c r="D142" s="16" t="s">
        <v>53</v>
      </c>
      <c r="E142" s="16" t="s">
        <v>666</v>
      </c>
      <c r="F142" s="17">
        <v>46303.845625000002</v>
      </c>
      <c r="G142" s="16" t="s">
        <v>21</v>
      </c>
      <c r="H142" s="16" t="s">
        <v>3126</v>
      </c>
      <c r="I142" s="16">
        <v>380</v>
      </c>
      <c r="J142" s="16" t="s">
        <v>22</v>
      </c>
      <c r="K142" s="16" t="s">
        <v>23</v>
      </c>
      <c r="L142" s="16">
        <v>864</v>
      </c>
      <c r="M142" s="16" t="s">
        <v>1871</v>
      </c>
      <c r="N142" s="17">
        <v>46303.894247685181</v>
      </c>
      <c r="O142" s="16">
        <v>360</v>
      </c>
      <c r="P142" s="16" t="s">
        <v>25</v>
      </c>
      <c r="Q142" s="16">
        <v>190</v>
      </c>
      <c r="R142" s="3" t="str">
        <f>IF(OR(G142="12R",G142="12L"),_xlfn.XLOOKUP(C142,Tabla42[ADEP],Tabla42[SID 12R],""),IF(OR(G142="30L",G142="30R"),_xlfn.XLOOKUP(C142,Tabla42[ADEP],Tabla42[SID 30L],""),""))</f>
        <v>UDGUV</v>
      </c>
      <c r="S142" s="3">
        <f t="shared" si="2"/>
        <v>20</v>
      </c>
      <c r="T142" s="3" t="str">
        <f>_xlfn.XLOOKUP(C142,Tabla42[ADEP],Tabla42[Sector],"")</f>
        <v>Sector 2</v>
      </c>
    </row>
    <row r="143" spans="1:20" x14ac:dyDescent="0.2">
      <c r="A143" s="16" t="s">
        <v>262</v>
      </c>
      <c r="B143" s="16" t="s">
        <v>18</v>
      </c>
      <c r="C143" s="16" t="s">
        <v>263</v>
      </c>
      <c r="D143" s="16" t="s">
        <v>33</v>
      </c>
      <c r="E143" s="16" t="s">
        <v>3127</v>
      </c>
      <c r="F143" s="17">
        <v>46303.851608796293</v>
      </c>
      <c r="G143" s="16" t="s">
        <v>21</v>
      </c>
      <c r="H143" s="16" t="s">
        <v>459</v>
      </c>
      <c r="I143" s="16">
        <v>390</v>
      </c>
      <c r="J143" s="16" t="s">
        <v>22</v>
      </c>
      <c r="K143" s="16" t="s">
        <v>23</v>
      </c>
      <c r="L143" s="16">
        <v>136</v>
      </c>
      <c r="M143" s="16" t="s">
        <v>39</v>
      </c>
      <c r="N143" s="17">
        <v>46303.860289351855</v>
      </c>
      <c r="O143" s="16">
        <v>253</v>
      </c>
      <c r="P143" s="16" t="s">
        <v>25</v>
      </c>
      <c r="Q143" s="16">
        <v>190</v>
      </c>
      <c r="R143" s="3" t="str">
        <f>IF(OR(G143="12R",G143="12L"),_xlfn.XLOOKUP(C143,Tabla42[ADEP],Tabla42[SID 12R],""),IF(OR(G143="30L",G143="30R"),_xlfn.XLOOKUP(C143,Tabla42[ADEP],Tabla42[SID 30L],""),""))</f>
        <v>OMSUK</v>
      </c>
      <c r="S143" s="3">
        <f t="shared" si="2"/>
        <v>20</v>
      </c>
      <c r="T143" s="3" t="str">
        <f>_xlfn.XLOOKUP(C143,Tabla42[ADEP],Tabla42[Sector],"")</f>
        <v>Sector 3</v>
      </c>
    </row>
    <row r="144" spans="1:20" x14ac:dyDescent="0.2">
      <c r="A144" s="16" t="s">
        <v>745</v>
      </c>
      <c r="B144" s="16" t="s">
        <v>18</v>
      </c>
      <c r="C144" s="16" t="s">
        <v>121</v>
      </c>
      <c r="D144" s="16" t="s">
        <v>122</v>
      </c>
      <c r="E144" s="16" t="s">
        <v>3128</v>
      </c>
      <c r="F144" s="17">
        <v>46303.858043981483</v>
      </c>
      <c r="G144" s="16" t="s">
        <v>21</v>
      </c>
      <c r="H144" s="16" t="s">
        <v>3129</v>
      </c>
      <c r="I144" s="16">
        <v>360</v>
      </c>
      <c r="J144" s="16" t="s">
        <v>22</v>
      </c>
      <c r="K144" s="16" t="s">
        <v>23</v>
      </c>
      <c r="L144" s="16">
        <v>844</v>
      </c>
      <c r="M144" s="16" t="s">
        <v>3130</v>
      </c>
      <c r="N144" s="17">
        <v>46303.905138888891</v>
      </c>
      <c r="O144" s="16">
        <v>360</v>
      </c>
      <c r="P144" s="16" t="s">
        <v>25</v>
      </c>
      <c r="Q144" s="16">
        <v>190</v>
      </c>
      <c r="R144" s="3" t="str">
        <f>IF(OR(G144="12R",G144="12L"),_xlfn.XLOOKUP(C144,Tabla42[ADEP],Tabla42[SID 12R],""),IF(OR(G144="30L",G144="30R"),_xlfn.XLOOKUP(C144,Tabla42[ADEP],Tabla42[SID 30L],""),""))</f>
        <v>ENEBA</v>
      </c>
      <c r="S144" s="3">
        <f t="shared" si="2"/>
        <v>20</v>
      </c>
      <c r="T144" s="3" t="str">
        <f>_xlfn.XLOOKUP(C144,Tabla42[ADEP],Tabla42[Sector],"")</f>
        <v>Sector 3</v>
      </c>
    </row>
    <row r="145" spans="1:20" x14ac:dyDescent="0.2">
      <c r="A145" s="16" t="s">
        <v>282</v>
      </c>
      <c r="B145" s="16" t="s">
        <v>18</v>
      </c>
      <c r="C145" s="16" t="s">
        <v>42</v>
      </c>
      <c r="D145" s="16" t="s">
        <v>53</v>
      </c>
      <c r="E145" s="16" t="s">
        <v>610</v>
      </c>
      <c r="F145" s="17">
        <v>46303.859351851846</v>
      </c>
      <c r="G145" s="16" t="s">
        <v>21</v>
      </c>
      <c r="H145" s="16" t="s">
        <v>3131</v>
      </c>
      <c r="I145" s="16">
        <v>380</v>
      </c>
      <c r="J145" s="16" t="s">
        <v>22</v>
      </c>
      <c r="K145" s="16" t="s">
        <v>23</v>
      </c>
      <c r="L145" s="16">
        <v>858</v>
      </c>
      <c r="M145" s="16" t="s">
        <v>2087</v>
      </c>
      <c r="N145" s="17">
        <v>46303.907025462962</v>
      </c>
      <c r="O145" s="16">
        <v>380</v>
      </c>
      <c r="P145" s="16" t="s">
        <v>25</v>
      </c>
      <c r="Q145" s="16">
        <v>190</v>
      </c>
      <c r="R145" s="3" t="str">
        <f>IF(OR(G145="12R",G145="12L"),_xlfn.XLOOKUP(C145,Tabla42[ADEP],Tabla42[SID 12R],""),IF(OR(G145="30L",G145="30R"),_xlfn.XLOOKUP(C145,Tabla42[ADEP],Tabla42[SID 30L],""),""))</f>
        <v>UDGUV</v>
      </c>
      <c r="S145" s="3">
        <f t="shared" si="2"/>
        <v>20</v>
      </c>
      <c r="T145" s="3" t="str">
        <f>_xlfn.XLOOKUP(C145,Tabla42[ADEP],Tabla42[Sector],"")</f>
        <v>Sector 2</v>
      </c>
    </row>
    <row r="146" spans="1:20" x14ac:dyDescent="0.2">
      <c r="A146" s="16" t="s">
        <v>283</v>
      </c>
      <c r="B146" s="16" t="s">
        <v>18</v>
      </c>
      <c r="C146" s="16" t="s">
        <v>126</v>
      </c>
      <c r="D146" s="16" t="s">
        <v>117</v>
      </c>
      <c r="E146" s="16" t="s">
        <v>3132</v>
      </c>
      <c r="F146" s="17">
        <v>46303.860520833332</v>
      </c>
      <c r="G146" s="16" t="s">
        <v>21</v>
      </c>
      <c r="H146" s="16" t="s">
        <v>3133</v>
      </c>
      <c r="I146" s="16">
        <v>330</v>
      </c>
      <c r="J146" s="16" t="s">
        <v>22</v>
      </c>
      <c r="K146" s="16" t="s">
        <v>23</v>
      </c>
      <c r="L146" s="16">
        <v>136</v>
      </c>
      <c r="M146" s="16" t="s">
        <v>39</v>
      </c>
      <c r="N146" s="17">
        <v>46303.86923611111</v>
      </c>
      <c r="O146" s="16">
        <v>231</v>
      </c>
      <c r="P146" s="16" t="s">
        <v>25</v>
      </c>
      <c r="Q146" s="16">
        <v>190</v>
      </c>
      <c r="R146" s="3" t="str">
        <f>IF(OR(G146="12R",G146="12L"),_xlfn.XLOOKUP(C146,Tabla42[ADEP],Tabla42[SID 12R],""),IF(OR(G146="30L",G146="30R"),_xlfn.XLOOKUP(C146,Tabla42[ADEP],Tabla42[SID 30L],""),""))</f>
        <v>ENEBA</v>
      </c>
      <c r="S146" s="3">
        <f t="shared" si="2"/>
        <v>20</v>
      </c>
      <c r="T146" s="3" t="str">
        <f>_xlfn.XLOOKUP(C146,Tabla42[ADEP],Tabla42[Sector],"")</f>
        <v>Sector 3</v>
      </c>
    </row>
    <row r="147" spans="1:20" x14ac:dyDescent="0.2">
      <c r="A147" s="16" t="s">
        <v>3134</v>
      </c>
      <c r="B147" s="16" t="s">
        <v>18</v>
      </c>
      <c r="C147" s="16" t="s">
        <v>703</v>
      </c>
      <c r="D147" s="16" t="s">
        <v>2789</v>
      </c>
      <c r="E147" s="16" t="s">
        <v>3135</v>
      </c>
      <c r="F147" s="17">
        <v>46303.861979166672</v>
      </c>
      <c r="G147" s="16" t="s">
        <v>21</v>
      </c>
      <c r="H147" s="16" t="s">
        <v>3136</v>
      </c>
      <c r="I147" s="16">
        <v>430</v>
      </c>
      <c r="J147" s="16" t="s">
        <v>22</v>
      </c>
      <c r="K147" s="16" t="s">
        <v>50</v>
      </c>
      <c r="L147" s="16">
        <v>868</v>
      </c>
      <c r="M147" s="16" t="s">
        <v>35</v>
      </c>
      <c r="N147" s="17">
        <v>46303.909236111111</v>
      </c>
      <c r="O147" s="16">
        <v>410</v>
      </c>
      <c r="P147" s="16" t="s">
        <v>25</v>
      </c>
      <c r="Q147" s="16">
        <v>30</v>
      </c>
      <c r="R147" s="3" t="str">
        <f>IF(OR(G147="12R",G147="12L"),_xlfn.XLOOKUP(C147,Tabla42[ADEP],Tabla42[SID 12R],""),IF(OR(G147="30L",G147="30R"),_xlfn.XLOOKUP(C147,Tabla42[ADEP],Tabla42[SID 30L],""),""))</f>
        <v>ENEBA</v>
      </c>
      <c r="S147" s="3">
        <f t="shared" si="2"/>
        <v>20</v>
      </c>
      <c r="T147" s="3" t="str">
        <f>_xlfn.XLOOKUP(C147,Tabla42[ADEP],Tabla42[Sector],"")</f>
        <v>Sector 3</v>
      </c>
    </row>
    <row r="148" spans="1:20" x14ac:dyDescent="0.2">
      <c r="A148" s="16" t="s">
        <v>476</v>
      </c>
      <c r="B148" s="16" t="s">
        <v>18</v>
      </c>
      <c r="C148" s="16" t="s">
        <v>188</v>
      </c>
      <c r="D148" s="16" t="s">
        <v>43</v>
      </c>
      <c r="E148" s="16" t="s">
        <v>3137</v>
      </c>
      <c r="F148" s="17">
        <v>46303.868043981478</v>
      </c>
      <c r="G148" s="16" t="s">
        <v>21</v>
      </c>
      <c r="H148" s="16" t="s">
        <v>3138</v>
      </c>
      <c r="I148" s="16">
        <v>340</v>
      </c>
      <c r="J148" s="16" t="s">
        <v>22</v>
      </c>
      <c r="K148" s="16" t="s">
        <v>23</v>
      </c>
      <c r="L148" s="16">
        <v>757</v>
      </c>
      <c r="M148" s="16" t="s">
        <v>210</v>
      </c>
      <c r="N148" s="17">
        <v>46303.90934027778</v>
      </c>
      <c r="O148" s="16">
        <v>340</v>
      </c>
      <c r="P148" s="16" t="s">
        <v>25</v>
      </c>
      <c r="Q148" s="16">
        <v>190</v>
      </c>
      <c r="R148" s="3" t="str">
        <f>IF(OR(G148="12R",G148="12L"),_xlfn.XLOOKUP(C148,Tabla42[ADEP],Tabla42[SID 12R],""),IF(OR(G148="30L",G148="30R"),_xlfn.XLOOKUP(C148,Tabla42[ADEP],Tabla42[SID 30L],""),""))</f>
        <v>ENEBA</v>
      </c>
      <c r="S148" s="3">
        <f t="shared" si="2"/>
        <v>20</v>
      </c>
      <c r="T148" s="3" t="str">
        <f>_xlfn.XLOOKUP(C148,Tabla42[ADEP],Tabla42[Sector],"")</f>
        <v>Sector 3</v>
      </c>
    </row>
    <row r="149" spans="1:20" x14ac:dyDescent="0.2">
      <c r="A149" s="16" t="s">
        <v>2076</v>
      </c>
      <c r="B149" s="16" t="s">
        <v>18</v>
      </c>
      <c r="C149" s="16" t="s">
        <v>18</v>
      </c>
      <c r="D149" s="16" t="s">
        <v>2077</v>
      </c>
      <c r="E149" s="16"/>
      <c r="F149" s="17">
        <v>46303.869224537033</v>
      </c>
      <c r="G149" s="16" t="s">
        <v>21</v>
      </c>
      <c r="H149" s="16" t="s">
        <v>3139</v>
      </c>
      <c r="I149" s="16">
        <v>15</v>
      </c>
      <c r="J149" s="16" t="s">
        <v>130</v>
      </c>
      <c r="K149" s="16" t="s">
        <v>50</v>
      </c>
      <c r="L149" s="16">
        <v>84</v>
      </c>
      <c r="M149" s="16" t="s">
        <v>18</v>
      </c>
      <c r="N149" s="17">
        <v>46303.920613425929</v>
      </c>
      <c r="O149" s="16">
        <v>0</v>
      </c>
      <c r="P149" s="16" t="s">
        <v>129</v>
      </c>
      <c r="Q149" s="16">
        <v>15</v>
      </c>
      <c r="R149" s="3" t="str">
        <f>IF(OR(G149="12R",G149="12L"),_xlfn.XLOOKUP(C149,Tabla42[ADEP],Tabla42[SID 12R],""),IF(OR(G149="30L",G149="30R"),_xlfn.XLOOKUP(C149,Tabla42[ADEP],Tabla42[SID 30L],""),""))</f>
        <v/>
      </c>
      <c r="S149" s="3">
        <f t="shared" si="2"/>
        <v>20</v>
      </c>
      <c r="T149" s="3" t="str">
        <f>_xlfn.XLOOKUP(C149,Tabla42[ADEP],Tabla42[Sector],"")</f>
        <v/>
      </c>
    </row>
    <row r="150" spans="1:20" x14ac:dyDescent="0.2">
      <c r="A150" s="16" t="s">
        <v>469</v>
      </c>
      <c r="B150" s="16" t="s">
        <v>18</v>
      </c>
      <c r="C150" s="16" t="s">
        <v>42</v>
      </c>
      <c r="D150" s="16" t="s">
        <v>43</v>
      </c>
      <c r="E150" s="16" t="s">
        <v>527</v>
      </c>
      <c r="F150" s="17">
        <v>46303.871076388888</v>
      </c>
      <c r="G150" s="16" t="s">
        <v>21</v>
      </c>
      <c r="H150" s="16" t="s">
        <v>3140</v>
      </c>
      <c r="I150" s="16">
        <v>360</v>
      </c>
      <c r="J150" s="16" t="s">
        <v>22</v>
      </c>
      <c r="K150" s="16" t="s">
        <v>23</v>
      </c>
      <c r="L150" s="16">
        <v>872</v>
      </c>
      <c r="M150" s="16" t="s">
        <v>45</v>
      </c>
      <c r="N150" s="17">
        <v>46303.919965277775</v>
      </c>
      <c r="O150" s="16">
        <v>360</v>
      </c>
      <c r="P150" s="16" t="s">
        <v>25</v>
      </c>
      <c r="Q150" s="16">
        <v>190</v>
      </c>
      <c r="R150" s="3" t="str">
        <f>IF(OR(G150="12R",G150="12L"),_xlfn.XLOOKUP(C150,Tabla42[ADEP],Tabla42[SID 12R],""),IF(OR(G150="30L",G150="30R"),_xlfn.XLOOKUP(C150,Tabla42[ADEP],Tabla42[SID 30L],""),""))</f>
        <v>UDGUV</v>
      </c>
      <c r="S150" s="3">
        <f t="shared" si="2"/>
        <v>20</v>
      </c>
      <c r="T150" s="3" t="str">
        <f>_xlfn.XLOOKUP(C150,Tabla42[ADEP],Tabla42[Sector],"")</f>
        <v>Sector 2</v>
      </c>
    </row>
    <row r="151" spans="1:20" x14ac:dyDescent="0.2">
      <c r="A151" s="16" t="s">
        <v>471</v>
      </c>
      <c r="B151" s="16" t="s">
        <v>18</v>
      </c>
      <c r="C151" s="16" t="s">
        <v>19</v>
      </c>
      <c r="D151" s="16" t="s">
        <v>33</v>
      </c>
      <c r="E151" s="16" t="s">
        <v>639</v>
      </c>
      <c r="F151" s="17">
        <v>46303.873067129629</v>
      </c>
      <c r="G151" s="16" t="s">
        <v>21</v>
      </c>
      <c r="H151" s="16" t="s">
        <v>3141</v>
      </c>
      <c r="I151" s="16">
        <v>360</v>
      </c>
      <c r="J151" s="16" t="s">
        <v>22</v>
      </c>
      <c r="K151" s="16" t="s">
        <v>23</v>
      </c>
      <c r="L151" s="16">
        <v>865</v>
      </c>
      <c r="M151" s="16" t="s">
        <v>2219</v>
      </c>
      <c r="N151" s="17">
        <v>46303.921388888892</v>
      </c>
      <c r="O151" s="16">
        <v>360</v>
      </c>
      <c r="P151" s="16" t="s">
        <v>25</v>
      </c>
      <c r="Q151" s="16">
        <v>190</v>
      </c>
      <c r="R151" s="3" t="str">
        <f>IF(OR(G151="12R",G151="12L"),_xlfn.XLOOKUP(C151,Tabla42[ADEP],Tabla42[SID 12R],""),IF(OR(G151="30L",G151="30R"),_xlfn.XLOOKUP(C151,Tabla42[ADEP],Tabla42[SID 30L],""),""))</f>
        <v>UDGUV</v>
      </c>
      <c r="S151" s="3">
        <f t="shared" si="2"/>
        <v>20</v>
      </c>
      <c r="T151" s="3" t="str">
        <f>_xlfn.XLOOKUP(C151,Tabla42[ADEP],Tabla42[Sector],"")</f>
        <v>Sector 2</v>
      </c>
    </row>
    <row r="152" spans="1:20" x14ac:dyDescent="0.2">
      <c r="A152" s="16" t="s">
        <v>266</v>
      </c>
      <c r="B152" s="16" t="s">
        <v>18</v>
      </c>
      <c r="C152" s="16" t="s">
        <v>184</v>
      </c>
      <c r="D152" s="16" t="s">
        <v>60</v>
      </c>
      <c r="E152" s="16" t="s">
        <v>3142</v>
      </c>
      <c r="F152" s="17">
        <v>46303.877233796295</v>
      </c>
      <c r="G152" s="16" t="s">
        <v>21</v>
      </c>
      <c r="H152" s="16" t="s">
        <v>3143</v>
      </c>
      <c r="I152" s="16">
        <v>350</v>
      </c>
      <c r="J152" s="16" t="s">
        <v>22</v>
      </c>
      <c r="K152" s="16" t="s">
        <v>23</v>
      </c>
      <c r="L152" s="16">
        <v>133</v>
      </c>
      <c r="M152" s="16" t="s">
        <v>39</v>
      </c>
      <c r="N152" s="17">
        <v>46303.885601851856</v>
      </c>
      <c r="O152" s="16">
        <v>234</v>
      </c>
      <c r="P152" s="16" t="s">
        <v>25</v>
      </c>
      <c r="Q152" s="16">
        <v>190</v>
      </c>
      <c r="R152" s="3" t="str">
        <f>IF(OR(G152="12R",G152="12L"),_xlfn.XLOOKUP(C152,Tabla42[ADEP],Tabla42[SID 12R],""),IF(OR(G152="30L",G152="30R"),_xlfn.XLOOKUP(C152,Tabla42[ADEP],Tabla42[SID 30L],""),""))</f>
        <v>OMSUK</v>
      </c>
      <c r="S152" s="3">
        <f t="shared" si="2"/>
        <v>21</v>
      </c>
      <c r="T152" s="3" t="str">
        <f>_xlfn.XLOOKUP(C152,Tabla42[ADEP],Tabla42[Sector],"")</f>
        <v>Sector 3</v>
      </c>
    </row>
    <row r="153" spans="1:20" x14ac:dyDescent="0.2">
      <c r="A153" s="16" t="s">
        <v>292</v>
      </c>
      <c r="B153" s="16" t="s">
        <v>18</v>
      </c>
      <c r="C153" s="16" t="s">
        <v>293</v>
      </c>
      <c r="D153" s="16" t="s">
        <v>43</v>
      </c>
      <c r="E153" s="16" t="s">
        <v>739</v>
      </c>
      <c r="F153" s="17">
        <v>46303.878587962958</v>
      </c>
      <c r="G153" s="16" t="s">
        <v>21</v>
      </c>
      <c r="H153" s="16" t="s">
        <v>3144</v>
      </c>
      <c r="I153" s="16">
        <v>340</v>
      </c>
      <c r="J153" s="16" t="s">
        <v>22</v>
      </c>
      <c r="K153" s="16" t="s">
        <v>23</v>
      </c>
      <c r="L153" s="16">
        <v>880</v>
      </c>
      <c r="M153" s="16" t="s">
        <v>695</v>
      </c>
      <c r="N153" s="17">
        <v>46303.925428240742</v>
      </c>
      <c r="O153" s="16">
        <v>340</v>
      </c>
      <c r="P153" s="16" t="s">
        <v>25</v>
      </c>
      <c r="Q153" s="16">
        <v>190</v>
      </c>
      <c r="R153" s="3" t="str">
        <f>IF(OR(G153="12R",G153="12L"),_xlfn.XLOOKUP(C153,Tabla42[ADEP],Tabla42[SID 12R],""),IF(OR(G153="30L",G153="30R"),_xlfn.XLOOKUP(C153,Tabla42[ADEP],Tabla42[SID 30L],""),""))</f>
        <v>UDGUV</v>
      </c>
      <c r="S153" s="3">
        <f t="shared" si="2"/>
        <v>21</v>
      </c>
      <c r="T153" s="3" t="str">
        <f>_xlfn.XLOOKUP(C153,Tabla42[ADEP],Tabla42[Sector],"")</f>
        <v>Sector 2</v>
      </c>
    </row>
    <row r="154" spans="1:20" x14ac:dyDescent="0.2">
      <c r="A154" s="16" t="s">
        <v>3145</v>
      </c>
      <c r="B154" s="16" t="s">
        <v>18</v>
      </c>
      <c r="C154" s="16" t="s">
        <v>698</v>
      </c>
      <c r="D154" s="16" t="s">
        <v>3146</v>
      </c>
      <c r="E154" s="16" t="s">
        <v>3147</v>
      </c>
      <c r="F154" s="17">
        <v>46303.879548611112</v>
      </c>
      <c r="G154" s="16" t="s">
        <v>21</v>
      </c>
      <c r="H154" s="16" t="s">
        <v>3148</v>
      </c>
      <c r="I154" s="16">
        <v>410</v>
      </c>
      <c r="J154" s="16" t="s">
        <v>22</v>
      </c>
      <c r="K154" s="16" t="s">
        <v>50</v>
      </c>
      <c r="L154" s="16">
        <v>205</v>
      </c>
      <c r="M154" s="16" t="s">
        <v>355</v>
      </c>
      <c r="N154" s="17">
        <v>46303.892141203702</v>
      </c>
      <c r="O154" s="16">
        <v>410</v>
      </c>
      <c r="P154" s="16" t="s">
        <v>25</v>
      </c>
      <c r="Q154" s="16">
        <v>40</v>
      </c>
      <c r="R154" s="3" t="str">
        <f>IF(OR(G154="12R",G154="12L"),_xlfn.XLOOKUP(C154,Tabla42[ADEP],Tabla42[SID 12R],""),IF(OR(G154="30L",G154="30R"),_xlfn.XLOOKUP(C154,Tabla42[ADEP],Tabla42[SID 30L],""),""))</f>
        <v>NUDAL</v>
      </c>
      <c r="S154" s="3">
        <f t="shared" si="2"/>
        <v>21</v>
      </c>
      <c r="T154" s="3" t="str">
        <f>_xlfn.XLOOKUP(C154,Tabla42[ADEP],Tabla42[Sector],"")</f>
        <v>Sector 3</v>
      </c>
    </row>
    <row r="155" spans="1:20" x14ac:dyDescent="0.2">
      <c r="A155" s="16" t="s">
        <v>467</v>
      </c>
      <c r="B155" s="16" t="s">
        <v>18</v>
      </c>
      <c r="C155" s="16" t="s">
        <v>184</v>
      </c>
      <c r="D155" s="16" t="s">
        <v>60</v>
      </c>
      <c r="E155" s="16" t="s">
        <v>3149</v>
      </c>
      <c r="F155" s="17">
        <v>46303.881006944444</v>
      </c>
      <c r="G155" s="16" t="s">
        <v>21</v>
      </c>
      <c r="H155" s="16" t="s">
        <v>3150</v>
      </c>
      <c r="I155" s="16">
        <v>350</v>
      </c>
      <c r="J155" s="16" t="s">
        <v>22</v>
      </c>
      <c r="K155" s="16" t="s">
        <v>23</v>
      </c>
      <c r="L155" s="16">
        <v>132</v>
      </c>
      <c r="M155" s="16" t="s">
        <v>39</v>
      </c>
      <c r="N155" s="17">
        <v>46303.889594907407</v>
      </c>
      <c r="O155" s="16">
        <v>218</v>
      </c>
      <c r="P155" s="16" t="s">
        <v>25</v>
      </c>
      <c r="Q155" s="16">
        <v>190</v>
      </c>
      <c r="R155" s="3" t="str">
        <f>IF(OR(G155="12R",G155="12L"),_xlfn.XLOOKUP(C155,Tabla42[ADEP],Tabla42[SID 12R],""),IF(OR(G155="30L",G155="30R"),_xlfn.XLOOKUP(C155,Tabla42[ADEP],Tabla42[SID 30L],""),""))</f>
        <v>OMSUK</v>
      </c>
      <c r="S155" s="3">
        <f t="shared" si="2"/>
        <v>21</v>
      </c>
      <c r="T155" s="3" t="str">
        <f>_xlfn.XLOOKUP(C155,Tabla42[ADEP],Tabla42[Sector],"")</f>
        <v>Sector 3</v>
      </c>
    </row>
    <row r="156" spans="1:20" x14ac:dyDescent="0.2">
      <c r="A156" s="16" t="s">
        <v>294</v>
      </c>
      <c r="B156" s="16" t="s">
        <v>18</v>
      </c>
      <c r="C156" s="16" t="s">
        <v>128</v>
      </c>
      <c r="D156" s="16" t="s">
        <v>43</v>
      </c>
      <c r="E156" s="16" t="s">
        <v>2104</v>
      </c>
      <c r="F156" s="17">
        <v>46303.881956018522</v>
      </c>
      <c r="G156" s="16" t="s">
        <v>21</v>
      </c>
      <c r="H156" s="16" t="s">
        <v>3151</v>
      </c>
      <c r="I156" s="16">
        <v>320</v>
      </c>
      <c r="J156" s="16" t="s">
        <v>22</v>
      </c>
      <c r="K156" s="16" t="s">
        <v>23</v>
      </c>
      <c r="L156" s="16">
        <v>692</v>
      </c>
      <c r="M156" s="16" t="s">
        <v>118</v>
      </c>
      <c r="N156" s="17">
        <v>46303.918483796297</v>
      </c>
      <c r="O156" s="16">
        <v>320</v>
      </c>
      <c r="P156" s="16" t="s">
        <v>25</v>
      </c>
      <c r="Q156" s="16">
        <v>190</v>
      </c>
      <c r="R156" s="3" t="str">
        <f>IF(OR(G156="12R",G156="12L"),_xlfn.XLOOKUP(C156,Tabla42[ADEP],Tabla42[SID 12R],""),IF(OR(G156="30L",G156="30R"),_xlfn.XLOOKUP(C156,Tabla42[ADEP],Tabla42[SID 30L],""),""))</f>
        <v>OMSUK</v>
      </c>
      <c r="S156" s="3">
        <f t="shared" si="2"/>
        <v>21</v>
      </c>
      <c r="T156" s="3" t="str">
        <f>_xlfn.XLOOKUP(C156,Tabla42[ADEP],Tabla42[Sector],"")</f>
        <v>Sector 3</v>
      </c>
    </row>
    <row r="157" spans="1:20" x14ac:dyDescent="0.2">
      <c r="A157" s="16" t="s">
        <v>765</v>
      </c>
      <c r="B157" s="16" t="s">
        <v>18</v>
      </c>
      <c r="C157" s="16" t="s">
        <v>158</v>
      </c>
      <c r="D157" s="16" t="s">
        <v>33</v>
      </c>
      <c r="E157" s="16" t="s">
        <v>813</v>
      </c>
      <c r="F157" s="17">
        <v>46303.882928240739</v>
      </c>
      <c r="G157" s="16" t="s">
        <v>21</v>
      </c>
      <c r="H157" s="16" t="s">
        <v>3152</v>
      </c>
      <c r="I157" s="16">
        <v>350</v>
      </c>
      <c r="J157" s="16" t="s">
        <v>22</v>
      </c>
      <c r="K157" s="16" t="s">
        <v>23</v>
      </c>
      <c r="L157" s="16">
        <v>132</v>
      </c>
      <c r="M157" s="16" t="s">
        <v>39</v>
      </c>
      <c r="N157" s="17">
        <v>46303.891643518524</v>
      </c>
      <c r="O157" s="16">
        <v>219</v>
      </c>
      <c r="P157" s="16" t="s">
        <v>25</v>
      </c>
      <c r="Q157" s="16">
        <v>190</v>
      </c>
      <c r="R157" s="3" t="str">
        <f>IF(OR(G157="12R",G157="12L"),_xlfn.XLOOKUP(C157,Tabla42[ADEP],Tabla42[SID 12R],""),IF(OR(G157="30L",G157="30R"),_xlfn.XLOOKUP(C157,Tabla42[ADEP],Tabla42[SID 30L],""),""))</f>
        <v>OMSUK</v>
      </c>
      <c r="S157" s="3">
        <f t="shared" si="2"/>
        <v>21</v>
      </c>
      <c r="T157" s="3" t="str">
        <f>_xlfn.XLOOKUP(C157,Tabla42[ADEP],Tabla42[Sector],"")</f>
        <v>Sector 3</v>
      </c>
    </row>
    <row r="158" spans="1:20" x14ac:dyDescent="0.2">
      <c r="A158" s="16" t="s">
        <v>241</v>
      </c>
      <c r="B158" s="16" t="s">
        <v>18</v>
      </c>
      <c r="C158" s="16" t="s">
        <v>121</v>
      </c>
      <c r="D158" s="16" t="s">
        <v>60</v>
      </c>
      <c r="E158" s="16" t="s">
        <v>3153</v>
      </c>
      <c r="F158" s="17">
        <v>46303.884027777778</v>
      </c>
      <c r="G158" s="16" t="s">
        <v>21</v>
      </c>
      <c r="H158" s="16" t="s">
        <v>3154</v>
      </c>
      <c r="I158" s="16">
        <v>380</v>
      </c>
      <c r="J158" s="16" t="s">
        <v>22</v>
      </c>
      <c r="K158" s="16" t="s">
        <v>23</v>
      </c>
      <c r="L158" s="16">
        <v>871</v>
      </c>
      <c r="M158" s="16" t="s">
        <v>35</v>
      </c>
      <c r="N158" s="17">
        <v>46303.931076388893</v>
      </c>
      <c r="O158" s="16">
        <v>380</v>
      </c>
      <c r="P158" s="16" t="s">
        <v>25</v>
      </c>
      <c r="Q158" s="16">
        <v>190</v>
      </c>
      <c r="R158" s="3" t="str">
        <f>IF(OR(G158="12R",G158="12L"),_xlfn.XLOOKUP(C158,Tabla42[ADEP],Tabla42[SID 12R],""),IF(OR(G158="30L",G158="30R"),_xlfn.XLOOKUP(C158,Tabla42[ADEP],Tabla42[SID 30L],""),""))</f>
        <v>ENEBA</v>
      </c>
      <c r="S158" s="3">
        <f t="shared" si="2"/>
        <v>21</v>
      </c>
      <c r="T158" s="3" t="str">
        <f>_xlfn.XLOOKUP(C158,Tabla42[ADEP],Tabla42[Sector],"")</f>
        <v>Sector 3</v>
      </c>
    </row>
    <row r="159" spans="1:20" x14ac:dyDescent="0.2">
      <c r="A159" s="16" t="s">
        <v>497</v>
      </c>
      <c r="B159" s="16" t="s">
        <v>18</v>
      </c>
      <c r="C159" s="16" t="s">
        <v>47</v>
      </c>
      <c r="D159" s="16" t="s">
        <v>243</v>
      </c>
      <c r="E159" s="16" t="s">
        <v>2594</v>
      </c>
      <c r="F159" s="17">
        <v>46303.885092592594</v>
      </c>
      <c r="G159" s="16" t="s">
        <v>21</v>
      </c>
      <c r="H159" s="16" t="s">
        <v>3155</v>
      </c>
      <c r="I159" s="16">
        <v>390</v>
      </c>
      <c r="J159" s="16" t="s">
        <v>22</v>
      </c>
      <c r="K159" s="16" t="s">
        <v>23</v>
      </c>
      <c r="L159" s="16">
        <v>135</v>
      </c>
      <c r="M159" s="16" t="s">
        <v>39</v>
      </c>
      <c r="N159" s="17">
        <v>46303.893773148149</v>
      </c>
      <c r="O159" s="16">
        <v>256</v>
      </c>
      <c r="P159" s="16" t="s">
        <v>40</v>
      </c>
      <c r="Q159" s="16">
        <v>190</v>
      </c>
      <c r="R159" s="3" t="str">
        <f>IF(OR(G159="12R",G159="12L"),_xlfn.XLOOKUP(C159,Tabla42[ADEP],Tabla42[SID 12R],""),IF(OR(G159="30L",G159="30R"),_xlfn.XLOOKUP(C159,Tabla42[ADEP],Tabla42[SID 30L],""),""))</f>
        <v>NUDAL</v>
      </c>
      <c r="S159" s="3">
        <f t="shared" si="2"/>
        <v>21</v>
      </c>
      <c r="T159" s="3" t="str">
        <f>_xlfn.XLOOKUP(C159,Tabla42[ADEP],Tabla42[Sector],"")</f>
        <v>Sector 3</v>
      </c>
    </row>
    <row r="160" spans="1:20" x14ac:dyDescent="0.2">
      <c r="A160" s="16" t="s">
        <v>475</v>
      </c>
      <c r="B160" s="16" t="s">
        <v>18</v>
      </c>
      <c r="C160" s="16" t="s">
        <v>293</v>
      </c>
      <c r="D160" s="16" t="s">
        <v>28</v>
      </c>
      <c r="E160" s="16" t="s">
        <v>983</v>
      </c>
      <c r="F160" s="17">
        <v>46303.886759259258</v>
      </c>
      <c r="G160" s="16" t="s">
        <v>21</v>
      </c>
      <c r="H160" s="16" t="s">
        <v>3156</v>
      </c>
      <c r="I160" s="16">
        <v>360</v>
      </c>
      <c r="J160" s="16" t="s">
        <v>22</v>
      </c>
      <c r="K160" s="16" t="s">
        <v>23</v>
      </c>
      <c r="L160" s="16">
        <v>743</v>
      </c>
      <c r="M160" s="16" t="s">
        <v>210</v>
      </c>
      <c r="N160" s="17">
        <v>46303.927199074074</v>
      </c>
      <c r="O160" s="16">
        <v>340</v>
      </c>
      <c r="P160" s="16" t="s">
        <v>25</v>
      </c>
      <c r="Q160" s="16">
        <v>190</v>
      </c>
      <c r="R160" s="3" t="str">
        <f>IF(OR(G160="12R",G160="12L"),_xlfn.XLOOKUP(C160,Tabla42[ADEP],Tabla42[SID 12R],""),IF(OR(G160="30L",G160="30R"),_xlfn.XLOOKUP(C160,Tabla42[ADEP],Tabla42[SID 30L],""),""))</f>
        <v>UDGUV</v>
      </c>
      <c r="S160" s="3">
        <f t="shared" si="2"/>
        <v>21</v>
      </c>
      <c r="T160" s="3" t="str">
        <f>_xlfn.XLOOKUP(C160,Tabla42[ADEP],Tabla42[Sector],"")</f>
        <v>Sector 2</v>
      </c>
    </row>
    <row r="161" spans="1:20" x14ac:dyDescent="0.2">
      <c r="A161" s="16" t="s">
        <v>462</v>
      </c>
      <c r="B161" s="16" t="s">
        <v>18</v>
      </c>
      <c r="C161" s="16" t="s">
        <v>32</v>
      </c>
      <c r="D161" s="16" t="s">
        <v>60</v>
      </c>
      <c r="E161" s="16" t="s">
        <v>2841</v>
      </c>
      <c r="F161" s="17">
        <v>46303.888078703705</v>
      </c>
      <c r="G161" s="16" t="s">
        <v>21</v>
      </c>
      <c r="H161" s="16" t="s">
        <v>3157</v>
      </c>
      <c r="I161" s="16">
        <v>340</v>
      </c>
      <c r="J161" s="16" t="s">
        <v>22</v>
      </c>
      <c r="K161" s="16" t="s">
        <v>23</v>
      </c>
      <c r="L161" s="16">
        <v>873</v>
      </c>
      <c r="M161" s="16" t="s">
        <v>35</v>
      </c>
      <c r="N161" s="17">
        <v>46303.938576388886</v>
      </c>
      <c r="O161" s="16">
        <v>340</v>
      </c>
      <c r="P161" s="16" t="s">
        <v>25</v>
      </c>
      <c r="Q161" s="16">
        <v>190</v>
      </c>
      <c r="R161" s="3" t="str">
        <f>IF(OR(G161="12R",G161="12L"),_xlfn.XLOOKUP(C161,Tabla42[ADEP],Tabla42[SID 12R],""),IF(OR(G161="30L",G161="30R"),_xlfn.XLOOKUP(C161,Tabla42[ADEP],Tabla42[SID 30L],""),""))</f>
        <v>UDGUV</v>
      </c>
      <c r="S161" s="3">
        <f t="shared" si="2"/>
        <v>21</v>
      </c>
      <c r="T161" s="3" t="str">
        <f>_xlfn.XLOOKUP(C161,Tabla42[ADEP],Tabla42[Sector],"")</f>
        <v>Sector 2</v>
      </c>
    </row>
    <row r="162" spans="1:20" x14ac:dyDescent="0.2">
      <c r="A162" s="16" t="s">
        <v>461</v>
      </c>
      <c r="B162" s="16" t="s">
        <v>18</v>
      </c>
      <c r="C162" s="16" t="s">
        <v>223</v>
      </c>
      <c r="D162" s="16" t="s">
        <v>28</v>
      </c>
      <c r="E162" s="16" t="s">
        <v>3158</v>
      </c>
      <c r="F162" s="17">
        <v>46303.889212962968</v>
      </c>
      <c r="G162" s="16" t="s">
        <v>21</v>
      </c>
      <c r="H162" s="16" t="s">
        <v>3159</v>
      </c>
      <c r="I162" s="16">
        <v>370</v>
      </c>
      <c r="J162" s="16" t="s">
        <v>22</v>
      </c>
      <c r="K162" s="16" t="s">
        <v>23</v>
      </c>
      <c r="L162" s="16">
        <v>133</v>
      </c>
      <c r="M162" s="16" t="s">
        <v>39</v>
      </c>
      <c r="N162" s="17">
        <v>46303.898101851853</v>
      </c>
      <c r="O162" s="16">
        <v>250</v>
      </c>
      <c r="P162" s="16" t="s">
        <v>25</v>
      </c>
      <c r="Q162" s="16">
        <v>190</v>
      </c>
      <c r="R162" s="3" t="str">
        <f>IF(OR(G162="12R",G162="12L"),_xlfn.XLOOKUP(C162,Tabla42[ADEP],Tabla42[SID 12R],""),IF(OR(G162="30L",G162="30R"),_xlfn.XLOOKUP(C162,Tabla42[ADEP],Tabla42[SID 30L],""),""))</f>
        <v>OMSUK</v>
      </c>
      <c r="S162" s="3">
        <f t="shared" si="2"/>
        <v>21</v>
      </c>
      <c r="T162" s="3" t="str">
        <f>_xlfn.XLOOKUP(C162,Tabla42[ADEP],Tabla42[Sector],"")</f>
        <v>Sector 3</v>
      </c>
    </row>
    <row r="163" spans="1:20" x14ac:dyDescent="0.2">
      <c r="A163" s="16" t="s">
        <v>978</v>
      </c>
      <c r="B163" s="16" t="s">
        <v>18</v>
      </c>
      <c r="C163" s="16" t="s">
        <v>286</v>
      </c>
      <c r="D163" s="16" t="s">
        <v>53</v>
      </c>
      <c r="E163" s="16" t="s">
        <v>3160</v>
      </c>
      <c r="F163" s="17">
        <v>46303.890289351853</v>
      </c>
      <c r="G163" s="16" t="s">
        <v>21</v>
      </c>
      <c r="H163" s="16" t="s">
        <v>3161</v>
      </c>
      <c r="I163" s="16">
        <v>300</v>
      </c>
      <c r="J163" s="16" t="s">
        <v>22</v>
      </c>
      <c r="K163" s="16" t="s">
        <v>23</v>
      </c>
      <c r="L163" s="16">
        <v>335</v>
      </c>
      <c r="M163" s="16" t="s">
        <v>3162</v>
      </c>
      <c r="N163" s="17">
        <v>46303.90924768518</v>
      </c>
      <c r="O163" s="16">
        <v>380</v>
      </c>
      <c r="P163" s="16" t="s">
        <v>25</v>
      </c>
      <c r="Q163" s="16">
        <v>190</v>
      </c>
      <c r="R163" s="3" t="str">
        <f>IF(OR(G163="12R",G163="12L"),_xlfn.XLOOKUP(C163,Tabla42[ADEP],Tabla42[SID 12R],""),IF(OR(G163="30L",G163="30R"),_xlfn.XLOOKUP(C163,Tabla42[ADEP],Tabla42[SID 30L],""),""))</f>
        <v>CZM</v>
      </c>
      <c r="S163" s="3">
        <f t="shared" si="2"/>
        <v>21</v>
      </c>
      <c r="T163" s="3" t="str">
        <f>_xlfn.XLOOKUP(C163,Tabla42[ADEP],Tabla42[Sector],"")</f>
        <v>Sector 7</v>
      </c>
    </row>
    <row r="164" spans="1:20" x14ac:dyDescent="0.2">
      <c r="A164" s="16" t="s">
        <v>480</v>
      </c>
      <c r="B164" s="16" t="s">
        <v>18</v>
      </c>
      <c r="C164" s="16" t="s">
        <v>164</v>
      </c>
      <c r="D164" s="16" t="s">
        <v>43</v>
      </c>
      <c r="E164" s="16" t="s">
        <v>1030</v>
      </c>
      <c r="F164" s="17">
        <v>46303.891782407409</v>
      </c>
      <c r="G164" s="16" t="s">
        <v>21</v>
      </c>
      <c r="H164" s="16" t="s">
        <v>3163</v>
      </c>
      <c r="I164" s="16">
        <v>330</v>
      </c>
      <c r="J164" s="16" t="s">
        <v>22</v>
      </c>
      <c r="K164" s="16" t="s">
        <v>23</v>
      </c>
      <c r="L164" s="16">
        <v>133</v>
      </c>
      <c r="M164" s="16" t="s">
        <v>39</v>
      </c>
      <c r="N164" s="17">
        <v>46303.900983796295</v>
      </c>
      <c r="O164" s="16">
        <v>245</v>
      </c>
      <c r="P164" s="16" t="s">
        <v>25</v>
      </c>
      <c r="Q164" s="16">
        <v>190</v>
      </c>
      <c r="R164" s="3" t="str">
        <f>IF(OR(G164="12R",G164="12L"),_xlfn.XLOOKUP(C164,Tabla42[ADEP],Tabla42[SID 12R],""),IF(OR(G164="30L",G164="30R"),_xlfn.XLOOKUP(C164,Tabla42[ADEP],Tabla42[SID 30L],""),""))</f>
        <v>OMSUK</v>
      </c>
      <c r="S164" s="3">
        <f t="shared" si="2"/>
        <v>21</v>
      </c>
      <c r="T164" s="3" t="str">
        <f>_xlfn.XLOOKUP(C164,Tabla42[ADEP],Tabla42[Sector],"")</f>
        <v>Sector 3</v>
      </c>
    </row>
    <row r="165" spans="1:20" x14ac:dyDescent="0.2">
      <c r="A165" s="16" t="s">
        <v>315</v>
      </c>
      <c r="B165" s="16" t="s">
        <v>18</v>
      </c>
      <c r="C165" s="16" t="s">
        <v>96</v>
      </c>
      <c r="D165" s="16" t="s">
        <v>20</v>
      </c>
      <c r="E165" s="16" t="s">
        <v>1005</v>
      </c>
      <c r="F165" s="17">
        <v>46303.894062499996</v>
      </c>
      <c r="G165" s="16" t="s">
        <v>21</v>
      </c>
      <c r="H165" s="16" t="s">
        <v>3164</v>
      </c>
      <c r="I165" s="16">
        <v>340</v>
      </c>
      <c r="J165" s="16" t="s">
        <v>22</v>
      </c>
      <c r="K165" s="16" t="s">
        <v>141</v>
      </c>
      <c r="L165" s="16">
        <v>883</v>
      </c>
      <c r="M165" s="16" t="s">
        <v>2828</v>
      </c>
      <c r="N165" s="17">
        <v>46303.943113425921</v>
      </c>
      <c r="O165" s="16">
        <v>340</v>
      </c>
      <c r="P165" s="16" t="s">
        <v>25</v>
      </c>
      <c r="Q165" s="16">
        <v>190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s="16" t="s">
        <v>477</v>
      </c>
      <c r="B166" s="16" t="s">
        <v>18</v>
      </c>
      <c r="C166" s="16" t="s">
        <v>478</v>
      </c>
      <c r="D166" s="16" t="s">
        <v>28</v>
      </c>
      <c r="E166" s="16" t="s">
        <v>3165</v>
      </c>
      <c r="F166" s="17">
        <v>46303.89570601852</v>
      </c>
      <c r="G166" s="16" t="s">
        <v>21</v>
      </c>
      <c r="H166" s="16" t="s">
        <v>3166</v>
      </c>
      <c r="I166" s="16">
        <v>300</v>
      </c>
      <c r="J166" s="16" t="s">
        <v>22</v>
      </c>
      <c r="K166" s="16" t="s">
        <v>23</v>
      </c>
      <c r="L166" s="16">
        <v>870</v>
      </c>
      <c r="M166" s="16" t="s">
        <v>35</v>
      </c>
      <c r="N166" s="17">
        <v>46303.941342592589</v>
      </c>
      <c r="O166" s="16">
        <v>300</v>
      </c>
      <c r="P166" s="16" t="s">
        <v>25</v>
      </c>
      <c r="Q166" s="16">
        <v>190</v>
      </c>
      <c r="R166" s="3" t="str">
        <f>IF(OR(G166="12R",G166="12L"),_xlfn.XLOOKUP(C166,Tabla42[ADEP],Tabla42[SID 12R],""),IF(OR(G166="30L",G166="30R"),_xlfn.XLOOKUP(C166,Tabla42[ADEP],Tabla42[SID 30L],""),""))</f>
        <v>ENEBA</v>
      </c>
      <c r="S166" s="3">
        <f t="shared" si="2"/>
        <v>21</v>
      </c>
      <c r="T166" s="3" t="str">
        <f>_xlfn.XLOOKUP(C166,Tabla42[ADEP],Tabla42[Sector],"")</f>
        <v>Sector 3</v>
      </c>
    </row>
    <row r="167" spans="1:20" x14ac:dyDescent="0.2">
      <c r="A167" s="16" t="s">
        <v>238</v>
      </c>
      <c r="B167" s="16" t="s">
        <v>18</v>
      </c>
      <c r="C167" s="16" t="s">
        <v>239</v>
      </c>
      <c r="D167" s="16" t="s">
        <v>20</v>
      </c>
      <c r="E167" s="16" t="s">
        <v>76</v>
      </c>
      <c r="F167" s="17">
        <v>46303.897013888884</v>
      </c>
      <c r="G167" s="16" t="s">
        <v>21</v>
      </c>
      <c r="H167" s="16" t="s">
        <v>3167</v>
      </c>
      <c r="I167" s="16">
        <v>340</v>
      </c>
      <c r="J167" s="16" t="s">
        <v>22</v>
      </c>
      <c r="K167" s="16" t="s">
        <v>23</v>
      </c>
      <c r="L167" s="16">
        <v>878</v>
      </c>
      <c r="M167" s="16" t="s">
        <v>3168</v>
      </c>
      <c r="N167" s="17">
        <v>46303.945636574077</v>
      </c>
      <c r="O167" s="16">
        <v>340</v>
      </c>
      <c r="P167" s="16" t="s">
        <v>25</v>
      </c>
      <c r="Q167" s="16">
        <v>190</v>
      </c>
      <c r="R167" s="3" t="str">
        <f>IF(OR(G167="12R",G167="12L"),_xlfn.XLOOKUP(C167,Tabla42[ADEP],Tabla42[SID 12R],""),IF(OR(G167="30L",G167="30R"),_xlfn.XLOOKUP(C167,Tabla42[ADEP],Tabla42[SID 30L],""),""))</f>
        <v>UDGUV</v>
      </c>
      <c r="S167" s="3">
        <f t="shared" si="2"/>
        <v>21</v>
      </c>
      <c r="T167" s="3" t="str">
        <f>_xlfn.XLOOKUP(C167,Tabla42[ADEP],Tabla42[Sector],"")</f>
        <v>Sector 2</v>
      </c>
    </row>
    <row r="168" spans="1:20" x14ac:dyDescent="0.2">
      <c r="A168" s="16" t="s">
        <v>2628</v>
      </c>
      <c r="B168" s="16" t="s">
        <v>18</v>
      </c>
      <c r="C168" s="16" t="s">
        <v>49</v>
      </c>
      <c r="D168" s="16" t="s">
        <v>124</v>
      </c>
      <c r="E168" s="16"/>
      <c r="F168" s="17">
        <v>46303.898472222223</v>
      </c>
      <c r="G168" s="16" t="s">
        <v>21</v>
      </c>
      <c r="H168" s="16" t="s">
        <v>3169</v>
      </c>
      <c r="I168" s="16">
        <v>340</v>
      </c>
      <c r="J168" s="16" t="s">
        <v>22</v>
      </c>
      <c r="K168" s="16" t="s">
        <v>50</v>
      </c>
      <c r="L168" s="16">
        <v>881</v>
      </c>
      <c r="M168" s="16" t="s">
        <v>421</v>
      </c>
      <c r="N168" s="17">
        <v>46303.957800925928</v>
      </c>
      <c r="O168" s="16">
        <v>340</v>
      </c>
      <c r="P168" s="16" t="s">
        <v>25</v>
      </c>
      <c r="Q168" s="16">
        <v>30</v>
      </c>
      <c r="R168" s="3" t="str">
        <f>IF(OR(G168="12R",G168="12L"),_xlfn.XLOOKUP(C168,Tabla42[ADEP],Tabla42[SID 12R],""),IF(OR(G168="30L",G168="30R"),_xlfn.XLOOKUP(C168,Tabla42[ADEP],Tabla42[SID 30L],""),""))</f>
        <v>UDGUV</v>
      </c>
      <c r="S168" s="3">
        <f t="shared" si="2"/>
        <v>21</v>
      </c>
      <c r="T168" s="3" t="str">
        <f>_xlfn.XLOOKUP(C168,Tabla42[ADEP],Tabla42[Sector],"")</f>
        <v>Sector 2</v>
      </c>
    </row>
    <row r="169" spans="1:20" x14ac:dyDescent="0.2">
      <c r="A169" s="16" t="s">
        <v>483</v>
      </c>
      <c r="B169" s="16" t="s">
        <v>18</v>
      </c>
      <c r="C169" s="16" t="s">
        <v>297</v>
      </c>
      <c r="D169" s="16" t="s">
        <v>243</v>
      </c>
      <c r="E169" s="16" t="s">
        <v>298</v>
      </c>
      <c r="F169" s="17">
        <v>46303.899675925924</v>
      </c>
      <c r="G169" s="16" t="s">
        <v>21</v>
      </c>
      <c r="H169" s="16" t="s">
        <v>3170</v>
      </c>
      <c r="I169" s="16">
        <v>390</v>
      </c>
      <c r="J169" s="16" t="s">
        <v>22</v>
      </c>
      <c r="K169" s="16" t="s">
        <v>23</v>
      </c>
      <c r="L169" s="16">
        <v>135</v>
      </c>
      <c r="M169" s="16" t="s">
        <v>3171</v>
      </c>
      <c r="N169" s="17">
        <v>46303.908333333333</v>
      </c>
      <c r="O169" s="16">
        <v>239</v>
      </c>
      <c r="P169" s="16" t="s">
        <v>40</v>
      </c>
      <c r="Q169" s="16">
        <v>190</v>
      </c>
      <c r="R169" s="3" t="str">
        <f>IF(OR(G169="12R",G169="12L"),_xlfn.XLOOKUP(C169,Tabla42[ADEP],Tabla42[SID 12R],""),IF(OR(G169="30L",G169="30R"),_xlfn.XLOOKUP(C169,Tabla42[ADEP],Tabla42[SID 30L],""),""))</f>
        <v>NUDAL</v>
      </c>
      <c r="S169" s="3">
        <f t="shared" si="2"/>
        <v>21</v>
      </c>
      <c r="T169" s="3" t="str">
        <f>_xlfn.XLOOKUP(C169,Tabla42[ADEP],Tabla42[Sector],"")</f>
        <v>Sector 3</v>
      </c>
    </row>
    <row r="170" spans="1:20" x14ac:dyDescent="0.2">
      <c r="A170" s="16" t="s">
        <v>302</v>
      </c>
      <c r="B170" s="16" t="s">
        <v>18</v>
      </c>
      <c r="C170" s="16" t="s">
        <v>303</v>
      </c>
      <c r="D170" s="16" t="s">
        <v>28</v>
      </c>
      <c r="E170" s="16" t="s">
        <v>994</v>
      </c>
      <c r="F170" s="17">
        <v>46303.901087962964</v>
      </c>
      <c r="G170" s="16" t="s">
        <v>21</v>
      </c>
      <c r="H170" s="16" t="s">
        <v>3172</v>
      </c>
      <c r="I170" s="16">
        <v>360</v>
      </c>
      <c r="J170" s="16" t="s">
        <v>22</v>
      </c>
      <c r="K170" s="16" t="s">
        <v>23</v>
      </c>
      <c r="L170" s="16">
        <v>759</v>
      </c>
      <c r="M170" s="16" t="s">
        <v>3173</v>
      </c>
      <c r="N170" s="17">
        <v>46303.944722222222</v>
      </c>
      <c r="O170" s="16">
        <v>360</v>
      </c>
      <c r="P170" s="16" t="s">
        <v>25</v>
      </c>
      <c r="Q170" s="16">
        <v>190</v>
      </c>
      <c r="R170" s="3" t="str">
        <f>IF(OR(G170="12R",G170="12L"),_xlfn.XLOOKUP(C170,Tabla42[ADEP],Tabla42[SID 12R],""),IF(OR(G170="30L",G170="30R"),_xlfn.XLOOKUP(C170,Tabla42[ADEP],Tabla42[SID 30L],""),""))</f>
        <v>OMSUK</v>
      </c>
      <c r="S170" s="3">
        <f t="shared" si="2"/>
        <v>21</v>
      </c>
      <c r="T170" s="3" t="str">
        <f>_xlfn.XLOOKUP(C170,Tabla42[ADEP],Tabla42[Sector],"")</f>
        <v>Sector 3</v>
      </c>
    </row>
    <row r="171" spans="1:20" x14ac:dyDescent="0.2">
      <c r="A171" s="16" t="s">
        <v>313</v>
      </c>
      <c r="B171" s="16" t="s">
        <v>18</v>
      </c>
      <c r="C171" s="16" t="s">
        <v>73</v>
      </c>
      <c r="D171" s="16" t="s">
        <v>53</v>
      </c>
      <c r="E171" s="16" t="s">
        <v>106</v>
      </c>
      <c r="F171" s="17">
        <v>46303.905277777776</v>
      </c>
      <c r="G171" s="16" t="s">
        <v>21</v>
      </c>
      <c r="H171" s="16" t="s">
        <v>3174</v>
      </c>
      <c r="I171" s="16">
        <v>360</v>
      </c>
      <c r="J171" s="16" t="s">
        <v>22</v>
      </c>
      <c r="K171" s="16" t="s">
        <v>23</v>
      </c>
      <c r="L171" s="16">
        <v>728</v>
      </c>
      <c r="M171" s="16" t="s">
        <v>73</v>
      </c>
      <c r="N171" s="17">
        <v>46303.95112268519</v>
      </c>
      <c r="O171" s="16">
        <v>0</v>
      </c>
      <c r="P171" s="16" t="s">
        <v>25</v>
      </c>
      <c r="Q171" s="16">
        <v>190</v>
      </c>
      <c r="R171" s="3" t="str">
        <f>IF(OR(G171="12R",G171="12L"),_xlfn.XLOOKUP(C171,Tabla42[ADEP],Tabla42[SID 12R],""),IF(OR(G171="30L",G171="30R"),_xlfn.XLOOKUP(C171,Tabla42[ADEP],Tabla42[SID 30L],""),""))</f>
        <v>UDGUV</v>
      </c>
      <c r="S171" s="3">
        <f t="shared" si="2"/>
        <v>21</v>
      </c>
      <c r="T171" s="3" t="str">
        <f>_xlfn.XLOOKUP(C171,Tabla42[ADEP],Tabla42[Sector],"")</f>
        <v>Sector 2</v>
      </c>
    </row>
    <row r="172" spans="1:20" x14ac:dyDescent="0.2">
      <c r="A172" s="16" t="s">
        <v>289</v>
      </c>
      <c r="B172" s="16" t="s">
        <v>18</v>
      </c>
      <c r="C172" s="16" t="s">
        <v>290</v>
      </c>
      <c r="D172" s="16" t="s">
        <v>33</v>
      </c>
      <c r="E172" s="16" t="s">
        <v>3175</v>
      </c>
      <c r="F172" s="17">
        <v>46303.907025462962</v>
      </c>
      <c r="G172" s="16" t="s">
        <v>21</v>
      </c>
      <c r="H172" s="16" t="s">
        <v>3176</v>
      </c>
      <c r="I172" s="16">
        <v>310</v>
      </c>
      <c r="J172" s="16" t="s">
        <v>22</v>
      </c>
      <c r="K172" s="16" t="s">
        <v>23</v>
      </c>
      <c r="L172" s="16">
        <v>152</v>
      </c>
      <c r="M172" s="16" t="s">
        <v>3177</v>
      </c>
      <c r="N172" s="17">
        <v>46303.917222222226</v>
      </c>
      <c r="O172" s="16">
        <v>231</v>
      </c>
      <c r="P172" s="16" t="s">
        <v>25</v>
      </c>
      <c r="Q172" s="16">
        <v>190</v>
      </c>
      <c r="R172" s="3" t="str">
        <f>IF(OR(G172="12R",G172="12L"),_xlfn.XLOOKUP(C172,Tabla42[ADEP],Tabla42[SID 12R],""),IF(OR(G172="30L",G172="30R"),_xlfn.XLOOKUP(C172,Tabla42[ADEP],Tabla42[SID 30L],""),""))</f>
        <v>CZM</v>
      </c>
      <c r="S172" s="3">
        <f t="shared" si="2"/>
        <v>21</v>
      </c>
      <c r="T172" s="3" t="str">
        <f>_xlfn.XLOOKUP(C172,Tabla42[ADEP],Tabla42[Sector],"")</f>
        <v>Sector 7</v>
      </c>
    </row>
    <row r="173" spans="1:20" x14ac:dyDescent="0.2">
      <c r="A173" s="16" t="s">
        <v>308</v>
      </c>
      <c r="B173" s="16" t="s">
        <v>18</v>
      </c>
      <c r="C173" s="16" t="s">
        <v>137</v>
      </c>
      <c r="D173" s="16" t="s">
        <v>122</v>
      </c>
      <c r="E173" s="16" t="s">
        <v>3178</v>
      </c>
      <c r="F173" s="17">
        <v>46303.908171296294</v>
      </c>
      <c r="G173" s="16" t="s">
        <v>21</v>
      </c>
      <c r="H173" s="16" t="s">
        <v>3179</v>
      </c>
      <c r="I173" s="16">
        <v>310</v>
      </c>
      <c r="J173" s="16" t="s">
        <v>22</v>
      </c>
      <c r="K173" s="16" t="s">
        <v>23</v>
      </c>
      <c r="L173" s="16">
        <v>136</v>
      </c>
      <c r="M173" s="16" t="s">
        <v>588</v>
      </c>
      <c r="N173" s="17">
        <v>46303.917337962965</v>
      </c>
      <c r="O173" s="16">
        <v>257</v>
      </c>
      <c r="P173" s="16" t="s">
        <v>25</v>
      </c>
      <c r="Q173" s="16">
        <v>190</v>
      </c>
      <c r="R173" s="3" t="str">
        <f>IF(OR(G173="12R",G173="12L"),_xlfn.XLOOKUP(C173,Tabla42[ADEP],Tabla42[SID 12R],""),IF(OR(G173="30L",G173="30R"),_xlfn.XLOOKUP(C173,Tabla42[ADEP],Tabla42[SID 30L],""),""))</f>
        <v>NUDAL</v>
      </c>
      <c r="S173" s="3">
        <f t="shared" si="2"/>
        <v>21</v>
      </c>
      <c r="T173" s="3" t="str">
        <f>_xlfn.XLOOKUP(C173,Tabla42[ADEP],Tabla42[Sector],"")</f>
        <v>Sector 3</v>
      </c>
    </row>
    <row r="174" spans="1:20" x14ac:dyDescent="0.2">
      <c r="A174" s="16" t="s">
        <v>301</v>
      </c>
      <c r="B174" s="16" t="s">
        <v>18</v>
      </c>
      <c r="C174" s="16" t="s">
        <v>32</v>
      </c>
      <c r="D174" s="16" t="s">
        <v>53</v>
      </c>
      <c r="E174" s="16" t="s">
        <v>277</v>
      </c>
      <c r="F174" s="17">
        <v>46303.909444444449</v>
      </c>
      <c r="G174" s="16" t="s">
        <v>21</v>
      </c>
      <c r="H174" s="16" t="s">
        <v>3180</v>
      </c>
      <c r="I174" s="16">
        <v>360</v>
      </c>
      <c r="J174" s="16" t="s">
        <v>22</v>
      </c>
      <c r="K174" s="16" t="s">
        <v>23</v>
      </c>
      <c r="L174" s="16">
        <v>867</v>
      </c>
      <c r="M174" s="16" t="s">
        <v>35</v>
      </c>
      <c r="N174" s="17">
        <v>46303.957303240742</v>
      </c>
      <c r="O174" s="16">
        <v>360</v>
      </c>
      <c r="P174" s="16" t="s">
        <v>25</v>
      </c>
      <c r="Q174" s="16">
        <v>190</v>
      </c>
      <c r="R174" s="3" t="str">
        <f>IF(OR(G174="12R",G174="12L"),_xlfn.XLOOKUP(C174,Tabla42[ADEP],Tabla42[SID 12R],""),IF(OR(G174="30L",G174="30R"),_xlfn.XLOOKUP(C174,Tabla42[ADEP],Tabla42[SID 30L],""),""))</f>
        <v>UDGUV</v>
      </c>
      <c r="S174" s="3">
        <f t="shared" si="2"/>
        <v>21</v>
      </c>
      <c r="T174" s="3" t="str">
        <f>_xlfn.XLOOKUP(C174,Tabla42[ADEP],Tabla42[Sector],"")</f>
        <v>Sector 2</v>
      </c>
    </row>
    <row r="175" spans="1:20" x14ac:dyDescent="0.2">
      <c r="A175" s="16" t="s">
        <v>299</v>
      </c>
      <c r="B175" s="16" t="s">
        <v>18</v>
      </c>
      <c r="C175" s="16" t="s">
        <v>300</v>
      </c>
      <c r="D175" s="16" t="s">
        <v>117</v>
      </c>
      <c r="E175" s="16" t="s">
        <v>3181</v>
      </c>
      <c r="F175" s="17">
        <v>46303.910891203705</v>
      </c>
      <c r="G175" s="16" t="s">
        <v>21</v>
      </c>
      <c r="H175" s="16" t="s">
        <v>3182</v>
      </c>
      <c r="I175" s="16">
        <v>340</v>
      </c>
      <c r="J175" s="16" t="s">
        <v>22</v>
      </c>
      <c r="K175" s="16" t="s">
        <v>23</v>
      </c>
      <c r="L175" s="16">
        <v>875</v>
      </c>
      <c r="M175" s="16" t="s">
        <v>35</v>
      </c>
      <c r="N175" s="17">
        <v>46303.960636574076</v>
      </c>
      <c r="O175" s="16">
        <v>340</v>
      </c>
      <c r="P175" s="16" t="s">
        <v>25</v>
      </c>
      <c r="Q175" s="16">
        <v>190</v>
      </c>
      <c r="R175" s="3" t="str">
        <f>IF(OR(G175="12R",G175="12L"),_xlfn.XLOOKUP(C175,Tabla42[ADEP],Tabla42[SID 12R],""),IF(OR(G175="30L",G175="30R"),_xlfn.XLOOKUP(C175,Tabla42[ADEP],Tabla42[SID 30L],""),""))</f>
        <v>OMSUK</v>
      </c>
      <c r="S175" s="3">
        <f t="shared" si="2"/>
        <v>21</v>
      </c>
      <c r="T175" s="3" t="str">
        <f>_xlfn.XLOOKUP(C175,Tabla42[ADEP],Tabla42[Sector],"")</f>
        <v>Sector 3</v>
      </c>
    </row>
    <row r="176" spans="1:20" x14ac:dyDescent="0.2">
      <c r="A176" s="16" t="s">
        <v>309</v>
      </c>
      <c r="B176" s="16" t="s">
        <v>18</v>
      </c>
      <c r="C176" s="16" t="s">
        <v>19</v>
      </c>
      <c r="D176" s="16" t="s">
        <v>53</v>
      </c>
      <c r="E176" s="16" t="s">
        <v>3183</v>
      </c>
      <c r="F176" s="17">
        <v>46303.91233796296</v>
      </c>
      <c r="G176" s="16" t="s">
        <v>21</v>
      </c>
      <c r="H176" s="16" t="s">
        <v>3184</v>
      </c>
      <c r="I176" s="16">
        <v>380</v>
      </c>
      <c r="J176" s="16" t="s">
        <v>22</v>
      </c>
      <c r="K176" s="16" t="s">
        <v>23</v>
      </c>
      <c r="L176" s="16">
        <v>922</v>
      </c>
      <c r="M176" s="16" t="s">
        <v>3185</v>
      </c>
      <c r="N176" s="17">
        <v>46303.962824074071</v>
      </c>
      <c r="O176" s="16">
        <v>380</v>
      </c>
      <c r="P176" s="16" t="s">
        <v>25</v>
      </c>
      <c r="Q176" s="16">
        <v>190</v>
      </c>
      <c r="R176" s="3" t="str">
        <f>IF(OR(G176="12R",G176="12L"),_xlfn.XLOOKUP(C176,Tabla42[ADEP],Tabla42[SID 12R],""),IF(OR(G176="30L",G176="30R"),_xlfn.XLOOKUP(C176,Tabla42[ADEP],Tabla42[SID 30L],""),""))</f>
        <v>UDGUV</v>
      </c>
      <c r="S176" s="3">
        <f t="shared" si="2"/>
        <v>21</v>
      </c>
      <c r="T176" s="3" t="str">
        <f>_xlfn.XLOOKUP(C176,Tabla42[ADEP],Tabla42[Sector],"")</f>
        <v>Sector 2</v>
      </c>
    </row>
    <row r="177" spans="1:20" x14ac:dyDescent="0.2">
      <c r="A177" s="16" t="s">
        <v>314</v>
      </c>
      <c r="B177" s="16" t="s">
        <v>18</v>
      </c>
      <c r="C177" s="16" t="s">
        <v>179</v>
      </c>
      <c r="D177" s="16" t="s">
        <v>33</v>
      </c>
      <c r="E177" s="16" t="s">
        <v>554</v>
      </c>
      <c r="F177" s="17">
        <v>46303.913958333331</v>
      </c>
      <c r="G177" s="16" t="s">
        <v>21</v>
      </c>
      <c r="H177" s="16" t="s">
        <v>3186</v>
      </c>
      <c r="I177" s="16">
        <v>360</v>
      </c>
      <c r="J177" s="16" t="s">
        <v>22</v>
      </c>
      <c r="K177" s="16" t="s">
        <v>23</v>
      </c>
      <c r="L177" s="16">
        <v>839</v>
      </c>
      <c r="M177" s="16" t="s">
        <v>179</v>
      </c>
      <c r="N177" s="17">
        <v>46303.96166666667</v>
      </c>
      <c r="O177" s="16">
        <v>15</v>
      </c>
      <c r="P177" s="16" t="s">
        <v>25</v>
      </c>
      <c r="Q177" s="16">
        <v>190</v>
      </c>
      <c r="R177" s="3" t="str">
        <f>IF(OR(G177="12R",G177="12L"),_xlfn.XLOOKUP(C177,Tabla42[ADEP],Tabla42[SID 12R],""),IF(OR(G177="30L",G177="30R"),_xlfn.XLOOKUP(C177,Tabla42[ADEP],Tabla42[SID 30L],""),""))</f>
        <v>UDGUV</v>
      </c>
      <c r="S177" s="3">
        <f t="shared" si="2"/>
        <v>21</v>
      </c>
      <c r="T177" s="3" t="str">
        <f>_xlfn.XLOOKUP(C177,Tabla42[ADEP],Tabla42[Sector],"")</f>
        <v>Sector 2</v>
      </c>
    </row>
    <row r="178" spans="1:20" x14ac:dyDescent="0.2">
      <c r="A178" s="16" t="s">
        <v>3187</v>
      </c>
      <c r="B178" s="16" t="s">
        <v>18</v>
      </c>
      <c r="C178" s="16" t="s">
        <v>233</v>
      </c>
      <c r="D178" s="16" t="s">
        <v>451</v>
      </c>
      <c r="E178" s="16"/>
      <c r="F178" s="17">
        <v>46303.915370370371</v>
      </c>
      <c r="G178" s="16" t="s">
        <v>21</v>
      </c>
      <c r="H178" s="16" t="s">
        <v>3188</v>
      </c>
      <c r="I178" s="16">
        <v>430</v>
      </c>
      <c r="J178" s="16" t="s">
        <v>22</v>
      </c>
      <c r="K178" s="16" t="s">
        <v>50</v>
      </c>
      <c r="L178" s="16">
        <v>857</v>
      </c>
      <c r="M178" s="16" t="s">
        <v>3189</v>
      </c>
      <c r="N178" s="17">
        <v>46303.962129629625</v>
      </c>
      <c r="O178" s="16">
        <v>430</v>
      </c>
      <c r="P178" s="16" t="s">
        <v>25</v>
      </c>
      <c r="Q178" s="16">
        <v>30</v>
      </c>
      <c r="R178" s="3" t="str">
        <f>IF(OR(G178="12R",G178="12L"),_xlfn.XLOOKUP(C178,Tabla42[ADEP],Tabla42[SID 12R],""),IF(OR(G178="30L",G178="30R"),_xlfn.XLOOKUP(C178,Tabla42[ADEP],Tabla42[SID 30L],""),""))</f>
        <v>UDGUV</v>
      </c>
      <c r="S178" s="3">
        <f t="shared" si="2"/>
        <v>21</v>
      </c>
      <c r="T178" s="3" t="str">
        <f>_xlfn.XLOOKUP(C178,Tabla42[ADEP],Tabla42[Sector],"")</f>
        <v>Sector 2</v>
      </c>
    </row>
    <row r="179" spans="1:20" x14ac:dyDescent="0.2">
      <c r="A179" s="16" t="s">
        <v>216</v>
      </c>
      <c r="B179" s="16" t="s">
        <v>18</v>
      </c>
      <c r="C179" s="16" t="s">
        <v>32</v>
      </c>
      <c r="D179" s="16" t="s">
        <v>20</v>
      </c>
      <c r="E179" s="16" t="s">
        <v>169</v>
      </c>
      <c r="F179" s="17">
        <v>46303.917164351849</v>
      </c>
      <c r="G179" s="16" t="s">
        <v>21</v>
      </c>
      <c r="H179" s="16" t="s">
        <v>3190</v>
      </c>
      <c r="I179" s="16">
        <v>340</v>
      </c>
      <c r="J179" s="16" t="s">
        <v>22</v>
      </c>
      <c r="K179" s="16" t="s">
        <v>23</v>
      </c>
      <c r="L179" s="16">
        <v>880</v>
      </c>
      <c r="M179" s="16" t="s">
        <v>35</v>
      </c>
      <c r="N179" s="17">
        <v>46303.96575231482</v>
      </c>
      <c r="O179" s="16">
        <v>340</v>
      </c>
      <c r="P179" s="16" t="s">
        <v>25</v>
      </c>
      <c r="Q179" s="16">
        <v>190</v>
      </c>
      <c r="R179" s="3" t="str">
        <f>IF(OR(G179="12R",G179="12L"),_xlfn.XLOOKUP(C179,Tabla42[ADEP],Tabla42[SID 12R],""),IF(OR(G179="30L",G179="30R"),_xlfn.XLOOKUP(C179,Tabla42[ADEP],Tabla42[SID 30L],""),""))</f>
        <v>UDGUV</v>
      </c>
      <c r="S179" s="3">
        <f t="shared" si="2"/>
        <v>22</v>
      </c>
      <c r="T179" s="3" t="str">
        <f>_xlfn.XLOOKUP(C179,Tabla42[ADEP],Tabla42[Sector],"")</f>
        <v>Sector 2</v>
      </c>
    </row>
    <row r="180" spans="1:20" x14ac:dyDescent="0.2">
      <c r="A180" s="16" t="s">
        <v>296</v>
      </c>
      <c r="B180" s="16" t="s">
        <v>18</v>
      </c>
      <c r="C180" s="16" t="s">
        <v>121</v>
      </c>
      <c r="D180" s="16" t="s">
        <v>122</v>
      </c>
      <c r="E180" s="16" t="s">
        <v>2382</v>
      </c>
      <c r="F180" s="17">
        <v>46303.918599537035</v>
      </c>
      <c r="G180" s="16" t="s">
        <v>21</v>
      </c>
      <c r="H180" s="16" t="s">
        <v>3191</v>
      </c>
      <c r="I180" s="16">
        <v>380</v>
      </c>
      <c r="J180" s="16" t="s">
        <v>22</v>
      </c>
      <c r="K180" s="16" t="s">
        <v>23</v>
      </c>
      <c r="L180" s="16">
        <v>829</v>
      </c>
      <c r="M180" s="16" t="s">
        <v>3192</v>
      </c>
      <c r="N180" s="17">
        <v>46303.964432870373</v>
      </c>
      <c r="O180" s="16">
        <v>380</v>
      </c>
      <c r="P180" s="16" t="s">
        <v>25</v>
      </c>
      <c r="Q180" s="16">
        <v>190</v>
      </c>
      <c r="R180" s="3" t="str">
        <f>IF(OR(G180="12R",G180="12L"),_xlfn.XLOOKUP(C180,Tabla42[ADEP],Tabla42[SID 12R],""),IF(OR(G180="30L",G180="30R"),_xlfn.XLOOKUP(C180,Tabla42[ADEP],Tabla42[SID 30L],""),""))</f>
        <v>ENEBA</v>
      </c>
      <c r="S180" s="3">
        <f t="shared" si="2"/>
        <v>22</v>
      </c>
      <c r="T180" s="3" t="str">
        <f>_xlfn.XLOOKUP(C180,Tabla42[ADEP],Tabla42[Sector],"")</f>
        <v>Sector 3</v>
      </c>
    </row>
    <row r="181" spans="1:20" x14ac:dyDescent="0.2">
      <c r="A181" s="16" t="s">
        <v>312</v>
      </c>
      <c r="B181" s="16" t="s">
        <v>18</v>
      </c>
      <c r="C181" s="16" t="s">
        <v>204</v>
      </c>
      <c r="D181" s="16" t="s">
        <v>33</v>
      </c>
      <c r="E181" s="16" t="s">
        <v>3193</v>
      </c>
      <c r="F181" s="17">
        <v>46303.919814814813</v>
      </c>
      <c r="G181" s="16" t="s">
        <v>21</v>
      </c>
      <c r="H181" s="16" t="s">
        <v>3194</v>
      </c>
      <c r="I181" s="16">
        <v>310</v>
      </c>
      <c r="J181" s="16" t="s">
        <v>22</v>
      </c>
      <c r="K181" s="16" t="s">
        <v>23</v>
      </c>
      <c r="L181" s="16">
        <v>150</v>
      </c>
      <c r="M181" s="16" t="s">
        <v>111</v>
      </c>
      <c r="N181" s="17">
        <v>46303.929872685185</v>
      </c>
      <c r="O181" s="16">
        <v>238</v>
      </c>
      <c r="P181" s="16" t="s">
        <v>25</v>
      </c>
      <c r="Q181" s="16">
        <v>190</v>
      </c>
      <c r="R181" s="3" t="str">
        <f>IF(OR(G181="12R",G181="12L"),_xlfn.XLOOKUP(C181,Tabla42[ADEP],Tabla42[SID 12R],""),IF(OR(G181="30L",G181="30R"),_xlfn.XLOOKUP(C181,Tabla42[ADEP],Tabla42[SID 30L],""),""))</f>
        <v>TAKUX</v>
      </c>
      <c r="S181" s="3">
        <f t="shared" si="2"/>
        <v>22</v>
      </c>
      <c r="T181" s="3" t="str">
        <f>_xlfn.XLOOKUP(C181,Tabla42[ADEP],Tabla42[Sector],"")</f>
        <v>Sector 7</v>
      </c>
    </row>
    <row r="182" spans="1:20" x14ac:dyDescent="0.2">
      <c r="A182" s="16" t="s">
        <v>318</v>
      </c>
      <c r="B182" s="16" t="s">
        <v>18</v>
      </c>
      <c r="C182" s="16" t="s">
        <v>116</v>
      </c>
      <c r="D182" s="16" t="s">
        <v>43</v>
      </c>
      <c r="E182" s="16" t="s">
        <v>3195</v>
      </c>
      <c r="F182" s="17">
        <v>46303.930914351848</v>
      </c>
      <c r="G182" s="16" t="s">
        <v>21</v>
      </c>
      <c r="H182" s="16" t="s">
        <v>3196</v>
      </c>
      <c r="I182" s="16">
        <v>380</v>
      </c>
      <c r="J182" s="16" t="s">
        <v>22</v>
      </c>
      <c r="K182" s="16" t="s">
        <v>23</v>
      </c>
      <c r="L182" s="16">
        <v>730</v>
      </c>
      <c r="M182" s="16" t="s">
        <v>210</v>
      </c>
      <c r="N182" s="17">
        <v>46303.970578703702</v>
      </c>
      <c r="O182" s="16">
        <v>340</v>
      </c>
      <c r="P182" s="16" t="s">
        <v>25</v>
      </c>
      <c r="Q182" s="16">
        <v>190</v>
      </c>
      <c r="R182" s="3" t="str">
        <f>IF(OR(G182="12R",G182="12L"),_xlfn.XLOOKUP(C182,Tabla42[ADEP],Tabla42[SID 12R],""),IF(OR(G182="30L",G182="30R"),_xlfn.XLOOKUP(C182,Tabla42[ADEP],Tabla42[SID 30L],""),""))</f>
        <v>ENEBA</v>
      </c>
      <c r="S182" s="3">
        <f t="shared" si="2"/>
        <v>22</v>
      </c>
      <c r="T182" s="3" t="str">
        <f>_xlfn.XLOOKUP(C182,Tabla42[ADEP],Tabla42[Sector],"")</f>
        <v>Sector 3</v>
      </c>
    </row>
    <row r="183" spans="1:20" x14ac:dyDescent="0.2">
      <c r="A183" s="16" t="s">
        <v>311</v>
      </c>
      <c r="B183" s="16" t="s">
        <v>18</v>
      </c>
      <c r="C183" s="16" t="s">
        <v>109</v>
      </c>
      <c r="D183" s="16" t="s">
        <v>122</v>
      </c>
      <c r="E183" s="16" t="s">
        <v>1022</v>
      </c>
      <c r="F183" s="17">
        <v>46303.936585648145</v>
      </c>
      <c r="G183" s="16" t="s">
        <v>21</v>
      </c>
      <c r="H183" s="16" t="s">
        <v>3197</v>
      </c>
      <c r="I183" s="16">
        <v>350</v>
      </c>
      <c r="J183" s="16" t="s">
        <v>22</v>
      </c>
      <c r="K183" s="16" t="s">
        <v>23</v>
      </c>
      <c r="L183" s="16">
        <v>153</v>
      </c>
      <c r="M183" s="16" t="s">
        <v>111</v>
      </c>
      <c r="N183" s="17">
        <v>46303.946527777778</v>
      </c>
      <c r="O183" s="16">
        <v>284</v>
      </c>
      <c r="P183" s="16" t="s">
        <v>25</v>
      </c>
      <c r="Q183" s="16">
        <v>190</v>
      </c>
      <c r="R183" s="3" t="str">
        <f>IF(OR(G183="12R",G183="12L"),_xlfn.XLOOKUP(C183,Tabla42[ADEP],Tabla42[SID 12R],""),IF(OR(G183="30L",G183="30R"),_xlfn.XLOOKUP(C183,Tabla42[ADEP],Tabla42[SID 30L],""),""))</f>
        <v>TAKUX</v>
      </c>
      <c r="S183" s="3">
        <f t="shared" si="2"/>
        <v>22</v>
      </c>
      <c r="T183" s="3" t="str">
        <f>_xlfn.XLOOKUP(C183,Tabla42[ADEP],Tabla42[Sector],"")</f>
        <v>Sector 7</v>
      </c>
    </row>
    <row r="184" spans="1:20" x14ac:dyDescent="0.2">
      <c r="A184" s="16" t="s">
        <v>291</v>
      </c>
      <c r="B184" s="16" t="s">
        <v>18</v>
      </c>
      <c r="C184" s="16" t="s">
        <v>209</v>
      </c>
      <c r="D184" s="16" t="s">
        <v>110</v>
      </c>
      <c r="E184" s="16" t="s">
        <v>3198</v>
      </c>
      <c r="F184" s="17">
        <v>46303.937789351854</v>
      </c>
      <c r="G184" s="16" t="s">
        <v>21</v>
      </c>
      <c r="H184" s="16" t="s">
        <v>3199</v>
      </c>
      <c r="I184" s="16">
        <v>400</v>
      </c>
      <c r="J184" s="16" t="s">
        <v>22</v>
      </c>
      <c r="K184" s="16" t="s">
        <v>23</v>
      </c>
      <c r="L184" s="16">
        <v>735</v>
      </c>
      <c r="M184" s="16" t="s">
        <v>210</v>
      </c>
      <c r="N184" s="17">
        <v>46303.978402777779</v>
      </c>
      <c r="O184" s="16">
        <v>400</v>
      </c>
      <c r="P184" s="16" t="s">
        <v>25</v>
      </c>
      <c r="Q184" s="16">
        <v>190</v>
      </c>
      <c r="R184" s="3" t="str">
        <f>IF(OR(G184="12R",G184="12L"),_xlfn.XLOOKUP(C184,Tabla42[ADEP],Tabla42[SID 12R],""),IF(OR(G184="30L",G184="30R"),_xlfn.XLOOKUP(C184,Tabla42[ADEP],Tabla42[SID 30L],""),""))</f>
        <v>ENEBA</v>
      </c>
      <c r="S184" s="3">
        <f t="shared" si="2"/>
        <v>22</v>
      </c>
      <c r="T184" s="3" t="str">
        <f>_xlfn.XLOOKUP(C184,Tabla42[ADEP],Tabla42[Sector],"")</f>
        <v>Sector 3</v>
      </c>
    </row>
    <row r="185" spans="1:20" x14ac:dyDescent="0.2">
      <c r="A185" s="16" t="s">
        <v>1280</v>
      </c>
      <c r="B185" s="16" t="s">
        <v>18</v>
      </c>
      <c r="C185" s="16" t="s">
        <v>742</v>
      </c>
      <c r="D185" s="16" t="s">
        <v>28</v>
      </c>
      <c r="E185" s="16" t="s">
        <v>3200</v>
      </c>
      <c r="F185" s="17">
        <v>46303.939016203702</v>
      </c>
      <c r="G185" s="16" t="s">
        <v>21</v>
      </c>
      <c r="H185" s="16" t="s">
        <v>3201</v>
      </c>
      <c r="I185" s="16">
        <v>360</v>
      </c>
      <c r="J185" s="16" t="s">
        <v>22</v>
      </c>
      <c r="K185" s="16" t="s">
        <v>23</v>
      </c>
      <c r="L185" s="16">
        <v>769</v>
      </c>
      <c r="M185" s="16" t="s">
        <v>210</v>
      </c>
      <c r="N185" s="17">
        <v>46303.980694444443</v>
      </c>
      <c r="O185" s="16">
        <v>360</v>
      </c>
      <c r="P185" s="16" t="s">
        <v>25</v>
      </c>
      <c r="Q185" s="16">
        <v>190</v>
      </c>
      <c r="R185" s="3" t="str">
        <f>IF(OR(G185="12R",G185="12L"),_xlfn.XLOOKUP(C185,Tabla42[ADEP],Tabla42[SID 12R],""),IF(OR(G185="30L",G185="30R"),_xlfn.XLOOKUP(C185,Tabla42[ADEP],Tabla42[SID 30L],""),""))</f>
        <v>UDGUV</v>
      </c>
      <c r="S185" s="3">
        <f t="shared" si="2"/>
        <v>22</v>
      </c>
      <c r="T185" s="3" t="str">
        <f>_xlfn.XLOOKUP(C185,Tabla42[ADEP],Tabla42[Sector],"")</f>
        <v>Sector 2</v>
      </c>
    </row>
    <row r="186" spans="1:20" x14ac:dyDescent="0.2">
      <c r="A186" s="16" t="s">
        <v>488</v>
      </c>
      <c r="B186" s="16" t="s">
        <v>18</v>
      </c>
      <c r="C186" s="16" t="s">
        <v>489</v>
      </c>
      <c r="D186" s="16" t="s">
        <v>28</v>
      </c>
      <c r="E186" s="16" t="s">
        <v>1070</v>
      </c>
      <c r="F186" s="17">
        <v>46303.940763888888</v>
      </c>
      <c r="G186" s="16" t="s">
        <v>21</v>
      </c>
      <c r="H186" s="16" t="s">
        <v>3202</v>
      </c>
      <c r="I186" s="16">
        <v>340</v>
      </c>
      <c r="J186" s="16" t="s">
        <v>22</v>
      </c>
      <c r="K186" s="16" t="s">
        <v>23</v>
      </c>
      <c r="L186" s="16">
        <v>874</v>
      </c>
      <c r="M186" s="16" t="s">
        <v>35</v>
      </c>
      <c r="N186" s="17">
        <v>46303.990347222221</v>
      </c>
      <c r="O186" s="16">
        <v>340</v>
      </c>
      <c r="P186" s="16" t="s">
        <v>25</v>
      </c>
      <c r="Q186" s="16">
        <v>190</v>
      </c>
      <c r="R186" s="3" t="str">
        <f>IF(OR(G186="12R",G186="12L"),_xlfn.XLOOKUP(C186,Tabla42[ADEP],Tabla42[SID 12R],""),IF(OR(G186="30L",G186="30R"),_xlfn.XLOOKUP(C186,Tabla42[ADEP],Tabla42[SID 30L],""),""))</f>
        <v>OMSUK</v>
      </c>
      <c r="S186" s="3">
        <f t="shared" si="2"/>
        <v>22</v>
      </c>
      <c r="T186" s="3" t="str">
        <f>_xlfn.XLOOKUP(C186,Tabla42[ADEP],Tabla42[Sector],"")</f>
        <v>Sector 3</v>
      </c>
    </row>
    <row r="187" spans="1:20" x14ac:dyDescent="0.2">
      <c r="A187" s="16" t="s">
        <v>503</v>
      </c>
      <c r="B187" s="16" t="s">
        <v>18</v>
      </c>
      <c r="C187" s="16" t="s">
        <v>489</v>
      </c>
      <c r="D187" s="16" t="s">
        <v>28</v>
      </c>
      <c r="E187" s="16" t="s">
        <v>1026</v>
      </c>
      <c r="F187" s="17">
        <v>46303.942442129628</v>
      </c>
      <c r="G187" s="16" t="s">
        <v>21</v>
      </c>
      <c r="H187" s="16" t="s">
        <v>3203</v>
      </c>
      <c r="I187" s="16">
        <v>320</v>
      </c>
      <c r="J187" s="16" t="s">
        <v>22</v>
      </c>
      <c r="K187" s="16" t="s">
        <v>23</v>
      </c>
      <c r="L187" s="16">
        <v>734</v>
      </c>
      <c r="M187" s="16" t="s">
        <v>210</v>
      </c>
      <c r="N187" s="17">
        <v>46303.983275462961</v>
      </c>
      <c r="O187" s="16">
        <v>320</v>
      </c>
      <c r="P187" s="16" t="s">
        <v>25</v>
      </c>
      <c r="Q187" s="16">
        <v>190</v>
      </c>
      <c r="R187" s="3" t="str">
        <f>IF(OR(G187="12R",G187="12L"),_xlfn.XLOOKUP(C187,Tabla42[ADEP],Tabla42[SID 12R],""),IF(OR(G187="30L",G187="30R"),_xlfn.XLOOKUP(C187,Tabla42[ADEP],Tabla42[SID 30L],""),""))</f>
        <v>OMSUK</v>
      </c>
      <c r="S187" s="3">
        <f t="shared" si="2"/>
        <v>22</v>
      </c>
      <c r="T187" s="3" t="str">
        <f>_xlfn.XLOOKUP(C187,Tabla42[ADEP],Tabla42[Sector],"")</f>
        <v>Sector 3</v>
      </c>
    </row>
    <row r="188" spans="1:20" x14ac:dyDescent="0.2">
      <c r="A188" s="16" t="s">
        <v>319</v>
      </c>
      <c r="B188" s="16" t="s">
        <v>18</v>
      </c>
      <c r="C188" s="16" t="s">
        <v>320</v>
      </c>
      <c r="D188" s="16" t="s">
        <v>53</v>
      </c>
      <c r="E188" s="16" t="s">
        <v>392</v>
      </c>
      <c r="F188" s="17">
        <v>46303.945069444446</v>
      </c>
      <c r="G188" s="16" t="s">
        <v>21</v>
      </c>
      <c r="H188" s="16" t="s">
        <v>3204</v>
      </c>
      <c r="I188" s="16">
        <v>380</v>
      </c>
      <c r="J188" s="16" t="s">
        <v>22</v>
      </c>
      <c r="K188" s="16" t="s">
        <v>23</v>
      </c>
      <c r="L188" s="16">
        <v>870</v>
      </c>
      <c r="M188" s="16" t="s">
        <v>167</v>
      </c>
      <c r="N188" s="17">
        <v>46303.99381944444</v>
      </c>
      <c r="O188" s="16">
        <v>380</v>
      </c>
      <c r="P188" s="16" t="s">
        <v>25</v>
      </c>
      <c r="Q188" s="16">
        <v>190</v>
      </c>
      <c r="R188" s="3" t="str">
        <f>IF(OR(G188="12R",G188="12L"),_xlfn.XLOOKUP(C188,Tabla42[ADEP],Tabla42[SID 12R],""),IF(OR(G188="30L",G188="30R"),_xlfn.XLOOKUP(C188,Tabla42[ADEP],Tabla42[SID 30L],""),""))</f>
        <v>UDGUV</v>
      </c>
      <c r="S188" s="3">
        <f t="shared" si="2"/>
        <v>22</v>
      </c>
      <c r="T188" s="3" t="str">
        <f>_xlfn.XLOOKUP(C188,Tabla42[ADEP],Tabla42[Sector],"")</f>
        <v>Sector 2</v>
      </c>
    </row>
    <row r="189" spans="1:20" x14ac:dyDescent="0.2">
      <c r="A189" s="16" t="s">
        <v>333</v>
      </c>
      <c r="B189" s="16" t="s">
        <v>18</v>
      </c>
      <c r="C189" s="16" t="s">
        <v>204</v>
      </c>
      <c r="D189" s="16" t="s">
        <v>53</v>
      </c>
      <c r="E189" s="16" t="s">
        <v>3205</v>
      </c>
      <c r="F189" s="17">
        <v>46303.980150462958</v>
      </c>
      <c r="G189" s="16" t="s">
        <v>21</v>
      </c>
      <c r="H189" s="16" t="s">
        <v>3206</v>
      </c>
      <c r="I189" s="16">
        <v>390</v>
      </c>
      <c r="J189" s="16" t="s">
        <v>22</v>
      </c>
      <c r="K189" s="16" t="s">
        <v>23</v>
      </c>
      <c r="L189" s="16">
        <v>149</v>
      </c>
      <c r="M189" s="16" t="s">
        <v>111</v>
      </c>
      <c r="N189" s="17">
        <v>46303.989618055552</v>
      </c>
      <c r="O189" s="16">
        <v>262</v>
      </c>
      <c r="P189" s="16" t="s">
        <v>25</v>
      </c>
      <c r="Q189" s="16">
        <v>190</v>
      </c>
      <c r="R189" s="3" t="str">
        <f>IF(OR(G189="12R",G189="12L"),_xlfn.XLOOKUP(C189,Tabla42[ADEP],Tabla42[SID 12R],""),IF(OR(G189="30L",G189="30R"),_xlfn.XLOOKUP(C189,Tabla42[ADEP],Tabla42[SID 30L],""),""))</f>
        <v>TAKUX</v>
      </c>
      <c r="S189" s="3">
        <f t="shared" si="2"/>
        <v>23</v>
      </c>
      <c r="T189" s="3" t="str">
        <f>_xlfn.XLOOKUP(C189,Tabla42[ADEP],Tabla42[Sector],"")</f>
        <v>Sector 7</v>
      </c>
    </row>
    <row r="190" spans="1:20" x14ac:dyDescent="0.2">
      <c r="F190" s="2"/>
      <c r="I190" s="3"/>
      <c r="L190" s="3"/>
      <c r="N190" s="2"/>
      <c r="O190" s="3"/>
      <c r="Q190" s="3"/>
      <c r="R190" s="3" t="str">
        <f>IF(OR(G190="12R",G190="12L"),_xlfn.XLOOKUP(C190,Tabla42[ADEP],Tabla42[SID 12R],""),IF(OR(G190="30L",G190="30R"),_xlfn.XLOOKUP(C190,Tabla42[ADEP],Tabla42[SID 30L],""),""))</f>
        <v/>
      </c>
      <c r="S190" s="3">
        <f t="shared" si="2"/>
        <v>0</v>
      </c>
      <c r="T190" s="3" t="str">
        <f>_xlfn.XLOOKUP(C190,Tabla42[ADEP],Tabla42[Sector],"")</f>
        <v/>
      </c>
    </row>
    <row r="191" spans="1:20" x14ac:dyDescent="0.2">
      <c r="F191" s="2"/>
      <c r="I191" s="3"/>
      <c r="L191" s="3"/>
      <c r="N191" s="2"/>
      <c r="O191" s="3"/>
      <c r="Q191" s="3"/>
      <c r="R191" s="3" t="str">
        <f>IF(OR(G191="12R",G191="12L"),_xlfn.XLOOKUP(C191,Tabla42[ADEP],Tabla42[SID 12R],""),IF(OR(G191="30L",G191="30R"),_xlfn.XLOOKUP(C191,Tabla42[ADEP],Tabla42[SID 30L],""),""))</f>
        <v/>
      </c>
      <c r="S191" s="3">
        <f t="shared" si="2"/>
        <v>0</v>
      </c>
      <c r="T191" s="3" t="str">
        <f>_xlfn.XLOOKUP(C191,Tabla42[ADEP],Tabla42[Sector],"")</f>
        <v/>
      </c>
    </row>
    <row r="192" spans="1:20" x14ac:dyDescent="0.2">
      <c r="F192" s="2"/>
      <c r="I192" s="3"/>
      <c r="L192" s="3"/>
      <c r="N192" s="2"/>
      <c r="O192" s="3"/>
      <c r="Q192" s="3"/>
      <c r="R192" s="3" t="str">
        <f>IF(OR(G192="12R",G192="12L"),_xlfn.XLOOKUP(C192,Tabla42[ADEP],Tabla42[SID 12R],""),IF(OR(G192="30L",G192="30R"),_xlfn.XLOOKUP(C192,Tabla42[ADEP],Tabla42[SID 30L],""),""))</f>
        <v/>
      </c>
      <c r="S192" s="3">
        <f t="shared" si="2"/>
        <v>0</v>
      </c>
      <c r="T192" s="3" t="str">
        <f>_xlfn.XLOOKUP(C192,Tabla42[ADEP],Tabla42[Sector],"")</f>
        <v/>
      </c>
    </row>
    <row r="193" spans="6:20" x14ac:dyDescent="0.2">
      <c r="F193" s="2"/>
      <c r="I193" s="3"/>
      <c r="L193" s="3"/>
      <c r="N193" s="2"/>
      <c r="O193" s="3"/>
      <c r="Q193" s="3"/>
      <c r="R193" s="3" t="str">
        <f>IF(OR(G193="12R",G193="12L"),_xlfn.XLOOKUP(C193,Tabla42[ADEP],Tabla42[SID 12R],""),IF(OR(G193="30L",G193="30R"),_xlfn.XLOOKUP(C193,Tabla42[ADEP],Tabla42[SID 30L],""),""))</f>
        <v/>
      </c>
      <c r="S193" s="3">
        <f t="shared" si="2"/>
        <v>0</v>
      </c>
      <c r="T193" s="3" t="str">
        <f>_xlfn.XLOOKUP(C193,Tabla42[ADEP],Tabla42[Sector],"")</f>
        <v/>
      </c>
    </row>
    <row r="194" spans="6:20" x14ac:dyDescent="0.2">
      <c r="F194" s="2"/>
      <c r="I194" s="3"/>
      <c r="L194" s="3"/>
      <c r="N194" s="2"/>
      <c r="O194" s="3"/>
      <c r="Q194" s="3"/>
      <c r="R194" s="3" t="str">
        <f>IF(OR(G194="12R",G194="12L"),_xlfn.XLOOKUP(C194,Tabla42[ADEP],Tabla42[SID 12R],""),IF(OR(G194="30L",G194="30R"),_xlfn.XLOOKUP(C194,Tabla42[ADEP],Tabla42[SID 30L],""),""))</f>
        <v/>
      </c>
      <c r="S194" s="3">
        <f t="shared" si="2"/>
        <v>0</v>
      </c>
      <c r="T194" s="3" t="str">
        <f>_xlfn.XLOOKUP(C194,Tabla42[ADEP],Tabla42[Sector],"")</f>
        <v/>
      </c>
    </row>
    <row r="195" spans="6:20" x14ac:dyDescent="0.2">
      <c r="F195" s="2"/>
      <c r="I195" s="3"/>
      <c r="L195" s="3"/>
      <c r="N195" s="2"/>
      <c r="O195" s="3"/>
      <c r="Q195" s="3"/>
      <c r="R195" s="3" t="str">
        <f>IF(OR(G195="12R",G195="12L"),_xlfn.XLOOKUP(C195,Tabla42[ADEP],Tabla42[SID 12R],""),IF(OR(G195="30L",G195="30R"),_xlfn.XLOOKUP(C195,Tabla42[ADEP],Tabla42[SID 30L],""),""))</f>
        <v/>
      </c>
      <c r="S195" s="3">
        <f t="shared" ref="S195:S220" si="3">HOUR(F195)</f>
        <v>0</v>
      </c>
      <c r="T195" s="3" t="str">
        <f>_xlfn.XLOOKUP(C195,Tabla42[ADEP],Tabla42[Sector],"")</f>
        <v/>
      </c>
    </row>
    <row r="196" spans="6: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6: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6: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6: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6: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6: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6: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6: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6: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6: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6: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6: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6: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0</v>
      </c>
      <c r="F227" s="8">
        <f t="shared" si="4"/>
        <v>1</v>
      </c>
      <c r="G227" s="8">
        <f t="shared" si="4"/>
        <v>0</v>
      </c>
      <c r="H227" s="8">
        <f t="shared" si="4"/>
        <v>1</v>
      </c>
      <c r="I227" s="9">
        <f t="shared" ref="I227:I235" si="5">SUM(B227:H227)</f>
        <v>2</v>
      </c>
    </row>
    <row r="228" spans="1:9" x14ac:dyDescent="0.2">
      <c r="A228" s="7">
        <v>15</v>
      </c>
      <c r="B228" s="8">
        <f t="shared" si="4"/>
        <v>1</v>
      </c>
      <c r="C228" s="8">
        <f t="shared" si="4"/>
        <v>2</v>
      </c>
      <c r="D228" s="8">
        <f t="shared" si="4"/>
        <v>0</v>
      </c>
      <c r="E228" s="8">
        <f t="shared" si="4"/>
        <v>2</v>
      </c>
      <c r="F228" s="8">
        <f t="shared" si="4"/>
        <v>0</v>
      </c>
      <c r="G228" s="8">
        <f t="shared" si="4"/>
        <v>0</v>
      </c>
      <c r="H228" s="8">
        <f t="shared" si="4"/>
        <v>7</v>
      </c>
      <c r="I228" s="9">
        <f t="shared" si="5"/>
        <v>12</v>
      </c>
    </row>
    <row r="229" spans="1:9" x14ac:dyDescent="0.2">
      <c r="A229" s="7">
        <v>16</v>
      </c>
      <c r="B229" s="8">
        <f t="shared" si="4"/>
        <v>2</v>
      </c>
      <c r="C229" s="8">
        <f t="shared" si="4"/>
        <v>4</v>
      </c>
      <c r="D229" s="8">
        <f t="shared" si="4"/>
        <v>0</v>
      </c>
      <c r="E229" s="8">
        <f t="shared" si="4"/>
        <v>0</v>
      </c>
      <c r="F229" s="8">
        <f t="shared" si="4"/>
        <v>3</v>
      </c>
      <c r="G229" s="8">
        <f t="shared" si="4"/>
        <v>1</v>
      </c>
      <c r="H229" s="8">
        <f t="shared" si="4"/>
        <v>9</v>
      </c>
      <c r="I229" s="9">
        <f t="shared" si="5"/>
        <v>19</v>
      </c>
    </row>
    <row r="230" spans="1:9" x14ac:dyDescent="0.2">
      <c r="A230" s="7">
        <v>17</v>
      </c>
      <c r="B230" s="8">
        <f t="shared" si="4"/>
        <v>0</v>
      </c>
      <c r="C230" s="8">
        <f t="shared" si="4"/>
        <v>4</v>
      </c>
      <c r="D230" s="8">
        <f t="shared" si="4"/>
        <v>1</v>
      </c>
      <c r="E230" s="8">
        <f t="shared" si="4"/>
        <v>2</v>
      </c>
      <c r="F230" s="8">
        <f t="shared" si="4"/>
        <v>5</v>
      </c>
      <c r="G230" s="8">
        <f t="shared" si="4"/>
        <v>2</v>
      </c>
      <c r="H230" s="8">
        <f t="shared" si="4"/>
        <v>6</v>
      </c>
      <c r="I230" s="9">
        <f t="shared" si="5"/>
        <v>20</v>
      </c>
    </row>
    <row r="231" spans="1:9" x14ac:dyDescent="0.2">
      <c r="A231" s="7">
        <v>18</v>
      </c>
      <c r="B231" s="8">
        <f t="shared" si="4"/>
        <v>1</v>
      </c>
      <c r="C231" s="8">
        <f t="shared" si="4"/>
        <v>6</v>
      </c>
      <c r="D231" s="8">
        <f t="shared" si="4"/>
        <v>0</v>
      </c>
      <c r="E231" s="8">
        <f t="shared" si="4"/>
        <v>0</v>
      </c>
      <c r="F231" s="8">
        <f t="shared" si="4"/>
        <v>7</v>
      </c>
      <c r="G231" s="8">
        <f t="shared" si="4"/>
        <v>2</v>
      </c>
      <c r="H231" s="8">
        <f t="shared" si="4"/>
        <v>5</v>
      </c>
      <c r="I231" s="9">
        <f t="shared" si="5"/>
        <v>21</v>
      </c>
    </row>
    <row r="232" spans="1:9" x14ac:dyDescent="0.2">
      <c r="A232" s="7">
        <v>19</v>
      </c>
      <c r="B232" s="8">
        <f t="shared" si="4"/>
        <v>0</v>
      </c>
      <c r="C232" s="8">
        <f t="shared" si="4"/>
        <v>5</v>
      </c>
      <c r="D232" s="8">
        <f t="shared" si="4"/>
        <v>0</v>
      </c>
      <c r="E232" s="8">
        <f t="shared" si="4"/>
        <v>3</v>
      </c>
      <c r="F232" s="8">
        <f t="shared" si="4"/>
        <v>4</v>
      </c>
      <c r="G232" s="8">
        <f t="shared" si="4"/>
        <v>1</v>
      </c>
      <c r="H232" s="8">
        <f t="shared" si="4"/>
        <v>8</v>
      </c>
      <c r="I232" s="9">
        <f t="shared" si="5"/>
        <v>21</v>
      </c>
    </row>
    <row r="233" spans="1:9" x14ac:dyDescent="0.2">
      <c r="A233" s="7">
        <v>20</v>
      </c>
      <c r="B233" s="8">
        <f t="shared" si="4"/>
        <v>0</v>
      </c>
      <c r="C233" s="8">
        <f t="shared" si="4"/>
        <v>6</v>
      </c>
      <c r="D233" s="8">
        <f t="shared" si="4"/>
        <v>0</v>
      </c>
      <c r="E233" s="8">
        <f t="shared" si="4"/>
        <v>0</v>
      </c>
      <c r="F233" s="8">
        <f t="shared" si="4"/>
        <v>1</v>
      </c>
      <c r="G233" s="8">
        <f t="shared" si="4"/>
        <v>0</v>
      </c>
      <c r="H233" s="8">
        <f t="shared" si="4"/>
        <v>6</v>
      </c>
      <c r="I233" s="9">
        <f t="shared" si="5"/>
        <v>13</v>
      </c>
    </row>
    <row r="234" spans="1:9" x14ac:dyDescent="0.2">
      <c r="A234" s="7">
        <v>21</v>
      </c>
      <c r="B234" s="8">
        <f t="shared" si="4"/>
        <v>2</v>
      </c>
      <c r="C234" s="8">
        <f t="shared" si="4"/>
        <v>2</v>
      </c>
      <c r="D234" s="8">
        <f t="shared" si="4"/>
        <v>0</v>
      </c>
      <c r="E234" s="8">
        <f t="shared" si="4"/>
        <v>4</v>
      </c>
      <c r="F234" s="8">
        <f t="shared" si="4"/>
        <v>8</v>
      </c>
      <c r="G234" s="8">
        <f t="shared" si="4"/>
        <v>0</v>
      </c>
      <c r="H234" s="8">
        <f t="shared" si="4"/>
        <v>11</v>
      </c>
      <c r="I234" s="9">
        <f t="shared" si="5"/>
        <v>27</v>
      </c>
    </row>
    <row r="235" spans="1:9" x14ac:dyDescent="0.2">
      <c r="A235" s="10">
        <v>22</v>
      </c>
      <c r="B235" s="11">
        <f t="shared" si="4"/>
        <v>0</v>
      </c>
      <c r="C235" s="11">
        <f t="shared" si="4"/>
        <v>3</v>
      </c>
      <c r="D235" s="11">
        <f t="shared" si="4"/>
        <v>0</v>
      </c>
      <c r="E235" s="11">
        <f t="shared" si="4"/>
        <v>0</v>
      </c>
      <c r="F235" s="11">
        <f t="shared" si="4"/>
        <v>2</v>
      </c>
      <c r="G235" s="11">
        <f t="shared" si="4"/>
        <v>2</v>
      </c>
      <c r="H235" s="11">
        <f t="shared" si="4"/>
        <v>3</v>
      </c>
      <c r="I235" s="12">
        <f t="shared" si="5"/>
        <v>10</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7</v>
      </c>
      <c r="C264" s="8">
        <f t="shared" si="6"/>
        <v>4</v>
      </c>
      <c r="D264" s="8">
        <f t="shared" si="6"/>
        <v>1</v>
      </c>
      <c r="E264" s="9">
        <f t="shared" si="7"/>
        <v>12</v>
      </c>
    </row>
    <row r="265" spans="1:9" x14ac:dyDescent="0.2">
      <c r="A265" s="7">
        <v>16</v>
      </c>
      <c r="B265" s="8">
        <f t="shared" si="6"/>
        <v>9</v>
      </c>
      <c r="C265" s="8">
        <f t="shared" si="6"/>
        <v>7</v>
      </c>
      <c r="D265" s="8">
        <f t="shared" si="6"/>
        <v>3</v>
      </c>
      <c r="E265" s="9">
        <f t="shared" si="7"/>
        <v>19</v>
      </c>
    </row>
    <row r="266" spans="1:9" x14ac:dyDescent="0.2">
      <c r="A266" s="7">
        <v>17</v>
      </c>
      <c r="B266" s="8">
        <f t="shared" si="6"/>
        <v>6</v>
      </c>
      <c r="C266" s="8">
        <f t="shared" si="6"/>
        <v>11</v>
      </c>
      <c r="D266" s="8">
        <f t="shared" si="6"/>
        <v>3</v>
      </c>
      <c r="E266" s="9">
        <f t="shared" si="7"/>
        <v>20</v>
      </c>
    </row>
    <row r="267" spans="1:9" x14ac:dyDescent="0.2">
      <c r="A267" s="7">
        <v>18</v>
      </c>
      <c r="B267" s="8">
        <f t="shared" si="6"/>
        <v>5</v>
      </c>
      <c r="C267" s="8">
        <f t="shared" si="6"/>
        <v>13</v>
      </c>
      <c r="D267" s="8">
        <f t="shared" si="6"/>
        <v>3</v>
      </c>
      <c r="E267" s="9">
        <f t="shared" si="7"/>
        <v>21</v>
      </c>
    </row>
    <row r="268" spans="1:9" x14ac:dyDescent="0.2">
      <c r="A268" s="7">
        <v>19</v>
      </c>
      <c r="B268" s="8">
        <f t="shared" si="6"/>
        <v>8</v>
      </c>
      <c r="C268" s="8">
        <f t="shared" si="6"/>
        <v>12</v>
      </c>
      <c r="D268" s="8">
        <f t="shared" si="6"/>
        <v>1</v>
      </c>
      <c r="E268" s="9">
        <f t="shared" si="7"/>
        <v>21</v>
      </c>
    </row>
    <row r="269" spans="1:9" x14ac:dyDescent="0.2">
      <c r="A269" s="7">
        <v>20</v>
      </c>
      <c r="B269" s="8">
        <f t="shared" si="6"/>
        <v>6</v>
      </c>
      <c r="C269" s="8">
        <f t="shared" si="6"/>
        <v>7</v>
      </c>
      <c r="D269" s="8">
        <f t="shared" si="6"/>
        <v>0</v>
      </c>
      <c r="E269" s="9">
        <f t="shared" si="7"/>
        <v>13</v>
      </c>
    </row>
    <row r="270" spans="1:9" x14ac:dyDescent="0.2">
      <c r="A270" s="7">
        <v>21</v>
      </c>
      <c r="B270" s="8">
        <f t="shared" si="6"/>
        <v>11</v>
      </c>
      <c r="C270" s="8">
        <f t="shared" si="6"/>
        <v>14</v>
      </c>
      <c r="D270" s="8">
        <f t="shared" si="6"/>
        <v>2</v>
      </c>
      <c r="E270" s="9">
        <f t="shared" si="7"/>
        <v>27</v>
      </c>
    </row>
    <row r="271" spans="1:9" x14ac:dyDescent="0.2">
      <c r="A271" s="7">
        <v>22</v>
      </c>
      <c r="B271" s="8">
        <f t="shared" si="6"/>
        <v>3</v>
      </c>
      <c r="C271" s="8">
        <f t="shared" si="6"/>
        <v>5</v>
      </c>
      <c r="D271" s="8">
        <f t="shared" si="6"/>
        <v>2</v>
      </c>
      <c r="E271" s="9">
        <f t="shared" si="7"/>
        <v>10</v>
      </c>
    </row>
    <row r="272" spans="1:9" x14ac:dyDescent="0.2">
      <c r="A272" s="10">
        <v>23</v>
      </c>
      <c r="B272" s="11">
        <f t="shared" si="6"/>
        <v>0</v>
      </c>
      <c r="C272" s="11">
        <f t="shared" si="6"/>
        <v>0</v>
      </c>
      <c r="D272" s="11">
        <f t="shared" si="6"/>
        <v>1</v>
      </c>
      <c r="E272" s="12">
        <f t="shared" si="7"/>
        <v>1</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6B33-7081-D14D-B711-9842CBCABD71}">
  <dimension ref="A1:T272"/>
  <sheetViews>
    <sheetView showGridLines="0" zoomScale="110" zoomScaleNormal="110" workbookViewId="0">
      <selection activeCell="A2" sqref="A2:Q19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8" t="s">
        <v>457</v>
      </c>
      <c r="B2" s="18" t="s">
        <v>18</v>
      </c>
      <c r="C2" s="18" t="s">
        <v>154</v>
      </c>
      <c r="D2" s="18" t="s">
        <v>458</v>
      </c>
      <c r="E2" s="18"/>
      <c r="F2" s="19">
        <v>46304.001990740697</v>
      </c>
      <c r="G2" s="18" t="s">
        <v>21</v>
      </c>
      <c r="H2" s="18" t="s">
        <v>3207</v>
      </c>
      <c r="I2" s="18">
        <v>40</v>
      </c>
      <c r="J2" s="18" t="s">
        <v>22</v>
      </c>
      <c r="K2" s="18" t="s">
        <v>50</v>
      </c>
      <c r="L2" s="18">
        <v>72</v>
      </c>
      <c r="M2" s="18" t="s">
        <v>154</v>
      </c>
      <c r="N2" s="19">
        <v>46304.012592592597</v>
      </c>
      <c r="O2" s="18">
        <v>0</v>
      </c>
      <c r="P2" s="18" t="s">
        <v>129</v>
      </c>
      <c r="Q2" s="18">
        <v>40</v>
      </c>
      <c r="R2" s="3" t="str">
        <f>IF(OR(G2="12R",G2="12L"),_xlfn.XLOOKUP(C2,Tabla42[ADEP],Tabla42[SID 12R],""),IF(OR(G2="30L",G2="30R"),_xlfn.XLOOKUP(C2,Tabla42[ADEP],Tabla42[SID 30L],""),""))</f>
        <v>CZM</v>
      </c>
      <c r="S2" s="3">
        <f>HOUR(F2)</f>
        <v>0</v>
      </c>
      <c r="T2" s="3" t="str">
        <f>_xlfn.XLOOKUP(C2,Tabla42[ADEP],Tabla42[Sector],"")</f>
        <v>Sector 7</v>
      </c>
    </row>
    <row r="3" spans="1:20" x14ac:dyDescent="0.2">
      <c r="A3" s="18" t="s">
        <v>499</v>
      </c>
      <c r="B3" s="18" t="s">
        <v>18</v>
      </c>
      <c r="C3" s="18" t="s">
        <v>93</v>
      </c>
      <c r="D3" s="18" t="s">
        <v>60</v>
      </c>
      <c r="E3" s="18" t="s">
        <v>529</v>
      </c>
      <c r="F3" s="19">
        <v>46304.006180555603</v>
      </c>
      <c r="G3" s="18" t="s">
        <v>21</v>
      </c>
      <c r="H3" s="18" t="s">
        <v>3208</v>
      </c>
      <c r="I3" s="18">
        <v>360</v>
      </c>
      <c r="J3" s="18" t="s">
        <v>22</v>
      </c>
      <c r="K3" s="18" t="s">
        <v>23</v>
      </c>
      <c r="L3" s="18">
        <v>1020</v>
      </c>
      <c r="M3" s="18" t="s">
        <v>94</v>
      </c>
      <c r="N3" s="19">
        <v>46304.060960648101</v>
      </c>
      <c r="O3" s="18">
        <v>200</v>
      </c>
      <c r="P3" s="18" t="s">
        <v>25</v>
      </c>
      <c r="Q3" s="18">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8" t="s">
        <v>17</v>
      </c>
      <c r="B4" s="18" t="s">
        <v>18</v>
      </c>
      <c r="C4" s="18" t="s">
        <v>19</v>
      </c>
      <c r="D4" s="18" t="s">
        <v>53</v>
      </c>
      <c r="E4" s="18" t="s">
        <v>1023</v>
      </c>
      <c r="F4" s="19">
        <v>46304.015243055597</v>
      </c>
      <c r="G4" s="18" t="s">
        <v>21</v>
      </c>
      <c r="H4" s="18" t="s">
        <v>3209</v>
      </c>
      <c r="I4" s="18">
        <v>380</v>
      </c>
      <c r="J4" s="18" t="s">
        <v>22</v>
      </c>
      <c r="K4" s="18" t="s">
        <v>23</v>
      </c>
      <c r="L4" s="18">
        <v>909</v>
      </c>
      <c r="M4" s="18" t="s">
        <v>2219</v>
      </c>
      <c r="N4" s="19">
        <v>46304.066678240699</v>
      </c>
      <c r="O4" s="18">
        <v>380</v>
      </c>
      <c r="P4" s="18" t="s">
        <v>25</v>
      </c>
      <c r="Q4" s="18">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8" t="s">
        <v>31</v>
      </c>
      <c r="B5" s="18" t="s">
        <v>18</v>
      </c>
      <c r="C5" s="18" t="s">
        <v>32</v>
      </c>
      <c r="D5" s="18" t="s">
        <v>53</v>
      </c>
      <c r="E5" s="18" t="s">
        <v>2807</v>
      </c>
      <c r="F5" s="19">
        <v>46304.035682870403</v>
      </c>
      <c r="G5" s="18" t="s">
        <v>21</v>
      </c>
      <c r="H5" s="18" t="s">
        <v>3210</v>
      </c>
      <c r="I5" s="18">
        <v>380</v>
      </c>
      <c r="J5" s="18" t="s">
        <v>22</v>
      </c>
      <c r="K5" s="18" t="s">
        <v>23</v>
      </c>
      <c r="L5" s="18">
        <v>923</v>
      </c>
      <c r="M5" s="18" t="s">
        <v>3211</v>
      </c>
      <c r="N5" s="19">
        <v>46304.087395833303</v>
      </c>
      <c r="O5" s="18">
        <v>380</v>
      </c>
      <c r="P5" s="18" t="s">
        <v>25</v>
      </c>
      <c r="Q5" s="18">
        <v>190</v>
      </c>
      <c r="R5" s="3" t="str">
        <f>IF(OR(G5="12R",G5="12L"),_xlfn.XLOOKUP(C5,Tabla42[ADEP],Tabla42[SID 12R],""),IF(OR(G5="30L",G5="30R"),_xlfn.XLOOKUP(C5,Tabla42[ADEP],Tabla42[SID 30L],""),""))</f>
        <v>UDGUV</v>
      </c>
      <c r="S5" s="3">
        <f t="shared" si="0"/>
        <v>0</v>
      </c>
      <c r="T5" s="3" t="str">
        <f>_xlfn.XLOOKUP(C5,Tabla42[ADEP],Tabla42[Sector],"")</f>
        <v>Sector 2</v>
      </c>
    </row>
    <row r="6" spans="1:20" x14ac:dyDescent="0.2">
      <c r="A6" s="18" t="s">
        <v>46</v>
      </c>
      <c r="B6" s="18" t="s">
        <v>18</v>
      </c>
      <c r="C6" s="18" t="s">
        <v>47</v>
      </c>
      <c r="D6" s="18" t="s">
        <v>48</v>
      </c>
      <c r="E6" s="18" t="s">
        <v>619</v>
      </c>
      <c r="F6" s="19">
        <v>46304.041064814803</v>
      </c>
      <c r="G6" s="18" t="s">
        <v>21</v>
      </c>
      <c r="H6" s="18" t="s">
        <v>3212</v>
      </c>
      <c r="I6" s="18">
        <v>370</v>
      </c>
      <c r="J6" s="18" t="s">
        <v>22</v>
      </c>
      <c r="K6" s="18" t="s">
        <v>23</v>
      </c>
      <c r="L6" s="18">
        <v>137</v>
      </c>
      <c r="M6" s="18" t="s">
        <v>588</v>
      </c>
      <c r="N6" s="19">
        <v>46304.050428240698</v>
      </c>
      <c r="O6" s="18">
        <v>233</v>
      </c>
      <c r="P6" s="18" t="s">
        <v>40</v>
      </c>
      <c r="Q6" s="18">
        <v>190</v>
      </c>
      <c r="R6" s="3" t="str">
        <f>IF(OR(G6="12R",G6="12L"),_xlfn.XLOOKUP(C6,Tabla42[ADEP],Tabla42[SID 12R],""),IF(OR(G6="30L",G6="30R"),_xlfn.XLOOKUP(C6,Tabla42[ADEP],Tabla42[SID 30L],""),""))</f>
        <v>NUDAL</v>
      </c>
      <c r="S6" s="3">
        <f t="shared" si="0"/>
        <v>0</v>
      </c>
      <c r="T6" s="3" t="str">
        <f>_xlfn.XLOOKUP(C6,Tabla42[ADEP],Tabla42[Sector],"")</f>
        <v>Sector 3</v>
      </c>
    </row>
    <row r="7" spans="1:20" x14ac:dyDescent="0.2">
      <c r="A7" s="18" t="s">
        <v>41</v>
      </c>
      <c r="B7" s="18" t="s">
        <v>18</v>
      </c>
      <c r="C7" s="18" t="s">
        <v>42</v>
      </c>
      <c r="D7" s="18" t="s">
        <v>43</v>
      </c>
      <c r="E7" s="18" t="s">
        <v>3213</v>
      </c>
      <c r="F7" s="19">
        <v>46304.047071759298</v>
      </c>
      <c r="G7" s="18" t="s">
        <v>21</v>
      </c>
      <c r="H7" s="18" t="s">
        <v>3214</v>
      </c>
      <c r="I7" s="18">
        <v>360</v>
      </c>
      <c r="J7" s="18" t="s">
        <v>22</v>
      </c>
      <c r="K7" s="18" t="s">
        <v>23</v>
      </c>
      <c r="L7" s="18">
        <v>912</v>
      </c>
      <c r="M7" s="18" t="s">
        <v>45</v>
      </c>
      <c r="N7" s="19">
        <v>46304.096759259301</v>
      </c>
      <c r="O7" s="18">
        <v>360</v>
      </c>
      <c r="P7" s="18" t="s">
        <v>25</v>
      </c>
      <c r="Q7" s="18">
        <v>190</v>
      </c>
      <c r="R7" s="3" t="str">
        <f>IF(OR(G7="12R",G7="12L"),_xlfn.XLOOKUP(C7,Tabla42[ADEP],Tabla42[SID 12R],""),IF(OR(G7="30L",G7="30R"),_xlfn.XLOOKUP(C7,Tabla42[ADEP],Tabla42[SID 30L],""),""))</f>
        <v>UDGUV</v>
      </c>
      <c r="S7" s="3">
        <f t="shared" si="0"/>
        <v>1</v>
      </c>
      <c r="T7" s="3" t="str">
        <f>_xlfn.XLOOKUP(C7,Tabla42[ADEP],Tabla42[Sector],"")</f>
        <v>Sector 2</v>
      </c>
    </row>
    <row r="8" spans="1:20" x14ac:dyDescent="0.2">
      <c r="A8" s="18" t="s">
        <v>3215</v>
      </c>
      <c r="B8" s="18" t="s">
        <v>18</v>
      </c>
      <c r="C8" s="18" t="s">
        <v>32</v>
      </c>
      <c r="D8" s="18" t="s">
        <v>20</v>
      </c>
      <c r="E8" s="18" t="s">
        <v>57</v>
      </c>
      <c r="F8" s="19">
        <v>46304.058634259301</v>
      </c>
      <c r="G8" s="18" t="s">
        <v>21</v>
      </c>
      <c r="H8" s="18" t="s">
        <v>3216</v>
      </c>
      <c r="I8" s="18">
        <v>340</v>
      </c>
      <c r="J8" s="18" t="s">
        <v>22</v>
      </c>
      <c r="K8" s="18" t="s">
        <v>23</v>
      </c>
      <c r="L8" s="18">
        <v>909</v>
      </c>
      <c r="M8" s="18" t="s">
        <v>35</v>
      </c>
      <c r="N8" s="19">
        <v>46304.108784722201</v>
      </c>
      <c r="O8" s="18">
        <v>340</v>
      </c>
      <c r="P8" s="18" t="s">
        <v>25</v>
      </c>
      <c r="Q8" s="18">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18" t="s">
        <v>61</v>
      </c>
      <c r="B9" s="18" t="s">
        <v>18</v>
      </c>
      <c r="C9" s="18" t="s">
        <v>62</v>
      </c>
      <c r="D9" s="18" t="s">
        <v>344</v>
      </c>
      <c r="E9" s="18" t="s">
        <v>345</v>
      </c>
      <c r="F9" s="19">
        <v>46304.062534722201</v>
      </c>
      <c r="G9" s="18" t="s">
        <v>21</v>
      </c>
      <c r="H9" s="18" t="s">
        <v>3217</v>
      </c>
      <c r="I9" s="18">
        <v>360</v>
      </c>
      <c r="J9" s="18" t="s">
        <v>22</v>
      </c>
      <c r="K9" s="18" t="s">
        <v>23</v>
      </c>
      <c r="L9" s="18">
        <v>888</v>
      </c>
      <c r="M9" s="18" t="s">
        <v>730</v>
      </c>
      <c r="N9" s="19">
        <v>46304.112673611096</v>
      </c>
      <c r="O9" s="18">
        <v>360</v>
      </c>
      <c r="P9" s="18" t="s">
        <v>25</v>
      </c>
      <c r="Q9" s="18">
        <v>190</v>
      </c>
      <c r="R9" s="3" t="str">
        <f>IF(OR(G9="12R",G9="12L"),_xlfn.XLOOKUP(C9,Tabla42[ADEP],Tabla42[SID 12R],""),IF(OR(G9="30L",G9="30R"),_xlfn.XLOOKUP(C9,Tabla42[ADEP],Tabla42[SID 30L],""),""))</f>
        <v>UDGUV</v>
      </c>
      <c r="S9" s="3">
        <f t="shared" si="0"/>
        <v>1</v>
      </c>
      <c r="T9" s="3" t="str">
        <f>_xlfn.XLOOKUP(C9,Tabla42[ADEP],Tabla42[Sector],"")</f>
        <v>Sector 2</v>
      </c>
    </row>
    <row r="10" spans="1:20" x14ac:dyDescent="0.2">
      <c r="A10" s="18" t="s">
        <v>346</v>
      </c>
      <c r="B10" s="18" t="s">
        <v>18</v>
      </c>
      <c r="C10" s="18" t="s">
        <v>37</v>
      </c>
      <c r="D10" s="18" t="s">
        <v>340</v>
      </c>
      <c r="E10" s="18" t="s">
        <v>3218</v>
      </c>
      <c r="F10" s="19">
        <v>46304.071006944403</v>
      </c>
      <c r="G10" s="18" t="s">
        <v>21</v>
      </c>
      <c r="H10" s="18" t="s">
        <v>3219</v>
      </c>
      <c r="I10" s="18">
        <v>390</v>
      </c>
      <c r="J10" s="18" t="s">
        <v>22</v>
      </c>
      <c r="K10" s="18" t="s">
        <v>23</v>
      </c>
      <c r="L10" s="18">
        <v>133</v>
      </c>
      <c r="M10" s="18" t="s">
        <v>39</v>
      </c>
      <c r="N10" s="19">
        <v>46304.080312500002</v>
      </c>
      <c r="O10" s="18">
        <v>222</v>
      </c>
      <c r="P10" s="18" t="s">
        <v>40</v>
      </c>
      <c r="Q10" s="18">
        <v>190</v>
      </c>
      <c r="R10" s="3" t="str">
        <f>IF(OR(G10="12R",G10="12L"),_xlfn.XLOOKUP(C10,Tabla42[ADEP],Tabla42[SID 12R],""),IF(OR(G10="30L",G10="30R"),_xlfn.XLOOKUP(C10,Tabla42[ADEP],Tabla42[SID 30L],""),""))</f>
        <v>NUDAL</v>
      </c>
      <c r="S10" s="3">
        <f t="shared" si="0"/>
        <v>1</v>
      </c>
      <c r="T10" s="3" t="str">
        <f>_xlfn.XLOOKUP(C10,Tabla42[ADEP],Tabla42[Sector],"")</f>
        <v>Sector 3</v>
      </c>
    </row>
    <row r="11" spans="1:20" x14ac:dyDescent="0.2">
      <c r="A11" s="18" t="s">
        <v>64</v>
      </c>
      <c r="B11" s="18" t="s">
        <v>18</v>
      </c>
      <c r="C11" s="18" t="s">
        <v>65</v>
      </c>
      <c r="D11" s="18" t="s">
        <v>63</v>
      </c>
      <c r="E11" s="18" t="s">
        <v>774</v>
      </c>
      <c r="F11" s="19">
        <v>46304.0995833333</v>
      </c>
      <c r="G11" s="18" t="s">
        <v>21</v>
      </c>
      <c r="H11" s="18" t="s">
        <v>3220</v>
      </c>
      <c r="I11" s="18">
        <v>220</v>
      </c>
      <c r="J11" s="18" t="s">
        <v>22</v>
      </c>
      <c r="K11" s="18" t="s">
        <v>23</v>
      </c>
      <c r="L11" s="18">
        <v>396</v>
      </c>
      <c r="M11" s="18" t="s">
        <v>65</v>
      </c>
      <c r="N11" s="19">
        <v>46304.127349536997</v>
      </c>
      <c r="O11" s="18">
        <v>0</v>
      </c>
      <c r="P11" s="18" t="s">
        <v>25</v>
      </c>
      <c r="Q11" s="18">
        <v>190</v>
      </c>
      <c r="R11" s="3" t="str">
        <f>IF(OR(G11="12R",G11="12L"),_xlfn.XLOOKUP(C11,Tabla42[ADEP],Tabla42[SID 12R],""),IF(OR(G11="30L",G11="30R"),_xlfn.XLOOKUP(C11,Tabla42[ADEP],Tabla42[SID 30L],""),""))</f>
        <v>UDGUV</v>
      </c>
      <c r="S11" s="3">
        <f t="shared" si="0"/>
        <v>2</v>
      </c>
      <c r="T11" s="3" t="str">
        <f>_xlfn.XLOOKUP(C11,Tabla42[ADEP],Tabla42[Sector],"")</f>
        <v>Sector 2</v>
      </c>
    </row>
    <row r="12" spans="1:20" x14ac:dyDescent="0.2">
      <c r="A12" s="18" t="s">
        <v>59</v>
      </c>
      <c r="B12" s="18" t="s">
        <v>18</v>
      </c>
      <c r="C12" s="18" t="s">
        <v>27</v>
      </c>
      <c r="D12" s="18" t="s">
        <v>60</v>
      </c>
      <c r="E12" s="18" t="s">
        <v>634</v>
      </c>
      <c r="F12" s="19">
        <v>46304.114930555603</v>
      </c>
      <c r="G12" s="18" t="s">
        <v>21</v>
      </c>
      <c r="H12" s="18" t="s">
        <v>3221</v>
      </c>
      <c r="I12" s="18">
        <v>350</v>
      </c>
      <c r="J12" s="18" t="s">
        <v>22</v>
      </c>
      <c r="K12" s="18" t="s">
        <v>23</v>
      </c>
      <c r="L12" s="18">
        <v>169</v>
      </c>
      <c r="M12" s="18" t="s">
        <v>3222</v>
      </c>
      <c r="N12" s="19">
        <v>46304.125914351898</v>
      </c>
      <c r="O12" s="18">
        <v>249</v>
      </c>
      <c r="P12" s="18" t="s">
        <v>25</v>
      </c>
      <c r="Q12" s="18">
        <v>40</v>
      </c>
      <c r="R12" s="3" t="str">
        <f>IF(OR(G12="12R",G12="12L"),_xlfn.XLOOKUP(C12,Tabla42[ADEP],Tabla42[SID 12R],""),IF(OR(G12="30L",G12="30R"),_xlfn.XLOOKUP(C12,Tabla42[ADEP],Tabla42[SID 30L],""),""))</f>
        <v>OMSUK</v>
      </c>
      <c r="S12" s="3">
        <f t="shared" si="0"/>
        <v>2</v>
      </c>
      <c r="T12" s="3" t="str">
        <f>_xlfn.XLOOKUP(C12,Tabla42[ADEP],Tabla42[Sector],"")</f>
        <v>Sector 3</v>
      </c>
    </row>
    <row r="13" spans="1:20" x14ac:dyDescent="0.2">
      <c r="A13" s="18" t="s">
        <v>69</v>
      </c>
      <c r="B13" s="18" t="s">
        <v>18</v>
      </c>
      <c r="C13" s="18" t="s">
        <v>42</v>
      </c>
      <c r="D13" s="18" t="s">
        <v>33</v>
      </c>
      <c r="E13" s="18" t="s">
        <v>726</v>
      </c>
      <c r="F13" s="19">
        <v>46304.116400462997</v>
      </c>
      <c r="G13" s="18" t="s">
        <v>21</v>
      </c>
      <c r="H13" s="18" t="s">
        <v>3223</v>
      </c>
      <c r="I13" s="18">
        <v>360</v>
      </c>
      <c r="J13" s="18" t="s">
        <v>22</v>
      </c>
      <c r="K13" s="18" t="s">
        <v>23</v>
      </c>
      <c r="L13" s="18">
        <v>857</v>
      </c>
      <c r="M13" s="18" t="s">
        <v>420</v>
      </c>
      <c r="N13" s="19">
        <v>46304.163622685199</v>
      </c>
      <c r="O13" s="18">
        <v>360</v>
      </c>
      <c r="P13" s="18" t="s">
        <v>25</v>
      </c>
      <c r="Q13" s="18">
        <v>190</v>
      </c>
      <c r="R13" s="3" t="str">
        <f>IF(OR(G13="12R",G13="12L"),_xlfn.XLOOKUP(C13,Tabla42[ADEP],Tabla42[SID 12R],""),IF(OR(G13="30L",G13="30R"),_xlfn.XLOOKUP(C13,Tabla42[ADEP],Tabla42[SID 30L],""),""))</f>
        <v>UDGUV</v>
      </c>
      <c r="S13" s="3">
        <f t="shared" si="0"/>
        <v>2</v>
      </c>
      <c r="T13" s="3" t="str">
        <f>_xlfn.XLOOKUP(C13,Tabla42[ADEP],Tabla42[Sector],"")</f>
        <v>Sector 2</v>
      </c>
    </row>
    <row r="14" spans="1:20" x14ac:dyDescent="0.2">
      <c r="A14" s="18" t="s">
        <v>72</v>
      </c>
      <c r="B14" s="18" t="s">
        <v>18</v>
      </c>
      <c r="C14" s="18" t="s">
        <v>73</v>
      </c>
      <c r="D14" s="18" t="s">
        <v>63</v>
      </c>
      <c r="E14" s="18" t="s">
        <v>2359</v>
      </c>
      <c r="F14" s="19">
        <v>46304.117824074099</v>
      </c>
      <c r="G14" s="18" t="s">
        <v>21</v>
      </c>
      <c r="H14" s="18" t="s">
        <v>3224</v>
      </c>
      <c r="I14" s="18">
        <v>320</v>
      </c>
      <c r="J14" s="18" t="s">
        <v>22</v>
      </c>
      <c r="K14" s="18" t="s">
        <v>23</v>
      </c>
      <c r="L14" s="18">
        <v>721</v>
      </c>
      <c r="M14" s="18" t="s">
        <v>73</v>
      </c>
      <c r="N14" s="19">
        <v>46304.164293981499</v>
      </c>
      <c r="O14" s="18">
        <v>0</v>
      </c>
      <c r="P14" s="18" t="s">
        <v>25</v>
      </c>
      <c r="Q14" s="18">
        <v>190</v>
      </c>
      <c r="R14" s="3" t="str">
        <f>IF(OR(G14="12R",G14="12L"),_xlfn.XLOOKUP(C14,Tabla42[ADEP],Tabla42[SID 12R],""),IF(OR(G14="30L",G14="30R"),_xlfn.XLOOKUP(C14,Tabla42[ADEP],Tabla42[SID 30L],""),""))</f>
        <v>UDGUV</v>
      </c>
      <c r="S14" s="3">
        <f t="shared" si="0"/>
        <v>2</v>
      </c>
      <c r="T14" s="3" t="str">
        <f>_xlfn.XLOOKUP(C14,Tabla42[ADEP],Tabla42[Sector],"")</f>
        <v>Sector 2</v>
      </c>
    </row>
    <row r="15" spans="1:20" x14ac:dyDescent="0.2">
      <c r="A15" s="18" t="s">
        <v>78</v>
      </c>
      <c r="B15" s="18" t="s">
        <v>18</v>
      </c>
      <c r="C15" s="18" t="s">
        <v>42</v>
      </c>
      <c r="D15" s="18" t="s">
        <v>53</v>
      </c>
      <c r="E15" s="18" t="s">
        <v>610</v>
      </c>
      <c r="F15" s="19">
        <v>46304.119502314803</v>
      </c>
      <c r="G15" s="18" t="s">
        <v>21</v>
      </c>
      <c r="H15" s="18" t="s">
        <v>3225</v>
      </c>
      <c r="I15" s="18">
        <v>380</v>
      </c>
      <c r="J15" s="18" t="s">
        <v>22</v>
      </c>
      <c r="K15" s="18" t="s">
        <v>23</v>
      </c>
      <c r="L15" s="18">
        <v>862</v>
      </c>
      <c r="M15" s="18" t="s">
        <v>420</v>
      </c>
      <c r="N15" s="19">
        <v>46304.167465277802</v>
      </c>
      <c r="O15" s="18">
        <v>380</v>
      </c>
      <c r="P15" s="18" t="s">
        <v>25</v>
      </c>
      <c r="Q15" s="18">
        <v>190</v>
      </c>
      <c r="R15" s="3" t="str">
        <f>IF(OR(G15="12R",G15="12L"),_xlfn.XLOOKUP(C15,Tabla42[ADEP],Tabla42[SID 12R],""),IF(OR(G15="30L",G15="30R"),_xlfn.XLOOKUP(C15,Tabla42[ADEP],Tabla42[SID 30L],""),""))</f>
        <v>UDGUV</v>
      </c>
      <c r="S15" s="3">
        <f t="shared" si="0"/>
        <v>2</v>
      </c>
      <c r="T15" s="3" t="str">
        <f>_xlfn.XLOOKUP(C15,Tabla42[ADEP],Tabla42[Sector],"")</f>
        <v>Sector 2</v>
      </c>
    </row>
    <row r="16" spans="1:20" x14ac:dyDescent="0.2">
      <c r="A16" s="18" t="s">
        <v>504</v>
      </c>
      <c r="B16" s="18" t="s">
        <v>18</v>
      </c>
      <c r="C16" s="18" t="s">
        <v>96</v>
      </c>
      <c r="D16" s="18" t="s">
        <v>33</v>
      </c>
      <c r="E16" s="18" t="s">
        <v>2439</v>
      </c>
      <c r="F16" s="19">
        <v>46304.120868055601</v>
      </c>
      <c r="G16" s="18" t="s">
        <v>21</v>
      </c>
      <c r="H16" s="18" t="s">
        <v>3226</v>
      </c>
      <c r="I16" s="18">
        <v>360</v>
      </c>
      <c r="J16" s="18" t="s">
        <v>22</v>
      </c>
      <c r="K16" s="18" t="s">
        <v>23</v>
      </c>
      <c r="L16" s="18">
        <v>863</v>
      </c>
      <c r="M16" s="18" t="s">
        <v>420</v>
      </c>
      <c r="N16" s="19">
        <v>46304.168287036999</v>
      </c>
      <c r="O16" s="18">
        <v>360</v>
      </c>
      <c r="P16" s="18" t="s">
        <v>25</v>
      </c>
      <c r="Q16" s="18">
        <v>190</v>
      </c>
      <c r="R16" s="3" t="str">
        <f>IF(OR(G16="12R",G16="12L"),_xlfn.XLOOKUP(C16,Tabla42[ADEP],Tabla42[SID 12R],""),IF(OR(G16="30L",G16="30R"),_xlfn.XLOOKUP(C16,Tabla42[ADEP],Tabla42[SID 30L],""),""))</f>
        <v>UDGUV</v>
      </c>
      <c r="S16" s="3">
        <f t="shared" si="0"/>
        <v>2</v>
      </c>
      <c r="T16" s="3" t="str">
        <f>_xlfn.XLOOKUP(C16,Tabla42[ADEP],Tabla42[Sector],"")</f>
        <v>Sector 2</v>
      </c>
    </row>
    <row r="17" spans="1:20" x14ac:dyDescent="0.2">
      <c r="A17" s="18" t="s">
        <v>348</v>
      </c>
      <c r="B17" s="18" t="s">
        <v>18</v>
      </c>
      <c r="C17" s="18" t="s">
        <v>204</v>
      </c>
      <c r="D17" s="18" t="s">
        <v>53</v>
      </c>
      <c r="E17" s="18" t="s">
        <v>3227</v>
      </c>
      <c r="F17" s="19">
        <v>46304.122430555602</v>
      </c>
      <c r="G17" s="18" t="s">
        <v>21</v>
      </c>
      <c r="H17" s="18" t="s">
        <v>3228</v>
      </c>
      <c r="I17" s="18">
        <v>370</v>
      </c>
      <c r="J17" s="18" t="s">
        <v>22</v>
      </c>
      <c r="K17" s="18" t="s">
        <v>23</v>
      </c>
      <c r="L17" s="18">
        <v>159</v>
      </c>
      <c r="M17" s="18" t="s">
        <v>111</v>
      </c>
      <c r="N17" s="19">
        <v>46304.132974537002</v>
      </c>
      <c r="O17" s="18">
        <v>290</v>
      </c>
      <c r="P17" s="18" t="s">
        <v>25</v>
      </c>
      <c r="Q17" s="18">
        <v>190</v>
      </c>
      <c r="R17" s="3" t="str">
        <f>IF(OR(G17="12R",G17="12L"),_xlfn.XLOOKUP(C17,Tabla42[ADEP],Tabla42[SID 12R],""),IF(OR(G17="30L",G17="30R"),_xlfn.XLOOKUP(C17,Tabla42[ADEP],Tabla42[SID 30L],""),""))</f>
        <v>TAKUX</v>
      </c>
      <c r="S17" s="3">
        <f t="shared" si="0"/>
        <v>2</v>
      </c>
      <c r="T17" s="3" t="str">
        <f>_xlfn.XLOOKUP(C17,Tabla42[ADEP],Tabla42[Sector],"")</f>
        <v>Sector 7</v>
      </c>
    </row>
    <row r="18" spans="1:20" x14ac:dyDescent="0.2">
      <c r="A18" s="18" t="s">
        <v>56</v>
      </c>
      <c r="B18" s="18" t="s">
        <v>18</v>
      </c>
      <c r="C18" s="18" t="s">
        <v>42</v>
      </c>
      <c r="D18" s="18" t="s">
        <v>53</v>
      </c>
      <c r="E18" s="18" t="s">
        <v>106</v>
      </c>
      <c r="F18" s="19">
        <v>46304.125173611101</v>
      </c>
      <c r="G18" s="18" t="s">
        <v>21</v>
      </c>
      <c r="H18" s="18" t="s">
        <v>3229</v>
      </c>
      <c r="I18" s="18">
        <v>360</v>
      </c>
      <c r="J18" s="18" t="s">
        <v>22</v>
      </c>
      <c r="K18" s="18" t="s">
        <v>23</v>
      </c>
      <c r="L18" s="18">
        <v>871</v>
      </c>
      <c r="M18" s="18" t="s">
        <v>2654</v>
      </c>
      <c r="N18" s="19">
        <v>46304.173506944397</v>
      </c>
      <c r="O18" s="18">
        <v>380</v>
      </c>
      <c r="P18" s="18" t="s">
        <v>25</v>
      </c>
      <c r="Q18" s="18">
        <v>190</v>
      </c>
      <c r="R18" s="3" t="str">
        <f>IF(OR(G18="12R",G18="12L"),_xlfn.XLOOKUP(C18,Tabla42[ADEP],Tabla42[SID 12R],""),IF(OR(G18="30L",G18="30R"),_xlfn.XLOOKUP(C18,Tabla42[ADEP],Tabla42[SID 30L],""),""))</f>
        <v>UDGUV</v>
      </c>
      <c r="S18" s="3">
        <f t="shared" si="0"/>
        <v>3</v>
      </c>
      <c r="T18" s="3" t="str">
        <f>_xlfn.XLOOKUP(C18,Tabla42[ADEP],Tabla42[Sector],"")</f>
        <v>Sector 2</v>
      </c>
    </row>
    <row r="19" spans="1:20" x14ac:dyDescent="0.2">
      <c r="A19" s="18" t="s">
        <v>81</v>
      </c>
      <c r="B19" s="18" t="s">
        <v>18</v>
      </c>
      <c r="C19" s="18" t="s">
        <v>49</v>
      </c>
      <c r="D19" s="18" t="s">
        <v>33</v>
      </c>
      <c r="E19" s="18" t="s">
        <v>532</v>
      </c>
      <c r="F19" s="19">
        <v>46304.134560185201</v>
      </c>
      <c r="G19" s="18" t="s">
        <v>21</v>
      </c>
      <c r="H19" s="18" t="s">
        <v>3230</v>
      </c>
      <c r="I19" s="18">
        <v>340</v>
      </c>
      <c r="J19" s="18" t="s">
        <v>22</v>
      </c>
      <c r="K19" s="18" t="s">
        <v>23</v>
      </c>
      <c r="L19" s="18">
        <v>863</v>
      </c>
      <c r="M19" s="18" t="s">
        <v>2042</v>
      </c>
      <c r="N19" s="19">
        <v>46304.182314814803</v>
      </c>
      <c r="O19" s="18">
        <v>340</v>
      </c>
      <c r="P19" s="18" t="s">
        <v>25</v>
      </c>
      <c r="Q19" s="18">
        <v>190</v>
      </c>
      <c r="R19" s="3" t="str">
        <f>IF(OR(G19="12R",G19="12L"),_xlfn.XLOOKUP(C19,Tabla42[ADEP],Tabla42[SID 12R],""),IF(OR(G19="30L",G19="30R"),_xlfn.XLOOKUP(C19,Tabla42[ADEP],Tabla42[SID 30L],""),""))</f>
        <v>UDGUV</v>
      </c>
      <c r="S19" s="3">
        <f t="shared" si="0"/>
        <v>3</v>
      </c>
      <c r="T19" s="3" t="str">
        <f>_xlfn.XLOOKUP(C19,Tabla42[ADEP],Tabla42[Sector],"")</f>
        <v>Sector 2</v>
      </c>
    </row>
    <row r="20" spans="1:20" x14ac:dyDescent="0.2">
      <c r="A20" s="18" t="s">
        <v>327</v>
      </c>
      <c r="B20" s="18" t="s">
        <v>18</v>
      </c>
      <c r="C20" s="18" t="s">
        <v>84</v>
      </c>
      <c r="D20" s="18" t="s">
        <v>85</v>
      </c>
      <c r="E20" s="18" t="s">
        <v>3231</v>
      </c>
      <c r="F20" s="19">
        <v>46304.193981481498</v>
      </c>
      <c r="G20" s="18" t="s">
        <v>21</v>
      </c>
      <c r="H20" s="18" t="s">
        <v>3232</v>
      </c>
      <c r="I20" s="18">
        <v>370</v>
      </c>
      <c r="J20" s="18" t="s">
        <v>22</v>
      </c>
      <c r="K20" s="18" t="s">
        <v>23</v>
      </c>
      <c r="L20" s="18">
        <v>136</v>
      </c>
      <c r="M20" s="18" t="s">
        <v>39</v>
      </c>
      <c r="N20" s="19">
        <v>46304.203750000001</v>
      </c>
      <c r="O20" s="18">
        <v>203</v>
      </c>
      <c r="P20" s="18" t="s">
        <v>40</v>
      </c>
      <c r="Q20" s="18">
        <v>190</v>
      </c>
      <c r="R20" s="3" t="str">
        <f>IF(OR(G20="12R",G20="12L"),_xlfn.XLOOKUP(C20,Tabla42[ADEP],Tabla42[SID 12R],""),IF(OR(G20="30L",G20="30R"),_xlfn.XLOOKUP(C20,Tabla42[ADEP],Tabla42[SID 30L],""),""))</f>
        <v>NUDAL</v>
      </c>
      <c r="S20" s="3">
        <f t="shared" si="0"/>
        <v>4</v>
      </c>
      <c r="T20" s="3" t="str">
        <f>_xlfn.XLOOKUP(C20,Tabla42[ADEP],Tabla42[Sector],"")</f>
        <v>Sector 3</v>
      </c>
    </row>
    <row r="21" spans="1:20" x14ac:dyDescent="0.2">
      <c r="A21" s="18" t="s">
        <v>506</v>
      </c>
      <c r="B21" s="18" t="s">
        <v>18</v>
      </c>
      <c r="C21" s="18" t="s">
        <v>507</v>
      </c>
      <c r="D21" s="18" t="s">
        <v>243</v>
      </c>
      <c r="E21" s="18" t="s">
        <v>3233</v>
      </c>
      <c r="F21" s="19">
        <v>46304.195347222201</v>
      </c>
      <c r="G21" s="18" t="s">
        <v>21</v>
      </c>
      <c r="H21" s="18" t="s">
        <v>3234</v>
      </c>
      <c r="I21" s="18">
        <v>350</v>
      </c>
      <c r="J21" s="18" t="s">
        <v>22</v>
      </c>
      <c r="K21" s="18" t="s">
        <v>23</v>
      </c>
      <c r="L21" s="18">
        <v>156</v>
      </c>
      <c r="M21" s="18" t="s">
        <v>3235</v>
      </c>
      <c r="N21" s="19">
        <v>46304.205578703702</v>
      </c>
      <c r="O21" s="18">
        <v>248</v>
      </c>
      <c r="P21" s="18" t="s">
        <v>40</v>
      </c>
      <c r="Q21" s="18">
        <v>190</v>
      </c>
      <c r="R21" s="3" t="str">
        <f>IF(OR(G21="12R",G21="12L"),_xlfn.XLOOKUP(C21,Tabla42[ADEP],Tabla42[SID 12R],""),IF(OR(G21="30L",G21="30R"),_xlfn.XLOOKUP(C21,Tabla42[ADEP],Tabla42[SID 30L],""),""))</f>
        <v>NUDAL</v>
      </c>
      <c r="S21" s="3">
        <f t="shared" si="0"/>
        <v>4</v>
      </c>
      <c r="T21" s="3" t="str">
        <f>_xlfn.XLOOKUP(C21,Tabla42[ADEP],Tabla42[Sector],"")</f>
        <v>Sector 3</v>
      </c>
    </row>
    <row r="22" spans="1:20" x14ac:dyDescent="0.2">
      <c r="A22" s="18" t="s">
        <v>75</v>
      </c>
      <c r="B22" s="18" t="s">
        <v>18</v>
      </c>
      <c r="C22" s="18" t="s">
        <v>19</v>
      </c>
      <c r="D22" s="18" t="s">
        <v>60</v>
      </c>
      <c r="E22" s="18" t="s">
        <v>2648</v>
      </c>
      <c r="F22" s="19">
        <v>46304.242118055598</v>
      </c>
      <c r="G22" s="18" t="s">
        <v>21</v>
      </c>
      <c r="H22" s="18" t="s">
        <v>3236</v>
      </c>
      <c r="I22" s="18">
        <v>340</v>
      </c>
      <c r="J22" s="18" t="s">
        <v>22</v>
      </c>
      <c r="K22" s="18" t="s">
        <v>23</v>
      </c>
      <c r="L22" s="18">
        <v>860</v>
      </c>
      <c r="M22" s="18" t="s">
        <v>2219</v>
      </c>
      <c r="N22" s="19">
        <v>46304.288738425901</v>
      </c>
      <c r="O22" s="18">
        <v>340</v>
      </c>
      <c r="P22" s="18" t="s">
        <v>25</v>
      </c>
      <c r="Q22" s="18">
        <v>190</v>
      </c>
      <c r="R22" s="3" t="str">
        <f>IF(OR(G22="12R",G22="12L"),_xlfn.XLOOKUP(C22,Tabla42[ADEP],Tabla42[SID 12R],""),IF(OR(G22="30L",G22="30R"),_xlfn.XLOOKUP(C22,Tabla42[ADEP],Tabla42[SID 30L],""),""))</f>
        <v>UDGUV</v>
      </c>
      <c r="S22" s="3">
        <f t="shared" si="0"/>
        <v>5</v>
      </c>
      <c r="T22" s="3" t="str">
        <f>_xlfn.XLOOKUP(C22,Tabla42[ADEP],Tabla42[Sector],"")</f>
        <v>Sector 2</v>
      </c>
    </row>
    <row r="23" spans="1:20" x14ac:dyDescent="0.2">
      <c r="A23" s="18" t="s">
        <v>86</v>
      </c>
      <c r="B23" s="18" t="s">
        <v>18</v>
      </c>
      <c r="C23" s="18" t="s">
        <v>42</v>
      </c>
      <c r="D23" s="18" t="s">
        <v>60</v>
      </c>
      <c r="E23" s="18" t="s">
        <v>2033</v>
      </c>
      <c r="F23" s="19">
        <v>46304.243726851899</v>
      </c>
      <c r="G23" s="18" t="s">
        <v>21</v>
      </c>
      <c r="H23" s="18" t="s">
        <v>3237</v>
      </c>
      <c r="I23" s="18">
        <v>340</v>
      </c>
      <c r="J23" s="18" t="s">
        <v>22</v>
      </c>
      <c r="K23" s="18" t="s">
        <v>23</v>
      </c>
      <c r="L23" s="18">
        <v>860</v>
      </c>
      <c r="M23" s="18" t="s">
        <v>420</v>
      </c>
      <c r="N23" s="19">
        <v>46304.290358796301</v>
      </c>
      <c r="O23" s="18">
        <v>340</v>
      </c>
      <c r="P23" s="18" t="s">
        <v>25</v>
      </c>
      <c r="Q23" s="18">
        <v>190</v>
      </c>
      <c r="R23" s="3" t="str">
        <f>IF(OR(G23="12R",G23="12L"),_xlfn.XLOOKUP(C23,Tabla42[ADEP],Tabla42[SID 12R],""),IF(OR(G23="30L",G23="30R"),_xlfn.XLOOKUP(C23,Tabla42[ADEP],Tabla42[SID 30L],""),""))</f>
        <v>UDGUV</v>
      </c>
      <c r="S23" s="3">
        <f t="shared" si="0"/>
        <v>5</v>
      </c>
      <c r="T23" s="3" t="str">
        <f>_xlfn.XLOOKUP(C23,Tabla42[ADEP],Tabla42[Sector],"")</f>
        <v>Sector 2</v>
      </c>
    </row>
    <row r="24" spans="1:20" x14ac:dyDescent="0.2">
      <c r="A24" s="18" t="s">
        <v>90</v>
      </c>
      <c r="B24" s="18" t="s">
        <v>18</v>
      </c>
      <c r="C24" s="18" t="s">
        <v>42</v>
      </c>
      <c r="D24" s="18" t="s">
        <v>53</v>
      </c>
      <c r="E24" s="18" t="s">
        <v>401</v>
      </c>
      <c r="F24" s="19">
        <v>46304.4378125</v>
      </c>
      <c r="G24" s="18" t="s">
        <v>21</v>
      </c>
      <c r="H24" s="18" t="s">
        <v>3238</v>
      </c>
      <c r="I24" s="18">
        <v>380</v>
      </c>
      <c r="J24" s="18" t="s">
        <v>22</v>
      </c>
      <c r="K24" s="18" t="s">
        <v>23</v>
      </c>
      <c r="L24" s="18">
        <v>864</v>
      </c>
      <c r="M24" s="18" t="s">
        <v>45</v>
      </c>
      <c r="N24" s="19">
        <v>46304.486655092602</v>
      </c>
      <c r="O24" s="18">
        <v>380</v>
      </c>
      <c r="P24" s="18" t="s">
        <v>25</v>
      </c>
      <c r="Q24" s="18">
        <v>190</v>
      </c>
      <c r="R24" s="3" t="str">
        <f>IF(OR(G24="12R",G24="12L"),_xlfn.XLOOKUP(C24,Tabla42[ADEP],Tabla42[SID 12R],""),IF(OR(G24="30L",G24="30R"),_xlfn.XLOOKUP(C24,Tabla42[ADEP],Tabla42[SID 30L],""),""))</f>
        <v>UDGUV</v>
      </c>
      <c r="S24" s="3">
        <f t="shared" si="0"/>
        <v>10</v>
      </c>
      <c r="T24" s="3" t="str">
        <f>_xlfn.XLOOKUP(C24,Tabla42[ADEP],Tabla42[Sector],"")</f>
        <v>Sector 2</v>
      </c>
    </row>
    <row r="25" spans="1:20" x14ac:dyDescent="0.2">
      <c r="A25" s="18" t="s">
        <v>88</v>
      </c>
      <c r="B25" s="18" t="s">
        <v>18</v>
      </c>
      <c r="C25" s="18" t="s">
        <v>32</v>
      </c>
      <c r="D25" s="18" t="s">
        <v>20</v>
      </c>
      <c r="E25" s="18" t="s">
        <v>169</v>
      </c>
      <c r="F25" s="19">
        <v>46304.440358796302</v>
      </c>
      <c r="G25" s="18" t="s">
        <v>21</v>
      </c>
      <c r="H25" s="18" t="s">
        <v>352</v>
      </c>
      <c r="I25" s="18">
        <v>340</v>
      </c>
      <c r="J25" s="18" t="s">
        <v>22</v>
      </c>
      <c r="K25" s="18" t="s">
        <v>23</v>
      </c>
      <c r="L25" s="18">
        <v>878</v>
      </c>
      <c r="M25" s="18" t="s">
        <v>35</v>
      </c>
      <c r="N25" s="19">
        <v>46304.489594907398</v>
      </c>
      <c r="O25" s="18">
        <v>340</v>
      </c>
      <c r="P25" s="18" t="s">
        <v>25</v>
      </c>
      <c r="Q25" s="18">
        <v>190</v>
      </c>
      <c r="R25" s="3" t="str">
        <f>IF(OR(G25="12R",G25="12L"),_xlfn.XLOOKUP(C25,Tabla42[ADEP],Tabla42[SID 12R],""),IF(OR(G25="30L",G25="30R"),_xlfn.XLOOKUP(C25,Tabla42[ADEP],Tabla42[SID 30L],""),""))</f>
        <v>UDGUV</v>
      </c>
      <c r="S25" s="3">
        <f t="shared" si="0"/>
        <v>10</v>
      </c>
      <c r="T25" s="3" t="str">
        <f>_xlfn.XLOOKUP(C25,Tabla42[ADEP],Tabla42[Sector],"")</f>
        <v>Sector 2</v>
      </c>
    </row>
    <row r="26" spans="1:20" x14ac:dyDescent="0.2">
      <c r="A26" s="18" t="s">
        <v>100</v>
      </c>
      <c r="B26" s="18" t="s">
        <v>18</v>
      </c>
      <c r="C26" s="18" t="s">
        <v>42</v>
      </c>
      <c r="D26" s="18" t="s">
        <v>53</v>
      </c>
      <c r="E26" s="18" t="s">
        <v>393</v>
      </c>
      <c r="F26" s="19">
        <v>46304.456435185202</v>
      </c>
      <c r="G26" s="18" t="s">
        <v>21</v>
      </c>
      <c r="H26" s="18" t="s">
        <v>3239</v>
      </c>
      <c r="I26" s="18">
        <v>380</v>
      </c>
      <c r="J26" s="18" t="s">
        <v>22</v>
      </c>
      <c r="K26" s="18" t="s">
        <v>23</v>
      </c>
      <c r="L26" s="18">
        <v>863</v>
      </c>
      <c r="M26" s="18" t="s">
        <v>2712</v>
      </c>
      <c r="N26" s="19">
        <v>46304.504479166702</v>
      </c>
      <c r="O26" s="18">
        <v>380</v>
      </c>
      <c r="P26" s="18" t="s">
        <v>25</v>
      </c>
      <c r="Q26" s="18">
        <v>190</v>
      </c>
      <c r="R26" s="3" t="str">
        <f>IF(OR(G26="12R",G26="12L"),_xlfn.XLOOKUP(C26,Tabla42[ADEP],Tabla42[SID 12R],""),IF(OR(G26="30L",G26="30R"),_xlfn.XLOOKUP(C26,Tabla42[ADEP],Tabla42[SID 30L],""),""))</f>
        <v>UDGUV</v>
      </c>
      <c r="S26" s="3">
        <f t="shared" si="0"/>
        <v>10</v>
      </c>
      <c r="T26" s="3" t="str">
        <f>_xlfn.XLOOKUP(C26,Tabla42[ADEP],Tabla42[Sector],"")</f>
        <v>Sector 2</v>
      </c>
    </row>
    <row r="27" spans="1:20" x14ac:dyDescent="0.2">
      <c r="A27" s="18" t="s">
        <v>95</v>
      </c>
      <c r="B27" s="18" t="s">
        <v>18</v>
      </c>
      <c r="C27" s="18" t="s">
        <v>96</v>
      </c>
      <c r="D27" s="18" t="s">
        <v>60</v>
      </c>
      <c r="E27" s="18" t="s">
        <v>529</v>
      </c>
      <c r="F27" s="19">
        <v>46304.468495370398</v>
      </c>
      <c r="G27" s="18" t="s">
        <v>21</v>
      </c>
      <c r="H27" s="18" t="s">
        <v>3240</v>
      </c>
      <c r="I27" s="18">
        <v>340</v>
      </c>
      <c r="J27" s="18" t="s">
        <v>22</v>
      </c>
      <c r="K27" s="18" t="s">
        <v>23</v>
      </c>
      <c r="L27" s="18">
        <v>860</v>
      </c>
      <c r="M27" s="18" t="s">
        <v>417</v>
      </c>
      <c r="N27" s="19">
        <v>46304.5161689815</v>
      </c>
      <c r="O27" s="18">
        <v>340</v>
      </c>
      <c r="P27" s="18" t="s">
        <v>25</v>
      </c>
      <c r="Q27" s="18">
        <v>190</v>
      </c>
      <c r="R27" s="3" t="str">
        <f>IF(OR(G27="12R",G27="12L"),_xlfn.XLOOKUP(C27,Tabla42[ADEP],Tabla42[SID 12R],""),IF(OR(G27="30L",G27="30R"),_xlfn.XLOOKUP(C27,Tabla42[ADEP],Tabla42[SID 30L],""),""))</f>
        <v>UDGUV</v>
      </c>
      <c r="S27" s="3">
        <f t="shared" si="0"/>
        <v>11</v>
      </c>
      <c r="T27" s="3" t="str">
        <f>_xlfn.XLOOKUP(C27,Tabla42[ADEP],Tabla42[Sector],"")</f>
        <v>Sector 2</v>
      </c>
    </row>
    <row r="28" spans="1:20" x14ac:dyDescent="0.2">
      <c r="A28" s="18" t="s">
        <v>98</v>
      </c>
      <c r="B28" s="18" t="s">
        <v>18</v>
      </c>
      <c r="C28" s="18" t="s">
        <v>42</v>
      </c>
      <c r="D28" s="18" t="s">
        <v>43</v>
      </c>
      <c r="E28" s="18" t="s">
        <v>515</v>
      </c>
      <c r="F28" s="19">
        <v>46304.469814814802</v>
      </c>
      <c r="G28" s="18" t="s">
        <v>21</v>
      </c>
      <c r="H28" s="18" t="s">
        <v>3241</v>
      </c>
      <c r="I28" s="18">
        <v>360</v>
      </c>
      <c r="J28" s="18" t="s">
        <v>22</v>
      </c>
      <c r="K28" s="18" t="s">
        <v>23</v>
      </c>
      <c r="L28" s="18">
        <v>861</v>
      </c>
      <c r="M28" s="18" t="s">
        <v>349</v>
      </c>
      <c r="N28" s="19">
        <v>46304.518078703702</v>
      </c>
      <c r="O28" s="18">
        <v>360</v>
      </c>
      <c r="P28" s="18" t="s">
        <v>25</v>
      </c>
      <c r="Q28" s="18">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18" t="s">
        <v>101</v>
      </c>
      <c r="B29" s="18" t="s">
        <v>18</v>
      </c>
      <c r="C29" s="18" t="s">
        <v>102</v>
      </c>
      <c r="D29" s="18" t="s">
        <v>33</v>
      </c>
      <c r="E29" s="18" t="s">
        <v>368</v>
      </c>
      <c r="F29" s="19">
        <v>46304.494004629603</v>
      </c>
      <c r="G29" s="18" t="s">
        <v>21</v>
      </c>
      <c r="H29" s="18" t="s">
        <v>3242</v>
      </c>
      <c r="I29" s="18">
        <v>290</v>
      </c>
      <c r="J29" s="18" t="s">
        <v>22</v>
      </c>
      <c r="K29" s="18" t="s">
        <v>23</v>
      </c>
      <c r="L29" s="18">
        <v>160</v>
      </c>
      <c r="M29" s="18" t="s">
        <v>39</v>
      </c>
      <c r="N29" s="19">
        <v>46304.504062499997</v>
      </c>
      <c r="O29" s="18">
        <v>267</v>
      </c>
      <c r="P29" s="18" t="s">
        <v>25</v>
      </c>
      <c r="Q29" s="18">
        <v>190</v>
      </c>
      <c r="R29" s="3" t="str">
        <f>IF(OR(G29="12R",G29="12L"),_xlfn.XLOOKUP(C29,Tabla42[ADEP],Tabla42[SID 12R],""),IF(OR(G29="30L",G29="30R"),_xlfn.XLOOKUP(C29,Tabla42[ADEP],Tabla42[SID 30L],""),""))</f>
        <v>NUDAL</v>
      </c>
      <c r="S29" s="3">
        <f t="shared" si="0"/>
        <v>11</v>
      </c>
      <c r="T29" s="3" t="str">
        <f>_xlfn.XLOOKUP(C29,Tabla42[ADEP],Tabla42[Sector],"")</f>
        <v>Sector 3</v>
      </c>
    </row>
    <row r="30" spans="1:20" x14ac:dyDescent="0.2">
      <c r="A30" s="18" t="s">
        <v>92</v>
      </c>
      <c r="B30" s="18" t="s">
        <v>18</v>
      </c>
      <c r="C30" s="18" t="s">
        <v>93</v>
      </c>
      <c r="D30" s="18" t="s">
        <v>53</v>
      </c>
      <c r="E30" s="18" t="s">
        <v>3227</v>
      </c>
      <c r="F30" s="19">
        <v>46304.497673611098</v>
      </c>
      <c r="G30" s="18" t="s">
        <v>21</v>
      </c>
      <c r="H30" s="18" t="s">
        <v>3243</v>
      </c>
      <c r="I30" s="18">
        <v>380</v>
      </c>
      <c r="J30" s="18" t="s">
        <v>22</v>
      </c>
      <c r="K30" s="18" t="s">
        <v>23</v>
      </c>
      <c r="L30" s="18">
        <v>893</v>
      </c>
      <c r="M30" s="18" t="s">
        <v>94</v>
      </c>
      <c r="N30" s="19">
        <v>46304.546979166698</v>
      </c>
      <c r="O30" s="18">
        <v>223</v>
      </c>
      <c r="P30" s="18" t="s">
        <v>25</v>
      </c>
      <c r="Q30" s="18">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8" t="s">
        <v>108</v>
      </c>
      <c r="B31" s="18" t="s">
        <v>18</v>
      </c>
      <c r="C31" s="18" t="s">
        <v>109</v>
      </c>
      <c r="D31" s="18" t="s">
        <v>28</v>
      </c>
      <c r="E31" s="18" t="s">
        <v>3244</v>
      </c>
      <c r="F31" s="19">
        <v>46304.502858796302</v>
      </c>
      <c r="G31" s="18" t="s">
        <v>21</v>
      </c>
      <c r="H31" s="18" t="s">
        <v>3245</v>
      </c>
      <c r="I31" s="18">
        <v>330</v>
      </c>
      <c r="J31" s="18" t="s">
        <v>22</v>
      </c>
      <c r="K31" s="18" t="s">
        <v>23</v>
      </c>
      <c r="L31" s="18">
        <v>156</v>
      </c>
      <c r="M31" s="18" t="s">
        <v>3246</v>
      </c>
      <c r="N31" s="19">
        <v>46304.513599537</v>
      </c>
      <c r="O31" s="18">
        <v>283</v>
      </c>
      <c r="P31" s="18" t="s">
        <v>25</v>
      </c>
      <c r="Q31" s="18">
        <v>190</v>
      </c>
      <c r="R31" s="3" t="str">
        <f>IF(OR(G31="12R",G31="12L"),_xlfn.XLOOKUP(C31,Tabla42[ADEP],Tabla42[SID 12R],""),IF(OR(G31="30L",G31="30R"),_xlfn.XLOOKUP(C31,Tabla42[ADEP],Tabla42[SID 30L],""),""))</f>
        <v>TAKUX</v>
      </c>
      <c r="S31" s="3">
        <f t="shared" si="0"/>
        <v>12</v>
      </c>
      <c r="T31" s="3" t="str">
        <f>_xlfn.XLOOKUP(C31,Tabla42[ADEP],Tabla42[Sector],"")</f>
        <v>Sector 7</v>
      </c>
    </row>
    <row r="32" spans="1:20" x14ac:dyDescent="0.2">
      <c r="A32" s="18" t="s">
        <v>107</v>
      </c>
      <c r="B32" s="18" t="s">
        <v>18</v>
      </c>
      <c r="C32" s="18" t="s">
        <v>42</v>
      </c>
      <c r="D32" s="18" t="s">
        <v>43</v>
      </c>
      <c r="E32" s="18" t="s">
        <v>2220</v>
      </c>
      <c r="F32" s="19">
        <v>46304.505983796298</v>
      </c>
      <c r="G32" s="18" t="s">
        <v>21</v>
      </c>
      <c r="H32" s="18" t="s">
        <v>3247</v>
      </c>
      <c r="I32" s="18">
        <v>360</v>
      </c>
      <c r="J32" s="18" t="s">
        <v>22</v>
      </c>
      <c r="K32" s="18" t="s">
        <v>23</v>
      </c>
      <c r="L32" s="18">
        <v>859</v>
      </c>
      <c r="M32" s="18" t="s">
        <v>45</v>
      </c>
      <c r="N32" s="19">
        <v>46304.554444444402</v>
      </c>
      <c r="O32" s="18">
        <v>360</v>
      </c>
      <c r="P32" s="18" t="s">
        <v>25</v>
      </c>
      <c r="Q32" s="18">
        <v>190</v>
      </c>
      <c r="R32" s="3" t="str">
        <f>IF(OR(G32="12R",G32="12L"),_xlfn.XLOOKUP(C32,Tabla42[ADEP],Tabla42[SID 12R],""),IF(OR(G32="30L",G32="30R"),_xlfn.XLOOKUP(C32,Tabla42[ADEP],Tabla42[SID 30L],""),""))</f>
        <v>UDGUV</v>
      </c>
      <c r="S32" s="3">
        <f t="shared" si="0"/>
        <v>12</v>
      </c>
      <c r="T32" s="3" t="str">
        <f>_xlfn.XLOOKUP(C32,Tabla42[ADEP],Tabla42[Sector],"")</f>
        <v>Sector 2</v>
      </c>
    </row>
    <row r="33" spans="1:20" x14ac:dyDescent="0.2">
      <c r="A33" s="18" t="s">
        <v>105</v>
      </c>
      <c r="B33" s="18" t="s">
        <v>18</v>
      </c>
      <c r="C33" s="18" t="s">
        <v>32</v>
      </c>
      <c r="D33" s="18" t="s">
        <v>20</v>
      </c>
      <c r="E33" s="18" t="s">
        <v>57</v>
      </c>
      <c r="F33" s="19">
        <v>46304.509328703702</v>
      </c>
      <c r="G33" s="18" t="s">
        <v>21</v>
      </c>
      <c r="H33" s="18" t="s">
        <v>3248</v>
      </c>
      <c r="I33" s="18">
        <v>340</v>
      </c>
      <c r="J33" s="18" t="s">
        <v>22</v>
      </c>
      <c r="K33" s="18" t="s">
        <v>23</v>
      </c>
      <c r="L33" s="18">
        <v>854</v>
      </c>
      <c r="M33" s="18" t="s">
        <v>35</v>
      </c>
      <c r="N33" s="19">
        <v>46304.557407407403</v>
      </c>
      <c r="O33" s="18">
        <v>340</v>
      </c>
      <c r="P33" s="18" t="s">
        <v>25</v>
      </c>
      <c r="Q33" s="18">
        <v>190</v>
      </c>
      <c r="R33" s="3" t="str">
        <f>IF(OR(G33="12R",G33="12L"),_xlfn.XLOOKUP(C33,Tabla42[ADEP],Tabla42[SID 12R],""),IF(OR(G33="30L",G33="30R"),_xlfn.XLOOKUP(C33,Tabla42[ADEP],Tabla42[SID 30L],""),""))</f>
        <v>UDGUV</v>
      </c>
      <c r="S33" s="3">
        <f t="shared" si="0"/>
        <v>12</v>
      </c>
      <c r="T33" s="3" t="str">
        <f>_xlfn.XLOOKUP(C33,Tabla42[ADEP],Tabla42[Sector],"")</f>
        <v>Sector 2</v>
      </c>
    </row>
    <row r="34" spans="1:20" x14ac:dyDescent="0.2">
      <c r="A34" s="18" t="s">
        <v>2381</v>
      </c>
      <c r="B34" s="18" t="s">
        <v>18</v>
      </c>
      <c r="C34" s="18" t="s">
        <v>121</v>
      </c>
      <c r="D34" s="18" t="s">
        <v>122</v>
      </c>
      <c r="E34" s="18" t="s">
        <v>1244</v>
      </c>
      <c r="F34" s="19">
        <v>46304.519988425898</v>
      </c>
      <c r="G34" s="18" t="s">
        <v>21</v>
      </c>
      <c r="H34" s="18" t="s">
        <v>3249</v>
      </c>
      <c r="I34" s="18">
        <v>400</v>
      </c>
      <c r="J34" s="18" t="s">
        <v>22</v>
      </c>
      <c r="K34" s="18" t="s">
        <v>23</v>
      </c>
      <c r="L34" s="18">
        <v>625</v>
      </c>
      <c r="M34" s="18" t="s">
        <v>118</v>
      </c>
      <c r="N34" s="19">
        <v>46304.555925925903</v>
      </c>
      <c r="O34" s="18">
        <v>400</v>
      </c>
      <c r="P34" s="18" t="s">
        <v>25</v>
      </c>
      <c r="Q34" s="18">
        <v>190</v>
      </c>
      <c r="R34" s="3" t="str">
        <f>IF(OR(G34="12R",G34="12L"),_xlfn.XLOOKUP(C34,Tabla42[ADEP],Tabla42[SID 12R],""),IF(OR(G34="30L",G34="30R"),_xlfn.XLOOKUP(C34,Tabla42[ADEP],Tabla42[SID 30L],""),""))</f>
        <v>ENEBA</v>
      </c>
      <c r="S34" s="3">
        <f t="shared" si="0"/>
        <v>12</v>
      </c>
      <c r="T34" s="3" t="str">
        <f>_xlfn.XLOOKUP(C34,Tabla42[ADEP],Tabla42[Sector],"")</f>
        <v>Sector 3</v>
      </c>
    </row>
    <row r="35" spans="1:20" x14ac:dyDescent="0.2">
      <c r="A35" s="18" t="s">
        <v>3250</v>
      </c>
      <c r="B35" s="18" t="s">
        <v>18</v>
      </c>
      <c r="C35" s="18" t="s">
        <v>441</v>
      </c>
      <c r="D35" s="18" t="s">
        <v>3251</v>
      </c>
      <c r="E35" s="18"/>
      <c r="F35" s="19">
        <v>46304.524166666699</v>
      </c>
      <c r="G35" s="18" t="s">
        <v>21</v>
      </c>
      <c r="H35" s="18" t="s">
        <v>3252</v>
      </c>
      <c r="I35" s="18">
        <v>80</v>
      </c>
      <c r="J35" s="18" t="s">
        <v>22</v>
      </c>
      <c r="K35" s="18" t="s">
        <v>50</v>
      </c>
      <c r="L35" s="18">
        <v>328</v>
      </c>
      <c r="M35" s="18" t="s">
        <v>441</v>
      </c>
      <c r="N35" s="19">
        <v>46304.575034722198</v>
      </c>
      <c r="O35" s="18">
        <v>0</v>
      </c>
      <c r="P35" s="18" t="s">
        <v>129</v>
      </c>
      <c r="Q35" s="18">
        <v>40</v>
      </c>
      <c r="R35" s="3" t="str">
        <f>IF(OR(G35="12R",G35="12L"),_xlfn.XLOOKUP(C35,Tabla42[ADEP],Tabla42[SID 12R],""),IF(OR(G35="30L",G35="30R"),_xlfn.XLOOKUP(C35,Tabla42[ADEP],Tabla42[SID 30L],""),""))</f>
        <v>CZM</v>
      </c>
      <c r="S35" s="3">
        <f t="shared" si="0"/>
        <v>12</v>
      </c>
      <c r="T35" s="3" t="str">
        <f>_xlfn.XLOOKUP(C35,Tabla42[ADEP],Tabla42[Sector],"")</f>
        <v>Sector 7</v>
      </c>
    </row>
    <row r="36" spans="1:20" x14ac:dyDescent="0.2">
      <c r="A36" s="18" t="s">
        <v>3253</v>
      </c>
      <c r="B36" s="18" t="s">
        <v>18</v>
      </c>
      <c r="C36" s="18" t="s">
        <v>2280</v>
      </c>
      <c r="D36" s="18" t="s">
        <v>458</v>
      </c>
      <c r="E36" s="18"/>
      <c r="F36" s="19">
        <v>46304.533159722203</v>
      </c>
      <c r="G36" s="18" t="s">
        <v>21</v>
      </c>
      <c r="H36" s="18" t="s">
        <v>155</v>
      </c>
      <c r="I36" s="18">
        <v>15</v>
      </c>
      <c r="J36" s="18" t="s">
        <v>130</v>
      </c>
      <c r="K36" s="18" t="s">
        <v>50</v>
      </c>
      <c r="L36" s="18">
        <v>51</v>
      </c>
      <c r="M36" s="18" t="s">
        <v>2280</v>
      </c>
      <c r="N36" s="19">
        <v>46304.543611111098</v>
      </c>
      <c r="O36" s="18">
        <v>0</v>
      </c>
      <c r="P36" s="18" t="s">
        <v>129</v>
      </c>
      <c r="Q36" s="18">
        <v>15</v>
      </c>
      <c r="R36" s="3" t="str">
        <f>IF(OR(G36="12R",G36="12L"),_xlfn.XLOOKUP(C36,Tabla42[ADEP],Tabla42[SID 12R],""),IF(OR(G36="30L",G36="30R"),_xlfn.XLOOKUP(C36,Tabla42[ADEP],Tabla42[SID 30L],""),""))</f>
        <v/>
      </c>
      <c r="S36" s="3">
        <f t="shared" si="0"/>
        <v>12</v>
      </c>
      <c r="T36" s="3" t="str">
        <f>_xlfn.XLOOKUP(C36,Tabla42[ADEP],Tabla42[Sector],"")</f>
        <v/>
      </c>
    </row>
    <row r="37" spans="1:20" x14ac:dyDescent="0.2">
      <c r="A37" s="18" t="s">
        <v>171</v>
      </c>
      <c r="B37" s="18" t="s">
        <v>18</v>
      </c>
      <c r="C37" s="18" t="s">
        <v>510</v>
      </c>
      <c r="D37" s="18" t="s">
        <v>172</v>
      </c>
      <c r="E37" s="18"/>
      <c r="F37" s="19">
        <v>46304.534618055601</v>
      </c>
      <c r="G37" s="18" t="s">
        <v>21</v>
      </c>
      <c r="H37" s="18" t="s">
        <v>155</v>
      </c>
      <c r="I37" s="18">
        <v>45</v>
      </c>
      <c r="J37" s="18" t="s">
        <v>130</v>
      </c>
      <c r="K37" s="18" t="s">
        <v>50</v>
      </c>
      <c r="L37" s="18">
        <v>227</v>
      </c>
      <c r="M37" s="18" t="s">
        <v>510</v>
      </c>
      <c r="N37" s="19">
        <v>46304.589606481502</v>
      </c>
      <c r="O37" s="18">
        <v>0</v>
      </c>
      <c r="P37" s="18" t="s">
        <v>129</v>
      </c>
      <c r="Q37" s="18">
        <v>15</v>
      </c>
      <c r="R37" s="3" t="str">
        <f>IF(OR(G37="12R",G37="12L"),_xlfn.XLOOKUP(C37,Tabla42[ADEP],Tabla42[SID 12R],""),IF(OR(G37="30L",G37="30R"),_xlfn.XLOOKUP(C37,Tabla42[ADEP],Tabla42[SID 30L],""),""))</f>
        <v/>
      </c>
      <c r="S37" s="3">
        <f t="shared" si="0"/>
        <v>12</v>
      </c>
      <c r="T37" s="3" t="str">
        <f>_xlfn.XLOOKUP(C37,Tabla42[ADEP],Tabla42[Sector],"")</f>
        <v/>
      </c>
    </row>
    <row r="38" spans="1:20" x14ac:dyDescent="0.2">
      <c r="A38" s="18" t="s">
        <v>2053</v>
      </c>
      <c r="B38" s="18" t="s">
        <v>18</v>
      </c>
      <c r="C38" s="18" t="s">
        <v>3254</v>
      </c>
      <c r="D38" s="18" t="s">
        <v>124</v>
      </c>
      <c r="E38" s="18"/>
      <c r="F38" s="19">
        <v>46304.541608796302</v>
      </c>
      <c r="G38" s="18" t="s">
        <v>21</v>
      </c>
      <c r="H38" s="18" t="s">
        <v>3255</v>
      </c>
      <c r="I38" s="18">
        <v>370</v>
      </c>
      <c r="J38" s="18" t="s">
        <v>22</v>
      </c>
      <c r="K38" s="18" t="s">
        <v>50</v>
      </c>
      <c r="L38" s="18">
        <v>192</v>
      </c>
      <c r="M38" s="18" t="s">
        <v>3256</v>
      </c>
      <c r="N38" s="19">
        <v>46304.555578703701</v>
      </c>
      <c r="O38" s="18">
        <v>287</v>
      </c>
      <c r="P38" s="18" t="s">
        <v>25</v>
      </c>
      <c r="Q38" s="18">
        <v>30</v>
      </c>
      <c r="R38" s="3" t="str">
        <f>IF(OR(G38="12R",G38="12L"),_xlfn.XLOOKUP(C38,Tabla42[ADEP],Tabla42[SID 12R],""),IF(OR(G38="30L",G38="30R"),_xlfn.XLOOKUP(C38,Tabla42[ADEP],Tabla42[SID 30L],""),""))</f>
        <v/>
      </c>
      <c r="S38" s="3">
        <f t="shared" si="0"/>
        <v>12</v>
      </c>
      <c r="T38" s="3" t="str">
        <f>_xlfn.XLOOKUP(C38,Tabla42[ADEP],Tabla42[Sector],"")</f>
        <v/>
      </c>
    </row>
    <row r="39" spans="1:20" x14ac:dyDescent="0.2">
      <c r="A39" s="18" t="s">
        <v>513</v>
      </c>
      <c r="B39" s="18" t="s">
        <v>18</v>
      </c>
      <c r="C39" s="18" t="s">
        <v>206</v>
      </c>
      <c r="D39" s="18" t="s">
        <v>53</v>
      </c>
      <c r="E39" s="18" t="s">
        <v>106</v>
      </c>
      <c r="F39" s="19">
        <v>46304.543553240699</v>
      </c>
      <c r="G39" s="18" t="s">
        <v>21</v>
      </c>
      <c r="H39" s="18" t="s">
        <v>326</v>
      </c>
      <c r="I39" s="18">
        <v>360</v>
      </c>
      <c r="J39" s="18" t="s">
        <v>22</v>
      </c>
      <c r="K39" s="18" t="s">
        <v>23</v>
      </c>
      <c r="L39" s="18">
        <v>859</v>
      </c>
      <c r="M39" s="18" t="s">
        <v>45</v>
      </c>
      <c r="N39" s="19">
        <v>46304.591898148101</v>
      </c>
      <c r="O39" s="18">
        <v>360</v>
      </c>
      <c r="P39" s="18" t="s">
        <v>25</v>
      </c>
      <c r="Q39" s="18">
        <v>190</v>
      </c>
      <c r="R39" s="3" t="str">
        <f>IF(OR(G39="12R",G39="12L"),_xlfn.XLOOKUP(C39,Tabla42[ADEP],Tabla42[SID 12R],""),IF(OR(G39="30L",G39="30R"),_xlfn.XLOOKUP(C39,Tabla42[ADEP],Tabla42[SID 30L],""),""))</f>
        <v>UDGUV</v>
      </c>
      <c r="S39" s="3">
        <f t="shared" si="0"/>
        <v>13</v>
      </c>
      <c r="T39" s="3" t="str">
        <f>_xlfn.XLOOKUP(C39,Tabla42[ADEP],Tabla42[Sector],"")</f>
        <v>Sector 2</v>
      </c>
    </row>
    <row r="40" spans="1:20" x14ac:dyDescent="0.2">
      <c r="A40" s="18" t="s">
        <v>115</v>
      </c>
      <c r="B40" s="18" t="s">
        <v>18</v>
      </c>
      <c r="C40" s="18" t="s">
        <v>116</v>
      </c>
      <c r="D40" s="18" t="s">
        <v>117</v>
      </c>
      <c r="E40" s="18" t="s">
        <v>3257</v>
      </c>
      <c r="F40" s="19">
        <v>46304.545150462996</v>
      </c>
      <c r="G40" s="18" t="s">
        <v>21</v>
      </c>
      <c r="H40" s="18" t="s">
        <v>3258</v>
      </c>
      <c r="I40" s="18">
        <v>380</v>
      </c>
      <c r="J40" s="18" t="s">
        <v>22</v>
      </c>
      <c r="K40" s="18" t="s">
        <v>23</v>
      </c>
      <c r="L40" s="18">
        <v>801</v>
      </c>
      <c r="M40" s="18" t="s">
        <v>210</v>
      </c>
      <c r="N40" s="19">
        <v>46304.588344907403</v>
      </c>
      <c r="O40" s="18">
        <v>380</v>
      </c>
      <c r="P40" s="18" t="s">
        <v>25</v>
      </c>
      <c r="Q40" s="18">
        <v>190</v>
      </c>
      <c r="R40" s="3" t="str">
        <f>IF(OR(G40="12R",G40="12L"),_xlfn.XLOOKUP(C40,Tabla42[ADEP],Tabla42[SID 12R],""),IF(OR(G40="30L",G40="30R"),_xlfn.XLOOKUP(C40,Tabla42[ADEP],Tabla42[SID 30L],""),""))</f>
        <v>ENEBA</v>
      </c>
      <c r="S40" s="3">
        <f t="shared" si="0"/>
        <v>13</v>
      </c>
      <c r="T40" s="3" t="str">
        <f>_xlfn.XLOOKUP(C40,Tabla42[ADEP],Tabla42[Sector],"")</f>
        <v>Sector 3</v>
      </c>
    </row>
    <row r="41" spans="1:20" x14ac:dyDescent="0.2">
      <c r="A41" s="18" t="s">
        <v>457</v>
      </c>
      <c r="B41" s="18" t="s">
        <v>18</v>
      </c>
      <c r="C41" s="18" t="s">
        <v>510</v>
      </c>
      <c r="D41" s="18" t="s">
        <v>458</v>
      </c>
      <c r="E41" s="18"/>
      <c r="F41" s="19">
        <v>46304.5467824074</v>
      </c>
      <c r="G41" s="18" t="s">
        <v>21</v>
      </c>
      <c r="H41" s="18" t="s">
        <v>155</v>
      </c>
      <c r="I41" s="18">
        <v>65</v>
      </c>
      <c r="J41" s="18" t="s">
        <v>130</v>
      </c>
      <c r="K41" s="18" t="s">
        <v>50</v>
      </c>
      <c r="L41" s="18">
        <v>227</v>
      </c>
      <c r="M41" s="18" t="s">
        <v>510</v>
      </c>
      <c r="N41" s="19">
        <v>46304.588472222204</v>
      </c>
      <c r="O41" s="18">
        <v>0</v>
      </c>
      <c r="P41" s="18" t="s">
        <v>129</v>
      </c>
      <c r="Q41" s="18">
        <v>15</v>
      </c>
      <c r="R41" s="3" t="str">
        <f>IF(OR(G41="12R",G41="12L"),_xlfn.XLOOKUP(C41,Tabla42[ADEP],Tabla42[SID 12R],""),IF(OR(G41="30L",G41="30R"),_xlfn.XLOOKUP(C41,Tabla42[ADEP],Tabla42[SID 30L],""),""))</f>
        <v/>
      </c>
      <c r="S41" s="3">
        <f t="shared" si="0"/>
        <v>13</v>
      </c>
      <c r="T41" s="3" t="str">
        <f>_xlfn.XLOOKUP(C41,Tabla42[ADEP],Tabla42[Sector],"")</f>
        <v/>
      </c>
    </row>
    <row r="42" spans="1:20" x14ac:dyDescent="0.2">
      <c r="A42" s="18" t="s">
        <v>119</v>
      </c>
      <c r="B42" s="18" t="s">
        <v>18</v>
      </c>
      <c r="C42" s="18" t="s">
        <v>42</v>
      </c>
      <c r="D42" s="18" t="s">
        <v>43</v>
      </c>
      <c r="E42" s="18" t="s">
        <v>557</v>
      </c>
      <c r="F42" s="19">
        <v>46304.548657407402</v>
      </c>
      <c r="G42" s="18" t="s">
        <v>21</v>
      </c>
      <c r="H42" s="18" t="s">
        <v>3259</v>
      </c>
      <c r="I42" s="18">
        <v>360</v>
      </c>
      <c r="J42" s="18" t="s">
        <v>22</v>
      </c>
      <c r="K42" s="18" t="s">
        <v>23</v>
      </c>
      <c r="L42" s="18">
        <v>859</v>
      </c>
      <c r="M42" s="18" t="s">
        <v>45</v>
      </c>
      <c r="N42" s="19">
        <v>46304.596678240698</v>
      </c>
      <c r="O42" s="18">
        <v>360</v>
      </c>
      <c r="P42" s="18" t="s">
        <v>25</v>
      </c>
      <c r="Q42" s="18">
        <v>190</v>
      </c>
      <c r="R42" s="3" t="str">
        <f>IF(OR(G42="12R",G42="12L"),_xlfn.XLOOKUP(C42,Tabla42[ADEP],Tabla42[SID 12R],""),IF(OR(G42="30L",G42="30R"),_xlfn.XLOOKUP(C42,Tabla42[ADEP],Tabla42[SID 30L],""),""))</f>
        <v>UDGUV</v>
      </c>
      <c r="S42" s="3">
        <f t="shared" si="0"/>
        <v>13</v>
      </c>
      <c r="T42" s="3" t="str">
        <f>_xlfn.XLOOKUP(C42,Tabla42[ADEP],Tabla42[Sector],"")</f>
        <v>Sector 2</v>
      </c>
    </row>
    <row r="43" spans="1:20" x14ac:dyDescent="0.2">
      <c r="A43" s="18" t="s">
        <v>125</v>
      </c>
      <c r="B43" s="18" t="s">
        <v>18</v>
      </c>
      <c r="C43" s="18" t="s">
        <v>126</v>
      </c>
      <c r="D43" s="18" t="s">
        <v>122</v>
      </c>
      <c r="E43" s="18" t="s">
        <v>3260</v>
      </c>
      <c r="F43" s="19">
        <v>46304.5523958333</v>
      </c>
      <c r="G43" s="18" t="s">
        <v>21</v>
      </c>
      <c r="H43" s="18" t="s">
        <v>3261</v>
      </c>
      <c r="I43" s="18">
        <v>350</v>
      </c>
      <c r="J43" s="18" t="s">
        <v>22</v>
      </c>
      <c r="K43" s="18" t="s">
        <v>23</v>
      </c>
      <c r="L43" s="18">
        <v>136</v>
      </c>
      <c r="M43" s="18" t="s">
        <v>39</v>
      </c>
      <c r="N43" s="19">
        <v>46304.561701388899</v>
      </c>
      <c r="O43" s="18">
        <v>261</v>
      </c>
      <c r="P43" s="18" t="s">
        <v>25</v>
      </c>
      <c r="Q43" s="18">
        <v>190</v>
      </c>
      <c r="R43" s="3" t="str">
        <f>IF(OR(G43="12R",G43="12L"),_xlfn.XLOOKUP(C43,Tabla42[ADEP],Tabla42[SID 12R],""),IF(OR(G43="30L",G43="30R"),_xlfn.XLOOKUP(C43,Tabla42[ADEP],Tabla42[SID 30L],""),""))</f>
        <v>ENEBA</v>
      </c>
      <c r="S43" s="3">
        <f t="shared" si="0"/>
        <v>13</v>
      </c>
      <c r="T43" s="3" t="str">
        <f>_xlfn.XLOOKUP(C43,Tabla42[ADEP],Tabla42[Sector],"")</f>
        <v>Sector 3</v>
      </c>
    </row>
    <row r="44" spans="1:20" x14ac:dyDescent="0.2">
      <c r="A44" s="18" t="s">
        <v>495</v>
      </c>
      <c r="B44" s="18" t="s">
        <v>18</v>
      </c>
      <c r="C44" s="18" t="s">
        <v>510</v>
      </c>
      <c r="D44" s="18" t="s">
        <v>458</v>
      </c>
      <c r="E44" s="18"/>
      <c r="F44" s="19">
        <v>46304.568310185197</v>
      </c>
      <c r="G44" s="18" t="s">
        <v>21</v>
      </c>
      <c r="H44" s="18" t="s">
        <v>155</v>
      </c>
      <c r="I44" s="18">
        <v>65</v>
      </c>
      <c r="J44" s="18" t="s">
        <v>130</v>
      </c>
      <c r="K44" s="18" t="s">
        <v>50</v>
      </c>
      <c r="L44" s="18">
        <v>227</v>
      </c>
      <c r="M44" s="18" t="s">
        <v>510</v>
      </c>
      <c r="N44" s="19">
        <v>46304.606307870403</v>
      </c>
      <c r="O44" s="18">
        <v>0</v>
      </c>
      <c r="P44" s="18" t="s">
        <v>129</v>
      </c>
      <c r="Q44" s="18">
        <v>15</v>
      </c>
      <c r="R44" s="3" t="str">
        <f>IF(OR(G44="12R",G44="12L"),_xlfn.XLOOKUP(C44,Tabla42[ADEP],Tabla42[SID 12R],""),IF(OR(G44="30L",G44="30R"),_xlfn.XLOOKUP(C44,Tabla42[ADEP],Tabla42[SID 30L],""),""))</f>
        <v/>
      </c>
      <c r="S44" s="3">
        <f t="shared" si="0"/>
        <v>13</v>
      </c>
      <c r="T44" s="3" t="str">
        <f>_xlfn.XLOOKUP(C44,Tabla42[ADEP],Tabla42[Sector],"")</f>
        <v/>
      </c>
    </row>
    <row r="45" spans="1:20" x14ac:dyDescent="0.2">
      <c r="A45" s="18" t="s">
        <v>127</v>
      </c>
      <c r="B45" s="18" t="s">
        <v>18</v>
      </c>
      <c r="C45" s="18" t="s">
        <v>128</v>
      </c>
      <c r="D45" s="18" t="s">
        <v>43</v>
      </c>
      <c r="E45" s="18" t="s">
        <v>1605</v>
      </c>
      <c r="F45" s="19">
        <v>46304.581956018497</v>
      </c>
      <c r="G45" s="18" t="s">
        <v>21</v>
      </c>
      <c r="H45" s="18" t="s">
        <v>3262</v>
      </c>
      <c r="I45" s="18">
        <v>350</v>
      </c>
      <c r="J45" s="18" t="s">
        <v>22</v>
      </c>
      <c r="K45" s="18" t="s">
        <v>23</v>
      </c>
      <c r="L45" s="18">
        <v>137</v>
      </c>
      <c r="M45" s="18" t="s">
        <v>385</v>
      </c>
      <c r="N45" s="19">
        <v>46304.591608796298</v>
      </c>
      <c r="O45" s="18">
        <v>219</v>
      </c>
      <c r="P45" s="18" t="s">
        <v>25</v>
      </c>
      <c r="Q45" s="18">
        <v>190</v>
      </c>
      <c r="R45" s="3" t="str">
        <f>IF(OR(G45="12R",G45="12L"),_xlfn.XLOOKUP(C45,Tabla42[ADEP],Tabla42[SID 12R],""),IF(OR(G45="30L",G45="30R"),_xlfn.XLOOKUP(C45,Tabla42[ADEP],Tabla42[SID 30L],""),""))</f>
        <v>OMSUK</v>
      </c>
      <c r="S45" s="3">
        <f t="shared" si="0"/>
        <v>13</v>
      </c>
      <c r="T45" s="3" t="str">
        <f>_xlfn.XLOOKUP(C45,Tabla42[ADEP],Tabla42[Sector],"")</f>
        <v>Sector 3</v>
      </c>
    </row>
    <row r="46" spans="1:20" x14ac:dyDescent="0.2">
      <c r="A46" s="18" t="s">
        <v>511</v>
      </c>
      <c r="B46" s="18" t="s">
        <v>18</v>
      </c>
      <c r="C46" s="18" t="s">
        <v>195</v>
      </c>
      <c r="D46" s="18" t="s">
        <v>397</v>
      </c>
      <c r="E46" s="18" t="s">
        <v>512</v>
      </c>
      <c r="F46" s="19">
        <v>46304.589131944398</v>
      </c>
      <c r="G46" s="18" t="s">
        <v>21</v>
      </c>
      <c r="H46" s="18" t="s">
        <v>3263</v>
      </c>
      <c r="I46" s="18">
        <v>390</v>
      </c>
      <c r="J46" s="18" t="s">
        <v>22</v>
      </c>
      <c r="K46" s="18" t="s">
        <v>23</v>
      </c>
      <c r="L46" s="18">
        <v>139</v>
      </c>
      <c r="M46" s="18" t="s">
        <v>3264</v>
      </c>
      <c r="N46" s="19">
        <v>46304.598344907397</v>
      </c>
      <c r="O46" s="18">
        <v>214</v>
      </c>
      <c r="P46" s="18" t="s">
        <v>40</v>
      </c>
      <c r="Q46" s="18">
        <v>190</v>
      </c>
      <c r="R46" s="3" t="str">
        <f>IF(OR(G46="12R",G46="12L"),_xlfn.XLOOKUP(C46,Tabla42[ADEP],Tabla42[SID 12R],""),IF(OR(G46="30L",G46="30R"),_xlfn.XLOOKUP(C46,Tabla42[ADEP],Tabla42[SID 30L],""),""))</f>
        <v>HECAT</v>
      </c>
      <c r="S46" s="3">
        <f t="shared" si="0"/>
        <v>14</v>
      </c>
      <c r="T46" s="3" t="str">
        <f>_xlfn.XLOOKUP(C46,Tabla42[ADEP],Tabla42[Sector],"")</f>
        <v>Sector 7</v>
      </c>
    </row>
    <row r="47" spans="1:20" x14ac:dyDescent="0.2">
      <c r="A47" s="18" t="s">
        <v>131</v>
      </c>
      <c r="B47" s="18" t="s">
        <v>18</v>
      </c>
      <c r="C47" s="18" t="s">
        <v>42</v>
      </c>
      <c r="D47" s="18" t="s">
        <v>43</v>
      </c>
      <c r="E47" s="18" t="s">
        <v>565</v>
      </c>
      <c r="F47" s="19">
        <v>46304.600949074098</v>
      </c>
      <c r="G47" s="18" t="s">
        <v>21</v>
      </c>
      <c r="H47" s="18" t="s">
        <v>3265</v>
      </c>
      <c r="I47" s="18">
        <v>360</v>
      </c>
      <c r="J47" s="18" t="s">
        <v>22</v>
      </c>
      <c r="K47" s="18" t="s">
        <v>23</v>
      </c>
      <c r="L47" s="18">
        <v>859</v>
      </c>
      <c r="M47" s="18" t="s">
        <v>45</v>
      </c>
      <c r="N47" s="19">
        <v>46304.648900462998</v>
      </c>
      <c r="O47" s="18">
        <v>360</v>
      </c>
      <c r="P47" s="18" t="s">
        <v>25</v>
      </c>
      <c r="Q47" s="18">
        <v>190</v>
      </c>
      <c r="R47" s="3" t="str">
        <f>IF(OR(G47="12R",G47="12L"),_xlfn.XLOOKUP(C47,Tabla42[ADEP],Tabla42[SID 12R],""),IF(OR(G47="30L",G47="30R"),_xlfn.XLOOKUP(C47,Tabla42[ADEP],Tabla42[SID 30L],""),""))</f>
        <v>UDGUV</v>
      </c>
      <c r="S47" s="3">
        <f t="shared" si="0"/>
        <v>14</v>
      </c>
      <c r="T47" s="3" t="str">
        <f>_xlfn.XLOOKUP(C47,Tabla42[ADEP],Tabla42[Sector],"")</f>
        <v>Sector 2</v>
      </c>
    </row>
    <row r="48" spans="1:20" x14ac:dyDescent="0.2">
      <c r="A48" s="18" t="s">
        <v>173</v>
      </c>
      <c r="B48" s="18" t="s">
        <v>18</v>
      </c>
      <c r="C48" s="18" t="s">
        <v>441</v>
      </c>
      <c r="D48" s="18" t="s">
        <v>174</v>
      </c>
      <c r="E48" s="18"/>
      <c r="F48" s="19">
        <v>46304.615127314799</v>
      </c>
      <c r="G48" s="18" t="s">
        <v>21</v>
      </c>
      <c r="H48" s="18" t="s">
        <v>155</v>
      </c>
      <c r="I48" s="18">
        <v>25</v>
      </c>
      <c r="J48" s="18" t="s">
        <v>130</v>
      </c>
      <c r="K48" s="18" t="s">
        <v>50</v>
      </c>
      <c r="L48" s="18">
        <v>319</v>
      </c>
      <c r="M48" s="18" t="s">
        <v>441</v>
      </c>
      <c r="N48" s="19">
        <v>46304.720405092601</v>
      </c>
      <c r="O48" s="18">
        <v>0</v>
      </c>
      <c r="P48" s="18" t="s">
        <v>129</v>
      </c>
      <c r="Q48" s="18">
        <v>927</v>
      </c>
      <c r="R48" s="3" t="str">
        <f>IF(OR(G48="12R",G48="12L"),_xlfn.XLOOKUP(C48,Tabla42[ADEP],Tabla42[SID 12R],""),IF(OR(G48="30L",G48="30R"),_xlfn.XLOOKUP(C48,Tabla42[ADEP],Tabla42[SID 30L],""),""))</f>
        <v>CZM</v>
      </c>
      <c r="S48" s="3">
        <f t="shared" si="0"/>
        <v>14</v>
      </c>
      <c r="T48" s="3" t="str">
        <f>_xlfn.XLOOKUP(C48,Tabla42[ADEP],Tabla42[Sector],"")</f>
        <v>Sector 7</v>
      </c>
    </row>
    <row r="49" spans="1:20" x14ac:dyDescent="0.2">
      <c r="A49" s="18" t="s">
        <v>2971</v>
      </c>
      <c r="B49" s="18" t="s">
        <v>18</v>
      </c>
      <c r="C49" s="18" t="s">
        <v>121</v>
      </c>
      <c r="D49" s="18" t="s">
        <v>20</v>
      </c>
      <c r="E49" s="18" t="s">
        <v>3266</v>
      </c>
      <c r="F49" s="19">
        <v>46304.626909722203</v>
      </c>
      <c r="G49" s="18" t="s">
        <v>21</v>
      </c>
      <c r="H49" s="18" t="s">
        <v>3267</v>
      </c>
      <c r="I49" s="18">
        <v>380</v>
      </c>
      <c r="J49" s="18" t="s">
        <v>22</v>
      </c>
      <c r="K49" s="18" t="s">
        <v>23</v>
      </c>
      <c r="L49" s="18">
        <v>529</v>
      </c>
      <c r="M49" s="18" t="s">
        <v>123</v>
      </c>
      <c r="N49" s="19">
        <v>46304.656620370399</v>
      </c>
      <c r="O49" s="18">
        <v>380</v>
      </c>
      <c r="P49" s="18" t="s">
        <v>25</v>
      </c>
      <c r="Q49" s="18">
        <v>40</v>
      </c>
      <c r="R49" s="3" t="str">
        <f>IF(OR(G49="12R",G49="12L"),_xlfn.XLOOKUP(C49,Tabla42[ADEP],Tabla42[SID 12R],""),IF(OR(G49="30L",G49="30R"),_xlfn.XLOOKUP(C49,Tabla42[ADEP],Tabla42[SID 30L],""),""))</f>
        <v>ENEBA</v>
      </c>
      <c r="S49" s="3">
        <f t="shared" si="0"/>
        <v>15</v>
      </c>
      <c r="T49" s="3" t="str">
        <f>_xlfn.XLOOKUP(C49,Tabla42[ADEP],Tabla42[Sector],"")</f>
        <v>Sector 3</v>
      </c>
    </row>
    <row r="50" spans="1:20" x14ac:dyDescent="0.2">
      <c r="A50" s="18" t="s">
        <v>135</v>
      </c>
      <c r="B50" s="18" t="s">
        <v>18</v>
      </c>
      <c r="C50" s="18" t="s">
        <v>32</v>
      </c>
      <c r="D50" s="18" t="s">
        <v>53</v>
      </c>
      <c r="E50" s="18" t="s">
        <v>666</v>
      </c>
      <c r="F50" s="19">
        <v>46304.629745370403</v>
      </c>
      <c r="G50" s="18" t="s">
        <v>21</v>
      </c>
      <c r="H50" s="18" t="s">
        <v>3268</v>
      </c>
      <c r="I50" s="18">
        <v>380</v>
      </c>
      <c r="J50" s="18" t="s">
        <v>22</v>
      </c>
      <c r="K50" s="18" t="s">
        <v>23</v>
      </c>
      <c r="L50" s="18">
        <v>868</v>
      </c>
      <c r="M50" s="18" t="s">
        <v>35</v>
      </c>
      <c r="N50" s="19">
        <v>46304.6797337963</v>
      </c>
      <c r="O50" s="18">
        <v>380</v>
      </c>
      <c r="P50" s="18" t="s">
        <v>25</v>
      </c>
      <c r="Q50" s="18">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8" t="s">
        <v>423</v>
      </c>
      <c r="B51" s="18" t="s">
        <v>18</v>
      </c>
      <c r="C51" s="18" t="s">
        <v>154</v>
      </c>
      <c r="D51" s="18" t="s">
        <v>424</v>
      </c>
      <c r="E51" s="18"/>
      <c r="F51" s="19">
        <v>46304.6315972222</v>
      </c>
      <c r="G51" s="18" t="s">
        <v>21</v>
      </c>
      <c r="H51" s="18" t="s">
        <v>155</v>
      </c>
      <c r="I51" s="18">
        <v>15</v>
      </c>
      <c r="J51" s="18" t="s">
        <v>130</v>
      </c>
      <c r="K51" s="18" t="s">
        <v>50</v>
      </c>
      <c r="L51" s="18">
        <v>58</v>
      </c>
      <c r="M51" s="18" t="s">
        <v>154</v>
      </c>
      <c r="N51" s="19">
        <v>46304.645810185197</v>
      </c>
      <c r="O51" s="18">
        <v>0</v>
      </c>
      <c r="P51" s="18" t="s">
        <v>129</v>
      </c>
      <c r="Q51" s="18">
        <v>15</v>
      </c>
      <c r="R51" s="3" t="str">
        <f>IF(OR(G51="12R",G51="12L"),_xlfn.XLOOKUP(C51,Tabla42[ADEP],Tabla42[SID 12R],""),IF(OR(G51="30L",G51="30R"),_xlfn.XLOOKUP(C51,Tabla42[ADEP],Tabla42[SID 30L],""),""))</f>
        <v>CZM</v>
      </c>
      <c r="S51" s="3">
        <f t="shared" si="0"/>
        <v>15</v>
      </c>
      <c r="T51" s="3" t="str">
        <f>_xlfn.XLOOKUP(C51,Tabla42[ADEP],Tabla42[Sector],"")</f>
        <v>Sector 7</v>
      </c>
    </row>
    <row r="52" spans="1:20" x14ac:dyDescent="0.2">
      <c r="A52" s="18" t="s">
        <v>2076</v>
      </c>
      <c r="B52" s="18" t="s">
        <v>18</v>
      </c>
      <c r="C52" s="18" t="s">
        <v>3269</v>
      </c>
      <c r="D52" s="18" t="s">
        <v>2077</v>
      </c>
      <c r="E52" s="18"/>
      <c r="F52" s="19">
        <v>46304.633680555598</v>
      </c>
      <c r="G52" s="18" t="s">
        <v>21</v>
      </c>
      <c r="H52" s="18" t="s">
        <v>155</v>
      </c>
      <c r="I52" s="18">
        <v>15</v>
      </c>
      <c r="J52" s="18" t="s">
        <v>130</v>
      </c>
      <c r="K52" s="18" t="s">
        <v>50</v>
      </c>
      <c r="L52" s="18">
        <v>169</v>
      </c>
      <c r="M52" s="18" t="s">
        <v>3269</v>
      </c>
      <c r="N52" s="19">
        <v>46304.681469907402</v>
      </c>
      <c r="O52" s="18">
        <v>1</v>
      </c>
      <c r="P52" s="18" t="s">
        <v>129</v>
      </c>
      <c r="Q52" s="18">
        <v>15</v>
      </c>
      <c r="R52" s="3" t="str">
        <f>IF(OR(G52="12R",G52="12L"),_xlfn.XLOOKUP(C52,Tabla42[ADEP],Tabla42[SID 12R],""),IF(OR(G52="30L",G52="30R"),_xlfn.XLOOKUP(C52,Tabla42[ADEP],Tabla42[SID 30L],""),""))</f>
        <v/>
      </c>
      <c r="S52" s="3">
        <f t="shared" si="0"/>
        <v>15</v>
      </c>
      <c r="T52" s="3" t="str">
        <f>_xlfn.XLOOKUP(C52,Tabla42[ADEP],Tabla42[Sector],"")</f>
        <v/>
      </c>
    </row>
    <row r="53" spans="1:20" x14ac:dyDescent="0.2">
      <c r="A53" s="18" t="s">
        <v>3270</v>
      </c>
      <c r="B53" s="18" t="s">
        <v>18</v>
      </c>
      <c r="C53" s="18" t="s">
        <v>536</v>
      </c>
      <c r="D53" s="18" t="s">
        <v>3271</v>
      </c>
      <c r="E53" s="18"/>
      <c r="F53" s="19">
        <v>46304.635578703703</v>
      </c>
      <c r="G53" s="18" t="s">
        <v>21</v>
      </c>
      <c r="H53" s="18" t="s">
        <v>3272</v>
      </c>
      <c r="I53" s="18">
        <v>360</v>
      </c>
      <c r="J53" s="18" t="s">
        <v>22</v>
      </c>
      <c r="K53" s="18" t="s">
        <v>50</v>
      </c>
      <c r="L53" s="18">
        <v>869</v>
      </c>
      <c r="M53" s="18" t="s">
        <v>35</v>
      </c>
      <c r="N53" s="19">
        <v>46304.712592592601</v>
      </c>
      <c r="O53" s="18">
        <v>360</v>
      </c>
      <c r="P53" s="18" t="s">
        <v>129</v>
      </c>
      <c r="Q53" s="18">
        <v>30</v>
      </c>
      <c r="R53" s="3" t="str">
        <f>IF(OR(G53="12R",G53="12L"),_xlfn.XLOOKUP(C53,Tabla42[ADEP],Tabla42[SID 12R],""),IF(OR(G53="30L",G53="30R"),_xlfn.XLOOKUP(C53,Tabla42[ADEP],Tabla42[SID 30L],""),""))</f>
        <v>ENEBA</v>
      </c>
      <c r="S53" s="3">
        <f t="shared" si="0"/>
        <v>15</v>
      </c>
      <c r="T53" s="3" t="str">
        <f>_xlfn.XLOOKUP(C53,Tabla42[ADEP],Tabla42[Sector],"")</f>
        <v>Sector 3</v>
      </c>
    </row>
    <row r="54" spans="1:20" x14ac:dyDescent="0.2">
      <c r="A54" s="18" t="s">
        <v>139</v>
      </c>
      <c r="B54" s="18" t="s">
        <v>18</v>
      </c>
      <c r="C54" s="18" t="s">
        <v>49</v>
      </c>
      <c r="D54" s="18" t="s">
        <v>33</v>
      </c>
      <c r="E54" s="18" t="s">
        <v>532</v>
      </c>
      <c r="F54" s="19">
        <v>46304.647557870398</v>
      </c>
      <c r="G54" s="18" t="s">
        <v>21</v>
      </c>
      <c r="H54" s="18" t="s">
        <v>3273</v>
      </c>
      <c r="I54" s="18">
        <v>360</v>
      </c>
      <c r="J54" s="18" t="s">
        <v>22</v>
      </c>
      <c r="K54" s="18" t="s">
        <v>141</v>
      </c>
      <c r="L54" s="18">
        <v>857</v>
      </c>
      <c r="M54" s="18" t="s">
        <v>45</v>
      </c>
      <c r="N54" s="19">
        <v>46304.6947685185</v>
      </c>
      <c r="O54" s="18">
        <v>340</v>
      </c>
      <c r="P54" s="18" t="s">
        <v>25</v>
      </c>
      <c r="Q54" s="18">
        <v>190</v>
      </c>
      <c r="R54" s="3" t="str">
        <f>IF(OR(G54="12R",G54="12L"),_xlfn.XLOOKUP(C54,Tabla42[ADEP],Tabla42[SID 12R],""),IF(OR(G54="30L",G54="30R"),_xlfn.XLOOKUP(C54,Tabla42[ADEP],Tabla42[SID 30L],""),""))</f>
        <v>UDGUV</v>
      </c>
      <c r="S54" s="3">
        <f t="shared" si="0"/>
        <v>15</v>
      </c>
      <c r="T54" s="3" t="str">
        <f>_xlfn.XLOOKUP(C54,Tabla42[ADEP],Tabla42[Sector],"")</f>
        <v>Sector 2</v>
      </c>
    </row>
    <row r="55" spans="1:20" x14ac:dyDescent="0.2">
      <c r="A55" s="18" t="s">
        <v>146</v>
      </c>
      <c r="B55" s="18" t="s">
        <v>18</v>
      </c>
      <c r="C55" s="18" t="s">
        <v>96</v>
      </c>
      <c r="D55" s="18" t="s">
        <v>53</v>
      </c>
      <c r="E55" s="18" t="s">
        <v>1613</v>
      </c>
      <c r="F55" s="19">
        <v>46304.649895833303</v>
      </c>
      <c r="G55" s="18" t="s">
        <v>21</v>
      </c>
      <c r="H55" s="18" t="s">
        <v>3274</v>
      </c>
      <c r="I55" s="18">
        <v>380</v>
      </c>
      <c r="J55" s="18" t="s">
        <v>22</v>
      </c>
      <c r="K55" s="18" t="s">
        <v>23</v>
      </c>
      <c r="L55" s="18">
        <v>859</v>
      </c>
      <c r="M55" s="18" t="s">
        <v>45</v>
      </c>
      <c r="N55" s="19">
        <v>46304.698263888902</v>
      </c>
      <c r="O55" s="18">
        <v>380</v>
      </c>
      <c r="P55" s="18" t="s">
        <v>25</v>
      </c>
      <c r="Q55" s="18">
        <v>190</v>
      </c>
      <c r="R55" s="3" t="str">
        <f>IF(OR(G55="12R",G55="12L"),_xlfn.XLOOKUP(C55,Tabla42[ADEP],Tabla42[SID 12R],""),IF(OR(G55="30L",G55="30R"),_xlfn.XLOOKUP(C55,Tabla42[ADEP],Tabla42[SID 30L],""),""))</f>
        <v>UDGUV</v>
      </c>
      <c r="S55" s="3">
        <f t="shared" si="0"/>
        <v>15</v>
      </c>
      <c r="T55" s="3" t="str">
        <f>_xlfn.XLOOKUP(C55,Tabla42[ADEP],Tabla42[Sector],"")</f>
        <v>Sector 2</v>
      </c>
    </row>
    <row r="56" spans="1:20" x14ac:dyDescent="0.2">
      <c r="A56" s="18" t="s">
        <v>143</v>
      </c>
      <c r="B56" s="18" t="s">
        <v>18</v>
      </c>
      <c r="C56" s="18" t="s">
        <v>32</v>
      </c>
      <c r="D56" s="18" t="s">
        <v>53</v>
      </c>
      <c r="E56" s="18" t="s">
        <v>363</v>
      </c>
      <c r="F56" s="19">
        <v>46304.657951388901</v>
      </c>
      <c r="G56" s="18" t="s">
        <v>21</v>
      </c>
      <c r="H56" s="18" t="s">
        <v>3275</v>
      </c>
      <c r="I56" s="18">
        <v>340</v>
      </c>
      <c r="J56" s="18" t="s">
        <v>22</v>
      </c>
      <c r="K56" s="18" t="s">
        <v>23</v>
      </c>
      <c r="L56" s="18">
        <v>878</v>
      </c>
      <c r="M56" s="18" t="s">
        <v>35</v>
      </c>
      <c r="N56" s="19">
        <v>46304.707650463002</v>
      </c>
      <c r="O56" s="18">
        <v>340</v>
      </c>
      <c r="P56" s="18" t="s">
        <v>25</v>
      </c>
      <c r="Q56" s="18">
        <v>190</v>
      </c>
      <c r="R56" s="3" t="str">
        <f>IF(OR(G56="12R",G56="12L"),_xlfn.XLOOKUP(C56,Tabla42[ADEP],Tabla42[SID 12R],""),IF(OR(G56="30L",G56="30R"),_xlfn.XLOOKUP(C56,Tabla42[ADEP],Tabla42[SID 30L],""),""))</f>
        <v>UDGUV</v>
      </c>
      <c r="S56" s="3">
        <f t="shared" si="0"/>
        <v>15</v>
      </c>
      <c r="T56" s="3" t="str">
        <f>_xlfn.XLOOKUP(C56,Tabla42[ADEP],Tabla42[Sector],"")</f>
        <v>Sector 2</v>
      </c>
    </row>
    <row r="57" spans="1:20" x14ac:dyDescent="0.2">
      <c r="A57" s="18" t="s">
        <v>2984</v>
      </c>
      <c r="B57" s="18" t="s">
        <v>18</v>
      </c>
      <c r="C57" s="18" t="s">
        <v>188</v>
      </c>
      <c r="D57" s="18" t="s">
        <v>20</v>
      </c>
      <c r="E57" s="18" t="s">
        <v>3276</v>
      </c>
      <c r="F57" s="19">
        <v>46304.662152777797</v>
      </c>
      <c r="G57" s="18" t="s">
        <v>21</v>
      </c>
      <c r="H57" s="18" t="s">
        <v>3277</v>
      </c>
      <c r="I57" s="18">
        <v>380</v>
      </c>
      <c r="J57" s="18" t="s">
        <v>22</v>
      </c>
      <c r="K57" s="18" t="s">
        <v>23</v>
      </c>
      <c r="L57" s="18">
        <v>417</v>
      </c>
      <c r="M57" s="18" t="s">
        <v>189</v>
      </c>
      <c r="N57" s="19">
        <v>46304.684606481504</v>
      </c>
      <c r="O57" s="18">
        <v>380</v>
      </c>
      <c r="P57" s="18" t="s">
        <v>25</v>
      </c>
      <c r="Q57" s="18">
        <v>40</v>
      </c>
      <c r="R57" s="3" t="str">
        <f>IF(OR(G57="12R",G57="12L"),_xlfn.XLOOKUP(C57,Tabla42[ADEP],Tabla42[SID 12R],""),IF(OR(G57="30L",G57="30R"),_xlfn.XLOOKUP(C57,Tabla42[ADEP],Tabla42[SID 30L],""),""))</f>
        <v>ENEBA</v>
      </c>
      <c r="S57" s="3">
        <f t="shared" si="0"/>
        <v>15</v>
      </c>
      <c r="T57" s="3" t="str">
        <f>_xlfn.XLOOKUP(C57,Tabla42[ADEP],Tabla42[Sector],"")</f>
        <v>Sector 3</v>
      </c>
    </row>
    <row r="58" spans="1:20" x14ac:dyDescent="0.2">
      <c r="A58" s="18" t="s">
        <v>3278</v>
      </c>
      <c r="B58" s="18" t="s">
        <v>18</v>
      </c>
      <c r="C58" s="18" t="s">
        <v>49</v>
      </c>
      <c r="D58" s="18" t="s">
        <v>124</v>
      </c>
      <c r="E58" s="18"/>
      <c r="F58" s="19">
        <v>46304.6632523148</v>
      </c>
      <c r="G58" s="18" t="s">
        <v>21</v>
      </c>
      <c r="H58" s="18" t="s">
        <v>3279</v>
      </c>
      <c r="I58" s="18">
        <v>300</v>
      </c>
      <c r="J58" s="18" t="s">
        <v>22</v>
      </c>
      <c r="K58" s="18" t="s">
        <v>50</v>
      </c>
      <c r="L58" s="18">
        <v>859</v>
      </c>
      <c r="M58" s="18" t="s">
        <v>45</v>
      </c>
      <c r="N58" s="19">
        <v>46304.715219907397</v>
      </c>
      <c r="O58" s="18">
        <v>300</v>
      </c>
      <c r="P58" s="18" t="s">
        <v>25</v>
      </c>
      <c r="Q58" s="18">
        <v>30</v>
      </c>
      <c r="R58" s="3" t="str">
        <f>IF(OR(G58="12R",G58="12L"),_xlfn.XLOOKUP(C58,Tabla42[ADEP],Tabla42[SID 12R],""),IF(OR(G58="30L",G58="30R"),_xlfn.XLOOKUP(C58,Tabla42[ADEP],Tabla42[SID 30L],""),""))</f>
        <v>UDGUV</v>
      </c>
      <c r="S58" s="3">
        <f t="shared" si="0"/>
        <v>15</v>
      </c>
      <c r="T58" s="3" t="str">
        <f>_xlfn.XLOOKUP(C58,Tabla42[ADEP],Tabla42[Sector],"")</f>
        <v>Sector 2</v>
      </c>
    </row>
    <row r="59" spans="1:20" x14ac:dyDescent="0.2">
      <c r="A59" s="18" t="s">
        <v>425</v>
      </c>
      <c r="B59" s="18" t="s">
        <v>18</v>
      </c>
      <c r="C59" s="18" t="s">
        <v>49</v>
      </c>
      <c r="D59" s="18" t="s">
        <v>33</v>
      </c>
      <c r="E59" s="18" t="s">
        <v>732</v>
      </c>
      <c r="F59" s="19">
        <v>46304.664895833303</v>
      </c>
      <c r="G59" s="18" t="s">
        <v>21</v>
      </c>
      <c r="H59" s="18" t="s">
        <v>3280</v>
      </c>
      <c r="I59" s="18">
        <v>380</v>
      </c>
      <c r="J59" s="18" t="s">
        <v>22</v>
      </c>
      <c r="K59" s="18" t="s">
        <v>23</v>
      </c>
      <c r="L59" s="18">
        <v>858</v>
      </c>
      <c r="M59" s="18" t="s">
        <v>45</v>
      </c>
      <c r="N59" s="19">
        <v>46304.713344907403</v>
      </c>
      <c r="O59" s="18">
        <v>380</v>
      </c>
      <c r="P59" s="18" t="s">
        <v>25</v>
      </c>
      <c r="Q59" s="18">
        <v>190</v>
      </c>
      <c r="R59" s="3" t="str">
        <f>IF(OR(G59="12R",G59="12L"),_xlfn.XLOOKUP(C59,Tabla42[ADEP],Tabla42[SID 12R],""),IF(OR(G59="30L",G59="30R"),_xlfn.XLOOKUP(C59,Tabla42[ADEP],Tabla42[SID 30L],""),""))</f>
        <v>UDGUV</v>
      </c>
      <c r="S59" s="3">
        <f t="shared" si="0"/>
        <v>15</v>
      </c>
      <c r="T59" s="3" t="str">
        <f>_xlfn.XLOOKUP(C59,Tabla42[ADEP],Tabla42[Sector],"")</f>
        <v>Sector 2</v>
      </c>
    </row>
    <row r="60" spans="1:20" x14ac:dyDescent="0.2">
      <c r="A60" s="18" t="s">
        <v>151</v>
      </c>
      <c r="B60" s="18" t="s">
        <v>18</v>
      </c>
      <c r="C60" s="18" t="s">
        <v>96</v>
      </c>
      <c r="D60" s="18" t="s">
        <v>122</v>
      </c>
      <c r="E60" s="18" t="s">
        <v>517</v>
      </c>
      <c r="F60" s="19">
        <v>46304.666342592602</v>
      </c>
      <c r="G60" s="18" t="s">
        <v>21</v>
      </c>
      <c r="H60" s="18" t="s">
        <v>3281</v>
      </c>
      <c r="I60" s="18">
        <v>360</v>
      </c>
      <c r="J60" s="18" t="s">
        <v>22</v>
      </c>
      <c r="K60" s="18" t="s">
        <v>23</v>
      </c>
      <c r="L60" s="18">
        <v>858</v>
      </c>
      <c r="M60" s="18" t="s">
        <v>45</v>
      </c>
      <c r="N60" s="19">
        <v>46304.713472222204</v>
      </c>
      <c r="O60" s="18">
        <v>360</v>
      </c>
      <c r="P60" s="18" t="s">
        <v>25</v>
      </c>
      <c r="Q60" s="18">
        <v>190</v>
      </c>
      <c r="R60" s="3" t="str">
        <f>IF(OR(G60="12R",G60="12L"),_xlfn.XLOOKUP(C60,Tabla42[ADEP],Tabla42[SID 12R],""),IF(OR(G60="30L",G60="30R"),_xlfn.XLOOKUP(C60,Tabla42[ADEP],Tabla42[SID 30L],""),""))</f>
        <v>UDGUV</v>
      </c>
      <c r="S60" s="3">
        <f t="shared" si="0"/>
        <v>15</v>
      </c>
      <c r="T60" s="3" t="str">
        <f>_xlfn.XLOOKUP(C60,Tabla42[ADEP],Tabla42[Sector],"")</f>
        <v>Sector 2</v>
      </c>
    </row>
    <row r="61" spans="1:20" x14ac:dyDescent="0.2">
      <c r="A61" s="18" t="s">
        <v>150</v>
      </c>
      <c r="B61" s="18" t="s">
        <v>18</v>
      </c>
      <c r="C61" s="18" t="s">
        <v>32</v>
      </c>
      <c r="D61" s="18" t="s">
        <v>60</v>
      </c>
      <c r="E61" s="18" t="s">
        <v>2841</v>
      </c>
      <c r="F61" s="19">
        <v>46304.667777777802</v>
      </c>
      <c r="G61" s="18" t="s">
        <v>21</v>
      </c>
      <c r="H61" s="18" t="s">
        <v>3282</v>
      </c>
      <c r="I61" s="18">
        <v>340</v>
      </c>
      <c r="J61" s="18" t="s">
        <v>22</v>
      </c>
      <c r="K61" s="18" t="s">
        <v>23</v>
      </c>
      <c r="L61" s="18">
        <v>875</v>
      </c>
      <c r="M61" s="18" t="s">
        <v>35</v>
      </c>
      <c r="N61" s="19">
        <v>46304.7168634259</v>
      </c>
      <c r="O61" s="18">
        <v>340</v>
      </c>
      <c r="P61" s="18" t="s">
        <v>25</v>
      </c>
      <c r="Q61" s="18">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18" t="s">
        <v>136</v>
      </c>
      <c r="B62" s="18" t="s">
        <v>18</v>
      </c>
      <c r="C62" s="18" t="s">
        <v>137</v>
      </c>
      <c r="D62" s="18" t="s">
        <v>63</v>
      </c>
      <c r="E62" s="18" t="s">
        <v>774</v>
      </c>
      <c r="F62" s="19">
        <v>46304.668645833299</v>
      </c>
      <c r="G62" s="18" t="s">
        <v>21</v>
      </c>
      <c r="H62" s="18" t="s">
        <v>3283</v>
      </c>
      <c r="I62" s="18">
        <v>330</v>
      </c>
      <c r="J62" s="18" t="s">
        <v>22</v>
      </c>
      <c r="K62" s="18" t="s">
        <v>23</v>
      </c>
      <c r="L62" s="18">
        <v>139</v>
      </c>
      <c r="M62" s="18" t="s">
        <v>39</v>
      </c>
      <c r="N62" s="19">
        <v>46304.678043981497</v>
      </c>
      <c r="O62" s="18">
        <v>228</v>
      </c>
      <c r="P62" s="18" t="s">
        <v>25</v>
      </c>
      <c r="Q62" s="18">
        <v>190</v>
      </c>
      <c r="R62" s="3" t="str">
        <f>IF(OR(G62="12R",G62="12L"),_xlfn.XLOOKUP(C62,Tabla42[ADEP],Tabla42[SID 12R],""),IF(OR(G62="30L",G62="30R"),_xlfn.XLOOKUP(C62,Tabla42[ADEP],Tabla42[SID 30L],""),""))</f>
        <v>NUDAL</v>
      </c>
      <c r="S62" s="3">
        <f t="shared" si="0"/>
        <v>16</v>
      </c>
      <c r="T62" s="3" t="str">
        <f>_xlfn.XLOOKUP(C62,Tabla42[ADEP],Tabla42[Sector],"")</f>
        <v>Sector 3</v>
      </c>
    </row>
    <row r="63" spans="1:20" x14ac:dyDescent="0.2">
      <c r="A63" s="18" t="s">
        <v>364</v>
      </c>
      <c r="B63" s="18" t="s">
        <v>18</v>
      </c>
      <c r="C63" s="18" t="s">
        <v>27</v>
      </c>
      <c r="D63" s="18" t="s">
        <v>28</v>
      </c>
      <c r="E63" s="18" t="s">
        <v>3284</v>
      </c>
      <c r="F63" s="19">
        <v>46304.6699421296</v>
      </c>
      <c r="G63" s="18" t="s">
        <v>21</v>
      </c>
      <c r="H63" s="18" t="s">
        <v>3285</v>
      </c>
      <c r="I63" s="18">
        <v>350</v>
      </c>
      <c r="J63" s="18" t="s">
        <v>22</v>
      </c>
      <c r="K63" s="18" t="s">
        <v>23</v>
      </c>
      <c r="L63" s="18">
        <v>240</v>
      </c>
      <c r="M63" s="18" t="s">
        <v>355</v>
      </c>
      <c r="N63" s="19">
        <v>46304.684363425898</v>
      </c>
      <c r="O63" s="18">
        <v>296</v>
      </c>
      <c r="P63" s="18" t="s">
        <v>25</v>
      </c>
      <c r="Q63" s="18">
        <v>40</v>
      </c>
      <c r="R63" s="3" t="str">
        <f>IF(OR(G63="12R",G63="12L"),_xlfn.XLOOKUP(C63,Tabla42[ADEP],Tabla42[SID 12R],""),IF(OR(G63="30L",G63="30R"),_xlfn.XLOOKUP(C63,Tabla42[ADEP],Tabla42[SID 30L],""),""))</f>
        <v>OMSUK</v>
      </c>
      <c r="S63" s="3">
        <f t="shared" si="0"/>
        <v>16</v>
      </c>
      <c r="T63" s="3" t="str">
        <f>_xlfn.XLOOKUP(C63,Tabla42[ADEP],Tabla42[Sector],"")</f>
        <v>Sector 3</v>
      </c>
    </row>
    <row r="64" spans="1:20" x14ac:dyDescent="0.2">
      <c r="A64" s="18" t="s">
        <v>148</v>
      </c>
      <c r="B64" s="18" t="s">
        <v>18</v>
      </c>
      <c r="C64" s="18" t="s">
        <v>42</v>
      </c>
      <c r="D64" s="18" t="s">
        <v>60</v>
      </c>
      <c r="E64" s="18" t="s">
        <v>79</v>
      </c>
      <c r="F64" s="19">
        <v>46304.670624999999</v>
      </c>
      <c r="G64" s="18" t="s">
        <v>21</v>
      </c>
      <c r="H64" s="18" t="s">
        <v>3286</v>
      </c>
      <c r="I64" s="18">
        <v>320</v>
      </c>
      <c r="J64" s="18" t="s">
        <v>22</v>
      </c>
      <c r="K64" s="18" t="s">
        <v>23</v>
      </c>
      <c r="L64" s="18">
        <v>851</v>
      </c>
      <c r="M64" s="18" t="s">
        <v>45</v>
      </c>
      <c r="N64" s="19">
        <v>46304.714467592603</v>
      </c>
      <c r="O64" s="18">
        <v>320</v>
      </c>
      <c r="P64" s="18" t="s">
        <v>25</v>
      </c>
      <c r="Q64" s="18">
        <v>190</v>
      </c>
      <c r="R64" s="3" t="str">
        <f>IF(OR(G64="12R",G64="12L"),_xlfn.XLOOKUP(C64,Tabla42[ADEP],Tabla42[SID 12R],""),IF(OR(G64="30L",G64="30R"),_xlfn.XLOOKUP(C64,Tabla42[ADEP],Tabla42[SID 30L],""),""))</f>
        <v>UDGUV</v>
      </c>
      <c r="S64" s="3">
        <f t="shared" si="0"/>
        <v>16</v>
      </c>
      <c r="T64" s="3" t="str">
        <f>_xlfn.XLOOKUP(C64,Tabla42[ADEP],Tabla42[Sector],"")</f>
        <v>Sector 2</v>
      </c>
    </row>
    <row r="65" spans="1:20" x14ac:dyDescent="0.2">
      <c r="A65" s="18" t="s">
        <v>145</v>
      </c>
      <c r="B65" s="18" t="s">
        <v>18</v>
      </c>
      <c r="C65" s="18" t="s">
        <v>19</v>
      </c>
      <c r="D65" s="18" t="s">
        <v>33</v>
      </c>
      <c r="E65" s="18" t="s">
        <v>551</v>
      </c>
      <c r="F65" s="19">
        <v>46304.672314814801</v>
      </c>
      <c r="G65" s="18" t="s">
        <v>21</v>
      </c>
      <c r="H65" s="18" t="s">
        <v>3287</v>
      </c>
      <c r="I65" s="18">
        <v>360</v>
      </c>
      <c r="J65" s="18" t="s">
        <v>22</v>
      </c>
      <c r="K65" s="18" t="s">
        <v>23</v>
      </c>
      <c r="L65" s="18">
        <v>861</v>
      </c>
      <c r="M65" s="18" t="s">
        <v>167</v>
      </c>
      <c r="N65" s="19">
        <v>46304.720752314803</v>
      </c>
      <c r="O65" s="18">
        <v>360</v>
      </c>
      <c r="P65" s="18" t="s">
        <v>25</v>
      </c>
      <c r="Q65" s="18">
        <v>190</v>
      </c>
      <c r="R65" s="3" t="str">
        <f>IF(OR(G65="12R",G65="12L"),_xlfn.XLOOKUP(C65,Tabla42[ADEP],Tabla42[SID 12R],""),IF(OR(G65="30L",G65="30R"),_xlfn.XLOOKUP(C65,Tabla42[ADEP],Tabla42[SID 30L],""),""))</f>
        <v>UDGUV</v>
      </c>
      <c r="S65" s="3">
        <f t="shared" si="0"/>
        <v>16</v>
      </c>
      <c r="T65" s="3" t="str">
        <f>_xlfn.XLOOKUP(C65,Tabla42[ADEP],Tabla42[Sector],"")</f>
        <v>Sector 2</v>
      </c>
    </row>
    <row r="66" spans="1:20" x14ac:dyDescent="0.2">
      <c r="A66" s="18" t="s">
        <v>208</v>
      </c>
      <c r="B66" s="18" t="s">
        <v>18</v>
      </c>
      <c r="C66" s="18" t="s">
        <v>209</v>
      </c>
      <c r="D66" s="18" t="s">
        <v>28</v>
      </c>
      <c r="E66" s="18" t="s">
        <v>1260</v>
      </c>
      <c r="F66" s="19">
        <v>46304.673668981501</v>
      </c>
      <c r="G66" s="18" t="s">
        <v>21</v>
      </c>
      <c r="H66" s="18" t="s">
        <v>3288</v>
      </c>
      <c r="I66" s="18">
        <v>300</v>
      </c>
      <c r="J66" s="18" t="s">
        <v>22</v>
      </c>
      <c r="K66" s="18" t="s">
        <v>23</v>
      </c>
      <c r="L66" s="18">
        <v>712</v>
      </c>
      <c r="M66" s="18" t="s">
        <v>3289</v>
      </c>
      <c r="N66" s="19">
        <v>46304.7105324074</v>
      </c>
      <c r="O66" s="18">
        <v>300</v>
      </c>
      <c r="P66" s="18" t="s">
        <v>25</v>
      </c>
      <c r="Q66" s="18">
        <v>190</v>
      </c>
      <c r="R66" s="3" t="str">
        <f>IF(OR(G66="12R",G66="12L"),_xlfn.XLOOKUP(C66,Tabla42[ADEP],Tabla42[SID 12R],""),IF(OR(G66="30L",G66="30R"),_xlfn.XLOOKUP(C66,Tabla42[ADEP],Tabla42[SID 30L],""),""))</f>
        <v>ENEBA</v>
      </c>
      <c r="S66" s="3">
        <f t="shared" si="0"/>
        <v>16</v>
      </c>
      <c r="T66" s="3" t="str">
        <f>_xlfn.XLOOKUP(C66,Tabla42[ADEP],Tabla42[Sector],"")</f>
        <v>Sector 3</v>
      </c>
    </row>
    <row r="67" spans="1:20" x14ac:dyDescent="0.2">
      <c r="A67" s="18" t="s">
        <v>429</v>
      </c>
      <c r="B67" s="18" t="s">
        <v>18</v>
      </c>
      <c r="C67" s="18" t="s">
        <v>193</v>
      </c>
      <c r="D67" s="18" t="s">
        <v>60</v>
      </c>
      <c r="E67" s="18" t="s">
        <v>3290</v>
      </c>
      <c r="F67" s="19">
        <v>46304.674409722204</v>
      </c>
      <c r="G67" s="18" t="s">
        <v>21</v>
      </c>
      <c r="H67" s="18" t="s">
        <v>3291</v>
      </c>
      <c r="I67" s="18">
        <v>350</v>
      </c>
      <c r="J67" s="18" t="s">
        <v>22</v>
      </c>
      <c r="K67" s="18" t="s">
        <v>23</v>
      </c>
      <c r="L67" s="18">
        <v>137</v>
      </c>
      <c r="M67" s="18" t="s">
        <v>39</v>
      </c>
      <c r="N67" s="19">
        <v>46304.683923611097</v>
      </c>
      <c r="O67" s="18">
        <v>215</v>
      </c>
      <c r="P67" s="18" t="s">
        <v>25</v>
      </c>
      <c r="Q67" s="18">
        <v>190</v>
      </c>
      <c r="R67" s="3" t="str">
        <f>IF(OR(G67="12R",G67="12L"),_xlfn.XLOOKUP(C67,Tabla42[ADEP],Tabla42[SID 12R],""),IF(OR(G67="30L",G67="30R"),_xlfn.XLOOKUP(C67,Tabla42[ADEP],Tabla42[SID 30L],""),""))</f>
        <v>ENEBA</v>
      </c>
      <c r="S67" s="3">
        <f t="shared" ref="S67:S130" si="1">HOUR(F67)</f>
        <v>16</v>
      </c>
      <c r="T67" s="3" t="str">
        <f>_xlfn.XLOOKUP(C67,Tabla42[ADEP],Tabla42[Sector],"")</f>
        <v>Sector 3</v>
      </c>
    </row>
    <row r="68" spans="1:20" x14ac:dyDescent="0.2">
      <c r="A68" s="18" t="s">
        <v>2990</v>
      </c>
      <c r="B68" s="18" t="s">
        <v>18</v>
      </c>
      <c r="C68" s="18" t="s">
        <v>444</v>
      </c>
      <c r="D68" s="18" t="s">
        <v>20</v>
      </c>
      <c r="E68" s="18" t="s">
        <v>2188</v>
      </c>
      <c r="F68" s="19">
        <v>46304.676273148201</v>
      </c>
      <c r="G68" s="18" t="s">
        <v>21</v>
      </c>
      <c r="H68" s="18" t="s">
        <v>3292</v>
      </c>
      <c r="I68" s="18">
        <v>380</v>
      </c>
      <c r="J68" s="18" t="s">
        <v>22</v>
      </c>
      <c r="K68" s="18" t="s">
        <v>23</v>
      </c>
      <c r="L68" s="18">
        <v>550</v>
      </c>
      <c r="M68" s="18" t="s">
        <v>123</v>
      </c>
      <c r="N68" s="19">
        <v>46304.705740740697</v>
      </c>
      <c r="O68" s="18">
        <v>380</v>
      </c>
      <c r="P68" s="18" t="s">
        <v>25</v>
      </c>
      <c r="Q68" s="18">
        <v>40</v>
      </c>
      <c r="R68" s="3" t="str">
        <f>IF(OR(G68="12R",G68="12L"),_xlfn.XLOOKUP(C68,Tabla42[ADEP],Tabla42[SID 12R],""),IF(OR(G68="30L",G68="30R"),_xlfn.XLOOKUP(C68,Tabla42[ADEP],Tabla42[SID 30L],""),""))</f>
        <v>ENEBA</v>
      </c>
      <c r="S68" s="3">
        <f t="shared" si="1"/>
        <v>16</v>
      </c>
      <c r="T68" s="3" t="str">
        <f>_xlfn.XLOOKUP(C68,Tabla42[ADEP],Tabla42[Sector],"")</f>
        <v>Sector 3</v>
      </c>
    </row>
    <row r="69" spans="1:20" x14ac:dyDescent="0.2">
      <c r="A69" s="18" t="s">
        <v>142</v>
      </c>
      <c r="B69" s="18" t="s">
        <v>18</v>
      </c>
      <c r="C69" s="18" t="s">
        <v>42</v>
      </c>
      <c r="D69" s="18" t="s">
        <v>60</v>
      </c>
      <c r="E69" s="18" t="s">
        <v>114</v>
      </c>
      <c r="F69" s="19">
        <v>46304.676979166703</v>
      </c>
      <c r="G69" s="18" t="s">
        <v>21</v>
      </c>
      <c r="H69" s="18" t="s">
        <v>3293</v>
      </c>
      <c r="I69" s="18">
        <v>340</v>
      </c>
      <c r="J69" s="18" t="s">
        <v>22</v>
      </c>
      <c r="K69" s="18" t="s">
        <v>23</v>
      </c>
      <c r="L69" s="18">
        <v>849</v>
      </c>
      <c r="M69" s="18" t="s">
        <v>45</v>
      </c>
      <c r="N69" s="19">
        <v>46304.723784722199</v>
      </c>
      <c r="O69" s="18">
        <v>340</v>
      </c>
      <c r="P69" s="18" t="s">
        <v>25</v>
      </c>
      <c r="Q69" s="18">
        <v>190</v>
      </c>
      <c r="R69" s="3" t="str">
        <f>IF(OR(G69="12R",G69="12L"),_xlfn.XLOOKUP(C69,Tabla42[ADEP],Tabla42[SID 12R],""),IF(OR(G69="30L",G69="30R"),_xlfn.XLOOKUP(C69,Tabla42[ADEP],Tabla42[SID 30L],""),""))</f>
        <v>UDGUV</v>
      </c>
      <c r="S69" s="3">
        <f t="shared" si="1"/>
        <v>16</v>
      </c>
      <c r="T69" s="3" t="str">
        <f>_xlfn.XLOOKUP(C69,Tabla42[ADEP],Tabla42[Sector],"")</f>
        <v>Sector 2</v>
      </c>
    </row>
    <row r="70" spans="1:20" x14ac:dyDescent="0.2">
      <c r="A70" s="18" t="s">
        <v>163</v>
      </c>
      <c r="B70" s="18" t="s">
        <v>18</v>
      </c>
      <c r="C70" s="18" t="s">
        <v>164</v>
      </c>
      <c r="D70" s="18" t="s">
        <v>43</v>
      </c>
      <c r="E70" s="18" t="s">
        <v>3294</v>
      </c>
      <c r="F70" s="19">
        <v>46304.6784722222</v>
      </c>
      <c r="G70" s="18" t="s">
        <v>21</v>
      </c>
      <c r="H70" s="18" t="s">
        <v>3295</v>
      </c>
      <c r="I70" s="18">
        <v>350</v>
      </c>
      <c r="J70" s="18" t="s">
        <v>22</v>
      </c>
      <c r="K70" s="18" t="s">
        <v>23</v>
      </c>
      <c r="L70" s="18">
        <v>226</v>
      </c>
      <c r="M70" s="18" t="s">
        <v>355</v>
      </c>
      <c r="N70" s="19">
        <v>46304.692268518498</v>
      </c>
      <c r="O70" s="18">
        <v>310</v>
      </c>
      <c r="P70" s="18" t="s">
        <v>25</v>
      </c>
      <c r="Q70" s="18">
        <v>40</v>
      </c>
      <c r="R70" s="3" t="str">
        <f>IF(OR(G70="12R",G70="12L"),_xlfn.XLOOKUP(C70,Tabla42[ADEP],Tabla42[SID 12R],""),IF(OR(G70="30L",G70="30R"),_xlfn.XLOOKUP(C70,Tabla42[ADEP],Tabla42[SID 30L],""),""))</f>
        <v>OMSUK</v>
      </c>
      <c r="S70" s="3">
        <f t="shared" si="1"/>
        <v>16</v>
      </c>
      <c r="T70" s="3" t="str">
        <f>_xlfn.XLOOKUP(C70,Tabla42[ADEP],Tabla42[Sector],"")</f>
        <v>Sector 3</v>
      </c>
    </row>
    <row r="71" spans="1:20" x14ac:dyDescent="0.2">
      <c r="A71" s="18" t="s">
        <v>365</v>
      </c>
      <c r="B71" s="18" t="s">
        <v>18</v>
      </c>
      <c r="C71" s="18" t="s">
        <v>96</v>
      </c>
      <c r="D71" s="18" t="s">
        <v>33</v>
      </c>
      <c r="E71" s="18" t="s">
        <v>3296</v>
      </c>
      <c r="F71" s="19">
        <v>46304.679965277799</v>
      </c>
      <c r="G71" s="18" t="s">
        <v>21</v>
      </c>
      <c r="H71" s="18" t="s">
        <v>3297</v>
      </c>
      <c r="I71" s="18">
        <v>360</v>
      </c>
      <c r="J71" s="18" t="s">
        <v>22</v>
      </c>
      <c r="K71" s="18" t="s">
        <v>141</v>
      </c>
      <c r="L71" s="18">
        <v>859</v>
      </c>
      <c r="M71" s="18" t="s">
        <v>45</v>
      </c>
      <c r="N71" s="19">
        <v>46304.727141203701</v>
      </c>
      <c r="O71" s="18">
        <v>360</v>
      </c>
      <c r="P71" s="18" t="s">
        <v>25</v>
      </c>
      <c r="Q71" s="18">
        <v>190</v>
      </c>
      <c r="R71" s="3" t="str">
        <f>IF(OR(G71="12R",G71="12L"),_xlfn.XLOOKUP(C71,Tabla42[ADEP],Tabla42[SID 12R],""),IF(OR(G71="30L",G71="30R"),_xlfn.XLOOKUP(C71,Tabla42[ADEP],Tabla42[SID 30L],""),""))</f>
        <v>UDGUV</v>
      </c>
      <c r="S71" s="3">
        <f t="shared" si="1"/>
        <v>16</v>
      </c>
      <c r="T71" s="3" t="str">
        <f>_xlfn.XLOOKUP(C71,Tabla42[ADEP],Tabla42[Sector],"")</f>
        <v>Sector 2</v>
      </c>
    </row>
    <row r="72" spans="1:20" x14ac:dyDescent="0.2">
      <c r="A72" s="18" t="s">
        <v>161</v>
      </c>
      <c r="B72" s="18" t="s">
        <v>18</v>
      </c>
      <c r="C72" s="18" t="s">
        <v>27</v>
      </c>
      <c r="D72" s="18" t="s">
        <v>60</v>
      </c>
      <c r="E72" s="18" t="s">
        <v>2031</v>
      </c>
      <c r="F72" s="19">
        <v>46304.6819791667</v>
      </c>
      <c r="G72" s="18" t="s">
        <v>21</v>
      </c>
      <c r="H72" s="18" t="s">
        <v>3298</v>
      </c>
      <c r="I72" s="18">
        <v>330</v>
      </c>
      <c r="J72" s="18" t="s">
        <v>22</v>
      </c>
      <c r="K72" s="18" t="s">
        <v>23</v>
      </c>
      <c r="L72" s="18">
        <v>136</v>
      </c>
      <c r="M72" s="18" t="s">
        <v>3299</v>
      </c>
      <c r="N72" s="19">
        <v>46304.691504629598</v>
      </c>
      <c r="O72" s="18">
        <v>222</v>
      </c>
      <c r="P72" s="18" t="s">
        <v>25</v>
      </c>
      <c r="Q72" s="18">
        <v>190</v>
      </c>
      <c r="R72" s="3" t="str">
        <f>IF(OR(G72="12R",G72="12L"),_xlfn.XLOOKUP(C72,Tabla42[ADEP],Tabla42[SID 12R],""),IF(OR(G72="30L",G72="30R"),_xlfn.XLOOKUP(C72,Tabla42[ADEP],Tabla42[SID 30L],""),""))</f>
        <v>OMSUK</v>
      </c>
      <c r="S72" s="3">
        <f t="shared" si="1"/>
        <v>16</v>
      </c>
      <c r="T72" s="3" t="str">
        <f>_xlfn.XLOOKUP(C72,Tabla42[ADEP],Tabla42[Sector],"")</f>
        <v>Sector 3</v>
      </c>
    </row>
    <row r="73" spans="1:20" x14ac:dyDescent="0.2">
      <c r="A73" s="18" t="s">
        <v>430</v>
      </c>
      <c r="B73" s="18" t="s">
        <v>18</v>
      </c>
      <c r="C73" s="18" t="s">
        <v>265</v>
      </c>
      <c r="D73" s="18" t="s">
        <v>33</v>
      </c>
      <c r="E73" s="18" t="s">
        <v>91</v>
      </c>
      <c r="F73" s="19">
        <v>46304.684467592597</v>
      </c>
      <c r="G73" s="18" t="s">
        <v>21</v>
      </c>
      <c r="H73" s="18" t="s">
        <v>3300</v>
      </c>
      <c r="I73" s="18">
        <v>380</v>
      </c>
      <c r="J73" s="18" t="s">
        <v>22</v>
      </c>
      <c r="K73" s="18" t="s">
        <v>23</v>
      </c>
      <c r="L73" s="18">
        <v>870</v>
      </c>
      <c r="M73" s="18" t="s">
        <v>167</v>
      </c>
      <c r="N73" s="19">
        <v>46304.7338773148</v>
      </c>
      <c r="O73" s="18">
        <v>380</v>
      </c>
      <c r="P73" s="18" t="s">
        <v>25</v>
      </c>
      <c r="Q73" s="18">
        <v>190</v>
      </c>
      <c r="R73" s="3" t="str">
        <f>IF(OR(G73="12R",G73="12L"),_xlfn.XLOOKUP(C73,Tabla42[ADEP],Tabla42[SID 12R],""),IF(OR(G73="30L",G73="30R"),_xlfn.XLOOKUP(C73,Tabla42[ADEP],Tabla42[SID 30L],""),""))</f>
        <v>UDGUV</v>
      </c>
      <c r="S73" s="3">
        <f t="shared" si="1"/>
        <v>16</v>
      </c>
      <c r="T73" s="3" t="str">
        <f>_xlfn.XLOOKUP(C73,Tabla42[ADEP],Tabla42[Sector],"")</f>
        <v>Sector 2</v>
      </c>
    </row>
    <row r="74" spans="1:20" x14ac:dyDescent="0.2">
      <c r="A74" s="18" t="s">
        <v>156</v>
      </c>
      <c r="B74" s="18" t="s">
        <v>18</v>
      </c>
      <c r="C74" s="18" t="s">
        <v>109</v>
      </c>
      <c r="D74" s="18" t="s">
        <v>122</v>
      </c>
      <c r="E74" s="18" t="s">
        <v>3301</v>
      </c>
      <c r="F74" s="19">
        <v>46304.686793981498</v>
      </c>
      <c r="G74" s="18" t="s">
        <v>21</v>
      </c>
      <c r="H74" s="18" t="s">
        <v>3302</v>
      </c>
      <c r="I74" s="18">
        <v>330</v>
      </c>
      <c r="J74" s="18" t="s">
        <v>22</v>
      </c>
      <c r="K74" s="18" t="s">
        <v>23</v>
      </c>
      <c r="L74" s="18">
        <v>169</v>
      </c>
      <c r="M74" s="18" t="s">
        <v>3303</v>
      </c>
      <c r="N74" s="19">
        <v>46304.697777777801</v>
      </c>
      <c r="O74" s="18">
        <v>301</v>
      </c>
      <c r="P74" s="18" t="s">
        <v>25</v>
      </c>
      <c r="Q74" s="18">
        <v>190</v>
      </c>
      <c r="R74" s="3" t="str">
        <f>IF(OR(G74="12R",G74="12L"),_xlfn.XLOOKUP(C74,Tabla42[ADEP],Tabla42[SID 12R],""),IF(OR(G74="30L",G74="30R"),_xlfn.XLOOKUP(C74,Tabla42[ADEP],Tabla42[SID 30L],""),""))</f>
        <v>TAKUX</v>
      </c>
      <c r="S74" s="3">
        <f t="shared" si="1"/>
        <v>16</v>
      </c>
      <c r="T74" s="3" t="str">
        <f>_xlfn.XLOOKUP(C74,Tabla42[ADEP],Tabla42[Sector],"")</f>
        <v>Sector 7</v>
      </c>
    </row>
    <row r="75" spans="1:20" x14ac:dyDescent="0.2">
      <c r="A75" s="18" t="s">
        <v>152</v>
      </c>
      <c r="B75" s="18" t="s">
        <v>18</v>
      </c>
      <c r="C75" s="18" t="s">
        <v>153</v>
      </c>
      <c r="D75" s="18" t="s">
        <v>33</v>
      </c>
      <c r="E75" s="18" t="s">
        <v>147</v>
      </c>
      <c r="F75" s="19">
        <v>46304.687870370399</v>
      </c>
      <c r="G75" s="18" t="s">
        <v>21</v>
      </c>
      <c r="H75" s="18" t="s">
        <v>3304</v>
      </c>
      <c r="I75" s="18">
        <v>360</v>
      </c>
      <c r="J75" s="18" t="s">
        <v>22</v>
      </c>
      <c r="K75" s="18" t="s">
        <v>23</v>
      </c>
      <c r="L75" s="18">
        <v>869</v>
      </c>
      <c r="M75" s="18" t="s">
        <v>3305</v>
      </c>
      <c r="N75" s="19">
        <v>46304.736886574101</v>
      </c>
      <c r="O75" s="18">
        <v>360</v>
      </c>
      <c r="P75" s="18" t="s">
        <v>25</v>
      </c>
      <c r="Q75" s="18">
        <v>190</v>
      </c>
      <c r="R75" s="3" t="str">
        <f>IF(OR(G75="12R",G75="12L"),_xlfn.XLOOKUP(C75,Tabla42[ADEP],Tabla42[SID 12R],""),IF(OR(G75="30L",G75="30R"),_xlfn.XLOOKUP(C75,Tabla42[ADEP],Tabla42[SID 30L],""),""))</f>
        <v>UDGUV</v>
      </c>
      <c r="S75" s="3">
        <f t="shared" si="1"/>
        <v>16</v>
      </c>
      <c r="T75" s="3" t="str">
        <f>_xlfn.XLOOKUP(C75,Tabla42[ADEP],Tabla42[Sector],"")</f>
        <v>Sector 2</v>
      </c>
    </row>
    <row r="76" spans="1:20" x14ac:dyDescent="0.2">
      <c r="A76" s="18" t="s">
        <v>159</v>
      </c>
      <c r="B76" s="18" t="s">
        <v>18</v>
      </c>
      <c r="C76" s="18" t="s">
        <v>160</v>
      </c>
      <c r="D76" s="18" t="s">
        <v>53</v>
      </c>
      <c r="E76" s="18" t="s">
        <v>392</v>
      </c>
      <c r="F76" s="19">
        <v>46304.689270833303</v>
      </c>
      <c r="G76" s="18" t="s">
        <v>21</v>
      </c>
      <c r="H76" s="18" t="s">
        <v>3306</v>
      </c>
      <c r="I76" s="18">
        <v>300</v>
      </c>
      <c r="J76" s="18" t="s">
        <v>22</v>
      </c>
      <c r="K76" s="18" t="s">
        <v>23</v>
      </c>
      <c r="L76" s="18">
        <v>330</v>
      </c>
      <c r="M76" s="18" t="s">
        <v>2433</v>
      </c>
      <c r="N76" s="19">
        <v>46304.708460648202</v>
      </c>
      <c r="O76" s="18">
        <v>380</v>
      </c>
      <c r="P76" s="18" t="s">
        <v>25</v>
      </c>
      <c r="Q76" s="18">
        <v>190</v>
      </c>
      <c r="R76" s="3" t="str">
        <f>IF(OR(G76="12R",G76="12L"),_xlfn.XLOOKUP(C76,Tabla42[ADEP],Tabla42[SID 12R],""),IF(OR(G76="30L",G76="30R"),_xlfn.XLOOKUP(C76,Tabla42[ADEP],Tabla42[SID 30L],""),""))</f>
        <v>CZM</v>
      </c>
      <c r="S76" s="3">
        <f t="shared" si="1"/>
        <v>16</v>
      </c>
      <c r="T76" s="3" t="str">
        <f>_xlfn.XLOOKUP(C76,Tabla42[ADEP],Tabla42[Sector],"")</f>
        <v>Sector 7</v>
      </c>
    </row>
    <row r="77" spans="1:20" x14ac:dyDescent="0.2">
      <c r="A77" s="18" t="s">
        <v>432</v>
      </c>
      <c r="B77" s="18" t="s">
        <v>18</v>
      </c>
      <c r="C77" s="18" t="s">
        <v>233</v>
      </c>
      <c r="D77" s="18" t="s">
        <v>122</v>
      </c>
      <c r="E77" s="18" t="s">
        <v>3307</v>
      </c>
      <c r="F77" s="19">
        <v>46304.691828703697</v>
      </c>
      <c r="G77" s="18" t="s">
        <v>21</v>
      </c>
      <c r="H77" s="18" t="s">
        <v>3308</v>
      </c>
      <c r="I77" s="18">
        <v>380</v>
      </c>
      <c r="J77" s="18" t="s">
        <v>22</v>
      </c>
      <c r="K77" s="18" t="s">
        <v>23</v>
      </c>
      <c r="L77" s="18">
        <v>521</v>
      </c>
      <c r="M77" s="18" t="s">
        <v>123</v>
      </c>
      <c r="N77" s="19">
        <v>46304.721331018503</v>
      </c>
      <c r="O77" s="18">
        <v>380</v>
      </c>
      <c r="P77" s="18" t="s">
        <v>25</v>
      </c>
      <c r="Q77" s="18">
        <v>40</v>
      </c>
      <c r="R77" s="3" t="str">
        <f>IF(OR(G77="12R",G77="12L"),_xlfn.XLOOKUP(C77,Tabla42[ADEP],Tabla42[SID 12R],""),IF(OR(G77="30L",G77="30R"),_xlfn.XLOOKUP(C77,Tabla42[ADEP],Tabla42[SID 30L],""),""))</f>
        <v>UDGUV</v>
      </c>
      <c r="S77" s="3">
        <f t="shared" si="1"/>
        <v>16</v>
      </c>
      <c r="T77" s="3" t="str">
        <f>_xlfn.XLOOKUP(C77,Tabla42[ADEP],Tabla42[Sector],"")</f>
        <v>Sector 2</v>
      </c>
    </row>
    <row r="78" spans="1:20" x14ac:dyDescent="0.2">
      <c r="A78" s="18" t="s">
        <v>181</v>
      </c>
      <c r="B78" s="18" t="s">
        <v>18</v>
      </c>
      <c r="C78" s="18" t="s">
        <v>42</v>
      </c>
      <c r="D78" s="18" t="s">
        <v>43</v>
      </c>
      <c r="E78" s="18" t="s">
        <v>470</v>
      </c>
      <c r="F78" s="19">
        <v>46304.697106481501</v>
      </c>
      <c r="G78" s="18" t="s">
        <v>21</v>
      </c>
      <c r="H78" s="18" t="s">
        <v>1018</v>
      </c>
      <c r="I78" s="18">
        <v>360</v>
      </c>
      <c r="J78" s="18" t="s">
        <v>22</v>
      </c>
      <c r="K78" s="18" t="s">
        <v>23</v>
      </c>
      <c r="L78" s="18">
        <v>859</v>
      </c>
      <c r="M78" s="18" t="s">
        <v>45</v>
      </c>
      <c r="N78" s="19">
        <v>46304.7443055556</v>
      </c>
      <c r="O78" s="18">
        <v>360</v>
      </c>
      <c r="P78" s="18" t="s">
        <v>25</v>
      </c>
      <c r="Q78" s="18">
        <v>190</v>
      </c>
      <c r="R78" s="3" t="str">
        <f>IF(OR(G78="12R",G78="12L"),_xlfn.XLOOKUP(C78,Tabla42[ADEP],Tabla42[SID 12R],""),IF(OR(G78="30L",G78="30R"),_xlfn.XLOOKUP(C78,Tabla42[ADEP],Tabla42[SID 30L],""),""))</f>
        <v>UDGUV</v>
      </c>
      <c r="S78" s="3">
        <f t="shared" si="1"/>
        <v>16</v>
      </c>
      <c r="T78" s="3" t="str">
        <f>_xlfn.XLOOKUP(C78,Tabla42[ADEP],Tabla42[Sector],"")</f>
        <v>Sector 2</v>
      </c>
    </row>
    <row r="79" spans="1:20" x14ac:dyDescent="0.2">
      <c r="A79" s="18" t="s">
        <v>525</v>
      </c>
      <c r="B79" s="18" t="s">
        <v>18</v>
      </c>
      <c r="C79" s="18" t="s">
        <v>322</v>
      </c>
      <c r="D79" s="18" t="s">
        <v>20</v>
      </c>
      <c r="E79" s="18" t="s">
        <v>737</v>
      </c>
      <c r="F79" s="19">
        <v>46304.698831018497</v>
      </c>
      <c r="G79" s="18" t="s">
        <v>21</v>
      </c>
      <c r="H79" s="18" t="s">
        <v>3309</v>
      </c>
      <c r="I79" s="18">
        <v>360</v>
      </c>
      <c r="J79" s="18" t="s">
        <v>22</v>
      </c>
      <c r="K79" s="18" t="s">
        <v>23</v>
      </c>
      <c r="L79" s="18">
        <v>864</v>
      </c>
      <c r="M79" s="18" t="s">
        <v>3310</v>
      </c>
      <c r="N79" s="19">
        <v>46304.747777777797</v>
      </c>
      <c r="O79" s="18">
        <v>360</v>
      </c>
      <c r="P79" s="18" t="s">
        <v>25</v>
      </c>
      <c r="Q79" s="18">
        <v>190</v>
      </c>
      <c r="R79" s="3" t="str">
        <f>IF(OR(G79="12R",G79="12L"),_xlfn.XLOOKUP(C79,Tabla42[ADEP],Tabla42[SID 12R],""),IF(OR(G79="30L",G79="30R"),_xlfn.XLOOKUP(C79,Tabla42[ADEP],Tabla42[SID 30L],""),""))</f>
        <v>UDGUV</v>
      </c>
      <c r="S79" s="3">
        <f t="shared" si="1"/>
        <v>16</v>
      </c>
      <c r="T79" s="3" t="str">
        <f>_xlfn.XLOOKUP(C79,Tabla42[ADEP],Tabla42[Sector],"")</f>
        <v>Sector 2</v>
      </c>
    </row>
    <row r="80" spans="1:20" x14ac:dyDescent="0.2">
      <c r="A80" s="18" t="s">
        <v>523</v>
      </c>
      <c r="B80" s="18" t="s">
        <v>18</v>
      </c>
      <c r="C80" s="18" t="s">
        <v>109</v>
      </c>
      <c r="D80" s="18" t="s">
        <v>28</v>
      </c>
      <c r="E80" s="18" t="s">
        <v>1013</v>
      </c>
      <c r="F80" s="19">
        <v>46304.700370370403</v>
      </c>
      <c r="G80" s="18" t="s">
        <v>21</v>
      </c>
      <c r="H80" s="18" t="s">
        <v>3311</v>
      </c>
      <c r="I80" s="18">
        <v>330</v>
      </c>
      <c r="J80" s="18" t="s">
        <v>22</v>
      </c>
      <c r="K80" s="18" t="s">
        <v>23</v>
      </c>
      <c r="L80" s="18">
        <v>150</v>
      </c>
      <c r="M80" s="18" t="s">
        <v>111</v>
      </c>
      <c r="N80" s="19">
        <v>46304.711006944402</v>
      </c>
      <c r="O80" s="18">
        <v>256</v>
      </c>
      <c r="P80" s="18" t="s">
        <v>25</v>
      </c>
      <c r="Q80" s="18">
        <v>190</v>
      </c>
      <c r="R80" s="3" t="str">
        <f>IF(OR(G80="12R",G80="12L"),_xlfn.XLOOKUP(C80,Tabla42[ADEP],Tabla42[SID 12R],""),IF(OR(G80="30L",G80="30R"),_xlfn.XLOOKUP(C80,Tabla42[ADEP],Tabla42[SID 30L],""),""))</f>
        <v>TAKUX</v>
      </c>
      <c r="S80" s="3">
        <f t="shared" si="1"/>
        <v>16</v>
      </c>
      <c r="T80" s="3" t="str">
        <f>_xlfn.XLOOKUP(C80,Tabla42[ADEP],Tabla42[Sector],"")</f>
        <v>Sector 7</v>
      </c>
    </row>
    <row r="81" spans="1:20" x14ac:dyDescent="0.2">
      <c r="A81" s="18" t="s">
        <v>524</v>
      </c>
      <c r="B81" s="18" t="s">
        <v>18</v>
      </c>
      <c r="C81" s="18" t="s">
        <v>19</v>
      </c>
      <c r="D81" s="18" t="s">
        <v>20</v>
      </c>
      <c r="E81" s="18" t="s">
        <v>76</v>
      </c>
      <c r="F81" s="19">
        <v>46304.7015046296</v>
      </c>
      <c r="G81" s="18" t="s">
        <v>21</v>
      </c>
      <c r="H81" s="18" t="s">
        <v>3312</v>
      </c>
      <c r="I81" s="18">
        <v>340</v>
      </c>
      <c r="J81" s="18" t="s">
        <v>22</v>
      </c>
      <c r="K81" s="18" t="s">
        <v>141</v>
      </c>
      <c r="L81" s="18">
        <v>869</v>
      </c>
      <c r="M81" s="18" t="s">
        <v>167</v>
      </c>
      <c r="N81" s="19">
        <v>46304.750300925902</v>
      </c>
      <c r="O81" s="18">
        <v>340</v>
      </c>
      <c r="P81" s="18" t="s">
        <v>25</v>
      </c>
      <c r="Q81" s="18">
        <v>190</v>
      </c>
      <c r="R81" s="3" t="str">
        <f>IF(OR(G81="12R",G81="12L"),_xlfn.XLOOKUP(C81,Tabla42[ADEP],Tabla42[SID 12R],""),IF(OR(G81="30L",G81="30R"),_xlfn.XLOOKUP(C81,Tabla42[ADEP],Tabla42[SID 30L],""),""))</f>
        <v>UDGUV</v>
      </c>
      <c r="S81" s="3">
        <f t="shared" si="1"/>
        <v>16</v>
      </c>
      <c r="T81" s="3" t="str">
        <f>_xlfn.XLOOKUP(C81,Tabla42[ADEP],Tabla42[Sector],"")</f>
        <v>Sector 2</v>
      </c>
    </row>
    <row r="82" spans="1:20" x14ac:dyDescent="0.2">
      <c r="A82" s="18" t="s">
        <v>178</v>
      </c>
      <c r="B82" s="18" t="s">
        <v>18</v>
      </c>
      <c r="C82" s="18" t="s">
        <v>179</v>
      </c>
      <c r="D82" s="18" t="s">
        <v>33</v>
      </c>
      <c r="E82" s="18" t="s">
        <v>368</v>
      </c>
      <c r="F82" s="19">
        <v>46304.704930555599</v>
      </c>
      <c r="G82" s="18" t="s">
        <v>21</v>
      </c>
      <c r="H82" s="18" t="s">
        <v>3313</v>
      </c>
      <c r="I82" s="18">
        <v>380</v>
      </c>
      <c r="J82" s="18" t="s">
        <v>22</v>
      </c>
      <c r="K82" s="18" t="s">
        <v>23</v>
      </c>
      <c r="L82" s="18">
        <v>837</v>
      </c>
      <c r="M82" s="18" t="s">
        <v>179</v>
      </c>
      <c r="N82" s="19">
        <v>46304.759282407402</v>
      </c>
      <c r="O82" s="18">
        <v>15</v>
      </c>
      <c r="P82" s="18" t="s">
        <v>25</v>
      </c>
      <c r="Q82" s="18">
        <v>190</v>
      </c>
      <c r="R82" s="3" t="str">
        <f>IF(OR(G82="12R",G82="12L"),_xlfn.XLOOKUP(C82,Tabla42[ADEP],Tabla42[SID 12R],""),IF(OR(G82="30L",G82="30R"),_xlfn.XLOOKUP(C82,Tabla42[ADEP],Tabla42[SID 30L],""),""))</f>
        <v>UDGUV</v>
      </c>
      <c r="S82" s="3">
        <f t="shared" si="1"/>
        <v>16</v>
      </c>
      <c r="T82" s="3" t="str">
        <f>_xlfn.XLOOKUP(C82,Tabla42[ADEP],Tabla42[Sector],"")</f>
        <v>Sector 2</v>
      </c>
    </row>
    <row r="83" spans="1:20" x14ac:dyDescent="0.2">
      <c r="A83" s="18" t="s">
        <v>2216</v>
      </c>
      <c r="B83" s="18" t="s">
        <v>18</v>
      </c>
      <c r="C83" s="18" t="s">
        <v>96</v>
      </c>
      <c r="D83" s="18" t="s">
        <v>124</v>
      </c>
      <c r="E83" s="18"/>
      <c r="F83" s="19">
        <v>46304.708611111098</v>
      </c>
      <c r="G83" s="18" t="s">
        <v>21</v>
      </c>
      <c r="H83" s="18" t="s">
        <v>3314</v>
      </c>
      <c r="I83" s="18">
        <v>360</v>
      </c>
      <c r="J83" s="18" t="s">
        <v>22</v>
      </c>
      <c r="K83" s="18" t="s">
        <v>50</v>
      </c>
      <c r="L83" s="18">
        <v>862</v>
      </c>
      <c r="M83" s="18" t="s">
        <v>45</v>
      </c>
      <c r="N83" s="19">
        <v>46304.760289351798</v>
      </c>
      <c r="O83" s="18">
        <v>360</v>
      </c>
      <c r="P83" s="18" t="s">
        <v>25</v>
      </c>
      <c r="Q83" s="18">
        <v>30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18" t="s">
        <v>232</v>
      </c>
      <c r="B84" s="18" t="s">
        <v>18</v>
      </c>
      <c r="C84" s="18" t="s">
        <v>233</v>
      </c>
      <c r="D84" s="18" t="s">
        <v>110</v>
      </c>
      <c r="E84" s="18" t="s">
        <v>784</v>
      </c>
      <c r="F84" s="19">
        <v>46304.709837962997</v>
      </c>
      <c r="G84" s="18" t="s">
        <v>21</v>
      </c>
      <c r="H84" s="18" t="s">
        <v>3315</v>
      </c>
      <c r="I84" s="18">
        <v>400</v>
      </c>
      <c r="J84" s="18" t="s">
        <v>22</v>
      </c>
      <c r="K84" s="18" t="s">
        <v>23</v>
      </c>
      <c r="L84" s="18">
        <v>526</v>
      </c>
      <c r="M84" s="18" t="s">
        <v>123</v>
      </c>
      <c r="N84" s="19">
        <v>46304.738206018497</v>
      </c>
      <c r="O84" s="18">
        <v>400</v>
      </c>
      <c r="P84" s="18" t="s">
        <v>25</v>
      </c>
      <c r="Q84" s="18">
        <v>40</v>
      </c>
      <c r="R84" s="3" t="str">
        <f>IF(OR(G84="12R",G84="12L"),_xlfn.XLOOKUP(C84,Tabla42[ADEP],Tabla42[SID 12R],""),IF(OR(G84="30L",G84="30R"),_xlfn.XLOOKUP(C84,Tabla42[ADEP],Tabla42[SID 30L],""),""))</f>
        <v>UDGUV</v>
      </c>
      <c r="S84" s="3">
        <f t="shared" si="1"/>
        <v>17</v>
      </c>
      <c r="T84" s="3" t="str">
        <f>_xlfn.XLOOKUP(C84,Tabla42[ADEP],Tabla42[Sector],"")</f>
        <v>Sector 2</v>
      </c>
    </row>
    <row r="85" spans="1:20" x14ac:dyDescent="0.2">
      <c r="A85" s="18" t="s">
        <v>177</v>
      </c>
      <c r="B85" s="18" t="s">
        <v>18</v>
      </c>
      <c r="C85" s="18" t="s">
        <v>109</v>
      </c>
      <c r="D85" s="18" t="s">
        <v>122</v>
      </c>
      <c r="E85" s="18" t="s">
        <v>2446</v>
      </c>
      <c r="F85" s="19">
        <v>46304.711597222202</v>
      </c>
      <c r="G85" s="18" t="s">
        <v>21</v>
      </c>
      <c r="H85" s="18" t="s">
        <v>3316</v>
      </c>
      <c r="I85" s="18">
        <v>330</v>
      </c>
      <c r="J85" s="18" t="s">
        <v>22</v>
      </c>
      <c r="K85" s="18" t="s">
        <v>23</v>
      </c>
      <c r="L85" s="18">
        <v>167</v>
      </c>
      <c r="M85" s="18" t="s">
        <v>3317</v>
      </c>
      <c r="N85" s="19">
        <v>46304.722557870402</v>
      </c>
      <c r="O85" s="18">
        <v>290</v>
      </c>
      <c r="P85" s="18" t="s">
        <v>25</v>
      </c>
      <c r="Q85" s="18">
        <v>190</v>
      </c>
      <c r="R85" s="3" t="str">
        <f>IF(OR(G85="12R",G85="12L"),_xlfn.XLOOKUP(C85,Tabla42[ADEP],Tabla42[SID 12R],""),IF(OR(G85="30L",G85="30R"),_xlfn.XLOOKUP(C85,Tabla42[ADEP],Tabla42[SID 30L],""),""))</f>
        <v>TAKUX</v>
      </c>
      <c r="S85" s="3">
        <f t="shared" si="1"/>
        <v>17</v>
      </c>
      <c r="T85" s="3" t="str">
        <f>_xlfn.XLOOKUP(C85,Tabla42[ADEP],Tabla42[Sector],"")</f>
        <v>Sector 7</v>
      </c>
    </row>
    <row r="86" spans="1:20" x14ac:dyDescent="0.2">
      <c r="A86" s="18" t="s">
        <v>180</v>
      </c>
      <c r="B86" s="18" t="s">
        <v>18</v>
      </c>
      <c r="C86" s="18" t="s">
        <v>133</v>
      </c>
      <c r="D86" s="18" t="s">
        <v>60</v>
      </c>
      <c r="E86" s="18" t="s">
        <v>162</v>
      </c>
      <c r="F86" s="19">
        <v>46304.712962963</v>
      </c>
      <c r="G86" s="18" t="s">
        <v>21</v>
      </c>
      <c r="H86" s="18" t="s">
        <v>3318</v>
      </c>
      <c r="I86" s="18">
        <v>330</v>
      </c>
      <c r="J86" s="18" t="s">
        <v>22</v>
      </c>
      <c r="K86" s="18" t="s">
        <v>23</v>
      </c>
      <c r="L86" s="18">
        <v>140</v>
      </c>
      <c r="M86" s="18" t="s">
        <v>3319</v>
      </c>
      <c r="N86" s="19">
        <v>46304.723090277803</v>
      </c>
      <c r="O86" s="18">
        <v>210</v>
      </c>
      <c r="P86" s="18" t="s">
        <v>25</v>
      </c>
      <c r="Q86" s="18">
        <v>190</v>
      </c>
      <c r="R86" s="3" t="str">
        <f>IF(OR(G86="12R",G86="12L"),_xlfn.XLOOKUP(C86,Tabla42[ADEP],Tabla42[SID 12R],""),IF(OR(G86="30L",G86="30R"),_xlfn.XLOOKUP(C86,Tabla42[ADEP],Tabla42[SID 30L],""),""))</f>
        <v>OMSUK</v>
      </c>
      <c r="S86" s="3">
        <f t="shared" si="1"/>
        <v>17</v>
      </c>
      <c r="T86" s="3" t="str">
        <f>_xlfn.XLOOKUP(C86,Tabla42[ADEP],Tabla42[Sector],"")</f>
        <v>Sector 3</v>
      </c>
    </row>
    <row r="87" spans="1:20" x14ac:dyDescent="0.2">
      <c r="A87" s="18" t="s">
        <v>186</v>
      </c>
      <c r="B87" s="18" t="s">
        <v>18</v>
      </c>
      <c r="C87" s="18" t="s">
        <v>121</v>
      </c>
      <c r="D87" s="18" t="s">
        <v>60</v>
      </c>
      <c r="E87" s="18" t="s">
        <v>3320</v>
      </c>
      <c r="F87" s="19">
        <v>46304.714409722197</v>
      </c>
      <c r="G87" s="18" t="s">
        <v>21</v>
      </c>
      <c r="H87" s="18" t="s">
        <v>3321</v>
      </c>
      <c r="I87" s="18">
        <v>340</v>
      </c>
      <c r="J87" s="18" t="s">
        <v>22</v>
      </c>
      <c r="K87" s="18" t="s">
        <v>23</v>
      </c>
      <c r="L87" s="18">
        <v>684</v>
      </c>
      <c r="M87" s="18" t="s">
        <v>118</v>
      </c>
      <c r="N87" s="19">
        <v>46304.7522453704</v>
      </c>
      <c r="O87" s="18">
        <v>340</v>
      </c>
      <c r="P87" s="18" t="s">
        <v>25</v>
      </c>
      <c r="Q87" s="18">
        <v>190</v>
      </c>
      <c r="R87" s="3" t="str">
        <f>IF(OR(G87="12R",G87="12L"),_xlfn.XLOOKUP(C87,Tabla42[ADEP],Tabla42[SID 12R],""),IF(OR(G87="30L",G87="30R"),_xlfn.XLOOKUP(C87,Tabla42[ADEP],Tabla42[SID 30L],""),""))</f>
        <v>ENEBA</v>
      </c>
      <c r="S87" s="3">
        <f t="shared" si="1"/>
        <v>17</v>
      </c>
      <c r="T87" s="3" t="str">
        <f>_xlfn.XLOOKUP(C87,Tabla42[ADEP],Tabla42[Sector],"")</f>
        <v>Sector 3</v>
      </c>
    </row>
    <row r="88" spans="1:20" x14ac:dyDescent="0.2">
      <c r="A88" s="18" t="s">
        <v>3027</v>
      </c>
      <c r="B88" s="18" t="s">
        <v>18</v>
      </c>
      <c r="C88" s="18" t="s">
        <v>190</v>
      </c>
      <c r="D88" s="18" t="s">
        <v>33</v>
      </c>
      <c r="E88" s="18" t="s">
        <v>2272</v>
      </c>
      <c r="F88" s="19">
        <v>46304.716412037</v>
      </c>
      <c r="G88" s="18" t="s">
        <v>21</v>
      </c>
      <c r="H88" s="18" t="s">
        <v>3322</v>
      </c>
      <c r="I88" s="18">
        <v>370</v>
      </c>
      <c r="J88" s="18" t="s">
        <v>22</v>
      </c>
      <c r="K88" s="18" t="s">
        <v>23</v>
      </c>
      <c r="L88" s="18">
        <v>133</v>
      </c>
      <c r="M88" s="18" t="s">
        <v>678</v>
      </c>
      <c r="N88" s="19">
        <v>46304.725775462997</v>
      </c>
      <c r="O88" s="18">
        <v>245</v>
      </c>
      <c r="P88" s="18" t="s">
        <v>25</v>
      </c>
      <c r="Q88" s="18">
        <v>190</v>
      </c>
      <c r="R88" s="3" t="str">
        <f>IF(OR(G88="12R",G88="12L"),_xlfn.XLOOKUP(C88,Tabla42[ADEP],Tabla42[SID 12R],""),IF(OR(G88="30L",G88="30R"),_xlfn.XLOOKUP(C88,Tabla42[ADEP],Tabla42[SID 30L],""),""))</f>
        <v>NUDAL</v>
      </c>
      <c r="S88" s="3">
        <f t="shared" si="1"/>
        <v>17</v>
      </c>
      <c r="T88" s="3" t="str">
        <f>_xlfn.XLOOKUP(C88,Tabla42[ADEP],Tabla42[Sector],"")</f>
        <v>Sector 3</v>
      </c>
    </row>
    <row r="89" spans="1:20" x14ac:dyDescent="0.2">
      <c r="A89" s="18" t="s">
        <v>378</v>
      </c>
      <c r="B89" s="18" t="s">
        <v>18</v>
      </c>
      <c r="C89" s="18" t="s">
        <v>62</v>
      </c>
      <c r="D89" s="18" t="s">
        <v>33</v>
      </c>
      <c r="E89" s="18" t="s">
        <v>3323</v>
      </c>
      <c r="F89" s="19">
        <v>46304.723599536999</v>
      </c>
      <c r="G89" s="18" t="s">
        <v>21</v>
      </c>
      <c r="H89" s="18" t="s">
        <v>3324</v>
      </c>
      <c r="I89" s="18">
        <v>380</v>
      </c>
      <c r="J89" s="18" t="s">
        <v>22</v>
      </c>
      <c r="K89" s="18" t="s">
        <v>23</v>
      </c>
      <c r="L89" s="18">
        <v>865</v>
      </c>
      <c r="M89" s="18" t="s">
        <v>167</v>
      </c>
      <c r="N89" s="19">
        <v>46304.773680555598</v>
      </c>
      <c r="O89" s="18">
        <v>380</v>
      </c>
      <c r="P89" s="18" t="s">
        <v>25</v>
      </c>
      <c r="Q89" s="18">
        <v>190</v>
      </c>
      <c r="R89" s="3" t="str">
        <f>IF(OR(G89="12R",G89="12L"),_xlfn.XLOOKUP(C89,Tabla42[ADEP],Tabla42[SID 12R],""),IF(OR(G89="30L",G89="30R"),_xlfn.XLOOKUP(C89,Tabla42[ADEP],Tabla42[SID 30L],""),""))</f>
        <v>UDGUV</v>
      </c>
      <c r="S89" s="3">
        <f t="shared" si="1"/>
        <v>17</v>
      </c>
      <c r="T89" s="3" t="str">
        <f>_xlfn.XLOOKUP(C89,Tabla42[ADEP],Tabla42[Sector],"")</f>
        <v>Sector 2</v>
      </c>
    </row>
    <row r="90" spans="1:20" x14ac:dyDescent="0.2">
      <c r="A90" s="18" t="s">
        <v>2095</v>
      </c>
      <c r="B90" s="18" t="s">
        <v>18</v>
      </c>
      <c r="C90" s="18" t="s">
        <v>121</v>
      </c>
      <c r="D90" s="18" t="s">
        <v>122</v>
      </c>
      <c r="E90" s="18" t="s">
        <v>2833</v>
      </c>
      <c r="F90" s="19">
        <v>46304.728159722203</v>
      </c>
      <c r="G90" s="18" t="s">
        <v>21</v>
      </c>
      <c r="H90" s="18" t="s">
        <v>3325</v>
      </c>
      <c r="I90" s="18">
        <v>380</v>
      </c>
      <c r="J90" s="18" t="s">
        <v>22</v>
      </c>
      <c r="K90" s="18" t="s">
        <v>23</v>
      </c>
      <c r="L90" s="18">
        <v>668</v>
      </c>
      <c r="M90" s="18" t="s">
        <v>118</v>
      </c>
      <c r="N90" s="19">
        <v>46304.765752314801</v>
      </c>
      <c r="O90" s="18">
        <v>380</v>
      </c>
      <c r="P90" s="18" t="s">
        <v>25</v>
      </c>
      <c r="Q90" s="18">
        <v>190</v>
      </c>
      <c r="R90" s="3" t="str">
        <f>IF(OR(G90="12R",G90="12L"),_xlfn.XLOOKUP(C90,Tabla42[ADEP],Tabla42[SID 12R],""),IF(OR(G90="30L",G90="30R"),_xlfn.XLOOKUP(C90,Tabla42[ADEP],Tabla42[SID 30L],""),""))</f>
        <v>ENEBA</v>
      </c>
      <c r="S90" s="3">
        <f t="shared" si="1"/>
        <v>17</v>
      </c>
      <c r="T90" s="3" t="str">
        <f>_xlfn.XLOOKUP(C90,Tabla42[ADEP],Tabla42[Sector],"")</f>
        <v>Sector 3</v>
      </c>
    </row>
    <row r="91" spans="1:20" x14ac:dyDescent="0.2">
      <c r="A91" s="18" t="s">
        <v>187</v>
      </c>
      <c r="B91" s="18" t="s">
        <v>18</v>
      </c>
      <c r="C91" s="18" t="s">
        <v>188</v>
      </c>
      <c r="D91" s="18" t="s">
        <v>117</v>
      </c>
      <c r="E91" s="18" t="s">
        <v>2675</v>
      </c>
      <c r="F91" s="19">
        <v>46304.731817129599</v>
      </c>
      <c r="G91" s="18" t="s">
        <v>21</v>
      </c>
      <c r="H91" s="18" t="s">
        <v>3326</v>
      </c>
      <c r="I91" s="18">
        <v>300</v>
      </c>
      <c r="J91" s="18" t="s">
        <v>22</v>
      </c>
      <c r="K91" s="18" t="s">
        <v>23</v>
      </c>
      <c r="L91" s="18">
        <v>644</v>
      </c>
      <c r="M91" s="18" t="s">
        <v>118</v>
      </c>
      <c r="N91" s="19">
        <v>46304.766712962999</v>
      </c>
      <c r="O91" s="18">
        <v>300</v>
      </c>
      <c r="P91" s="18" t="s">
        <v>25</v>
      </c>
      <c r="Q91" s="18">
        <v>190</v>
      </c>
      <c r="R91" s="3" t="str">
        <f>IF(OR(G91="12R",G91="12L"),_xlfn.XLOOKUP(C91,Tabla42[ADEP],Tabla42[SID 12R],""),IF(OR(G91="30L",G91="30R"),_xlfn.XLOOKUP(C91,Tabla42[ADEP],Tabla42[SID 30L],""),""))</f>
        <v>ENEBA</v>
      </c>
      <c r="S91" s="3">
        <f t="shared" si="1"/>
        <v>17</v>
      </c>
      <c r="T91" s="3" t="str">
        <f>_xlfn.XLOOKUP(C91,Tabla42[ADEP],Tabla42[Sector],"")</f>
        <v>Sector 3</v>
      </c>
    </row>
    <row r="92" spans="1:20" x14ac:dyDescent="0.2">
      <c r="A92" s="18" t="s">
        <v>192</v>
      </c>
      <c r="B92" s="18" t="s">
        <v>18</v>
      </c>
      <c r="C92" s="18" t="s">
        <v>193</v>
      </c>
      <c r="D92" s="18" t="s">
        <v>60</v>
      </c>
      <c r="E92" s="18" t="s">
        <v>3327</v>
      </c>
      <c r="F92" s="19">
        <v>46304.734375</v>
      </c>
      <c r="G92" s="18" t="s">
        <v>21</v>
      </c>
      <c r="H92" s="18" t="s">
        <v>3328</v>
      </c>
      <c r="I92" s="18">
        <v>330</v>
      </c>
      <c r="J92" s="18" t="s">
        <v>22</v>
      </c>
      <c r="K92" s="18" t="s">
        <v>23</v>
      </c>
      <c r="L92" s="18">
        <v>136</v>
      </c>
      <c r="M92" s="18" t="s">
        <v>39</v>
      </c>
      <c r="N92" s="19">
        <v>46304.744097222203</v>
      </c>
      <c r="O92" s="18">
        <v>227</v>
      </c>
      <c r="P92" s="18" t="s">
        <v>25</v>
      </c>
      <c r="Q92" s="18">
        <v>190</v>
      </c>
      <c r="R92" s="3" t="str">
        <f>IF(OR(G92="12R",G92="12L"),_xlfn.XLOOKUP(C92,Tabla42[ADEP],Tabla42[SID 12R],""),IF(OR(G92="30L",G92="30R"),_xlfn.XLOOKUP(C92,Tabla42[ADEP],Tabla42[SID 30L],""),""))</f>
        <v>ENEBA</v>
      </c>
      <c r="S92" s="3">
        <f t="shared" si="1"/>
        <v>17</v>
      </c>
      <c r="T92" s="3" t="str">
        <f>_xlfn.XLOOKUP(C92,Tabla42[ADEP],Tabla42[Sector],"")</f>
        <v>Sector 3</v>
      </c>
    </row>
    <row r="93" spans="1:20" x14ac:dyDescent="0.2">
      <c r="A93" s="18" t="s">
        <v>3078</v>
      </c>
      <c r="B93" s="18" t="s">
        <v>18</v>
      </c>
      <c r="C93" s="18" t="s">
        <v>32</v>
      </c>
      <c r="D93" s="18" t="s">
        <v>60</v>
      </c>
      <c r="E93" s="18" t="s">
        <v>529</v>
      </c>
      <c r="F93" s="19">
        <v>46304.739988425899</v>
      </c>
      <c r="G93" s="18" t="s">
        <v>21</v>
      </c>
      <c r="H93" s="18" t="s">
        <v>3329</v>
      </c>
      <c r="I93" s="18">
        <v>340</v>
      </c>
      <c r="J93" s="18" t="s">
        <v>22</v>
      </c>
      <c r="K93" s="18" t="s">
        <v>23</v>
      </c>
      <c r="L93" s="18">
        <v>864</v>
      </c>
      <c r="M93" s="18" t="s">
        <v>35</v>
      </c>
      <c r="N93" s="19">
        <v>46304.787152777797</v>
      </c>
      <c r="O93" s="18">
        <v>340</v>
      </c>
      <c r="P93" s="18" t="s">
        <v>25</v>
      </c>
      <c r="Q93" s="18">
        <v>190</v>
      </c>
      <c r="R93" s="3" t="str">
        <f>IF(OR(G93="12R",G93="12L"),_xlfn.XLOOKUP(C93,Tabla42[ADEP],Tabla42[SID 12R],""),IF(OR(G93="30L",G93="30R"),_xlfn.XLOOKUP(C93,Tabla42[ADEP],Tabla42[SID 30L],""),""))</f>
        <v>UDGUV</v>
      </c>
      <c r="S93" s="3">
        <f t="shared" si="1"/>
        <v>17</v>
      </c>
      <c r="T93" s="3" t="str">
        <f>_xlfn.XLOOKUP(C93,Tabla42[ADEP],Tabla42[Sector],"")</f>
        <v>Sector 2</v>
      </c>
    </row>
    <row r="94" spans="1:20" x14ac:dyDescent="0.2">
      <c r="A94" s="18" t="s">
        <v>221</v>
      </c>
      <c r="B94" s="18" t="s">
        <v>18</v>
      </c>
      <c r="C94" s="18" t="s">
        <v>42</v>
      </c>
      <c r="D94" s="18" t="s">
        <v>43</v>
      </c>
      <c r="E94" s="18" t="s">
        <v>411</v>
      </c>
      <c r="F94" s="19">
        <v>46304.7442592593</v>
      </c>
      <c r="G94" s="18" t="s">
        <v>21</v>
      </c>
      <c r="H94" s="18" t="s">
        <v>3330</v>
      </c>
      <c r="I94" s="18">
        <v>360</v>
      </c>
      <c r="J94" s="18" t="s">
        <v>22</v>
      </c>
      <c r="K94" s="18" t="s">
        <v>23</v>
      </c>
      <c r="L94" s="18">
        <v>855</v>
      </c>
      <c r="M94" s="18" t="s">
        <v>45</v>
      </c>
      <c r="N94" s="19">
        <v>46304.792442129597</v>
      </c>
      <c r="O94" s="18">
        <v>360</v>
      </c>
      <c r="P94" s="18" t="s">
        <v>25</v>
      </c>
      <c r="Q94" s="18">
        <v>190</v>
      </c>
      <c r="R94" s="3" t="str">
        <f>IF(OR(G94="12R",G94="12L"),_xlfn.XLOOKUP(C94,Tabla42[ADEP],Tabla42[SID 12R],""),IF(OR(G94="30L",G94="30R"),_xlfn.XLOOKUP(C94,Tabla42[ADEP],Tabla42[SID 30L],""),""))</f>
        <v>UDGUV</v>
      </c>
      <c r="S94" s="3">
        <f t="shared" si="1"/>
        <v>17</v>
      </c>
      <c r="T94" s="3" t="str">
        <f>_xlfn.XLOOKUP(C94,Tabla42[ADEP],Tabla42[Sector],"")</f>
        <v>Sector 2</v>
      </c>
    </row>
    <row r="95" spans="1:20" x14ac:dyDescent="0.2">
      <c r="A95" s="18" t="s">
        <v>203</v>
      </c>
      <c r="B95" s="18" t="s">
        <v>18</v>
      </c>
      <c r="C95" s="18" t="s">
        <v>204</v>
      </c>
      <c r="D95" s="18" t="s">
        <v>53</v>
      </c>
      <c r="E95" s="18" t="s">
        <v>1643</v>
      </c>
      <c r="F95" s="19">
        <v>46304.752129629604</v>
      </c>
      <c r="G95" s="18" t="s">
        <v>21</v>
      </c>
      <c r="H95" s="18" t="s">
        <v>3331</v>
      </c>
      <c r="I95" s="18">
        <v>370</v>
      </c>
      <c r="J95" s="18" t="s">
        <v>22</v>
      </c>
      <c r="K95" s="18" t="s">
        <v>23</v>
      </c>
      <c r="L95" s="18">
        <v>149</v>
      </c>
      <c r="M95" s="18" t="s">
        <v>111</v>
      </c>
      <c r="N95" s="19">
        <v>46304.762187499997</v>
      </c>
      <c r="O95" s="18">
        <v>284</v>
      </c>
      <c r="P95" s="18" t="s">
        <v>25</v>
      </c>
      <c r="Q95" s="18">
        <v>190</v>
      </c>
      <c r="R95" s="3" t="str">
        <f>IF(OR(G95="12R",G95="12L"),_xlfn.XLOOKUP(C95,Tabla42[ADEP],Tabla42[SID 12R],""),IF(OR(G95="30L",G95="30R"),_xlfn.XLOOKUP(C95,Tabla42[ADEP],Tabla42[SID 30L],""),""))</f>
        <v>TAKUX</v>
      </c>
      <c r="S95" s="3">
        <f t="shared" si="1"/>
        <v>18</v>
      </c>
      <c r="T95" s="3" t="str">
        <f>_xlfn.XLOOKUP(C95,Tabla42[ADEP],Tabla42[Sector],"")</f>
        <v>Sector 7</v>
      </c>
    </row>
    <row r="96" spans="1:20" x14ac:dyDescent="0.2">
      <c r="A96" s="18" t="s">
        <v>222</v>
      </c>
      <c r="B96" s="18" t="s">
        <v>18</v>
      </c>
      <c r="C96" s="18" t="s">
        <v>223</v>
      </c>
      <c r="D96" s="18" t="s">
        <v>110</v>
      </c>
      <c r="E96" s="18" t="s">
        <v>3332</v>
      </c>
      <c r="F96" s="19">
        <v>46304.753784722197</v>
      </c>
      <c r="G96" s="18" t="s">
        <v>21</v>
      </c>
      <c r="H96" s="18" t="s">
        <v>3333</v>
      </c>
      <c r="I96" s="18">
        <v>350</v>
      </c>
      <c r="J96" s="18" t="s">
        <v>22</v>
      </c>
      <c r="K96" s="18" t="s">
        <v>23</v>
      </c>
      <c r="L96" s="18">
        <v>138</v>
      </c>
      <c r="M96" s="18" t="s">
        <v>39</v>
      </c>
      <c r="N96" s="19">
        <v>46304.762962963003</v>
      </c>
      <c r="O96" s="18">
        <v>290</v>
      </c>
      <c r="P96" s="18" t="s">
        <v>25</v>
      </c>
      <c r="Q96" s="18">
        <v>190</v>
      </c>
      <c r="R96" s="3" t="str">
        <f>IF(OR(G96="12R",G96="12L"),_xlfn.XLOOKUP(C96,Tabla42[ADEP],Tabla42[SID 12R],""),IF(OR(G96="30L",G96="30R"),_xlfn.XLOOKUP(C96,Tabla42[ADEP],Tabla42[SID 30L],""),""))</f>
        <v>OMSUK</v>
      </c>
      <c r="S96" s="3">
        <f t="shared" si="1"/>
        <v>18</v>
      </c>
      <c r="T96" s="3" t="str">
        <f>_xlfn.XLOOKUP(C96,Tabla42[ADEP],Tabla42[Sector],"")</f>
        <v>Sector 3</v>
      </c>
    </row>
    <row r="97" spans="1:20" x14ac:dyDescent="0.2">
      <c r="A97" s="18" t="s">
        <v>3334</v>
      </c>
      <c r="B97" s="18" t="s">
        <v>18</v>
      </c>
      <c r="C97" s="18" t="s">
        <v>800</v>
      </c>
      <c r="D97" s="18" t="s">
        <v>809</v>
      </c>
      <c r="E97" s="18" t="s">
        <v>3335</v>
      </c>
      <c r="F97" s="19">
        <v>46304.756365740701</v>
      </c>
      <c r="G97" s="18" t="s">
        <v>21</v>
      </c>
      <c r="H97" s="18" t="s">
        <v>3336</v>
      </c>
      <c r="I97" s="18">
        <v>450</v>
      </c>
      <c r="J97" s="18" t="s">
        <v>22</v>
      </c>
      <c r="K97" s="18" t="s">
        <v>50</v>
      </c>
      <c r="L97" s="18">
        <v>218</v>
      </c>
      <c r="M97" s="18" t="s">
        <v>355</v>
      </c>
      <c r="N97" s="19">
        <v>46304.770162036999</v>
      </c>
      <c r="O97" s="18">
        <v>245</v>
      </c>
      <c r="P97" s="18" t="s">
        <v>25</v>
      </c>
      <c r="Q97" s="18">
        <v>40</v>
      </c>
      <c r="R97" s="3" t="str">
        <f>IF(OR(G97="12R",G97="12L"),_xlfn.XLOOKUP(C97,Tabla42[ADEP],Tabla42[SID 12R],""),IF(OR(G97="30L",G97="30R"),_xlfn.XLOOKUP(C97,Tabla42[ADEP],Tabla42[SID 30L],""),""))</f>
        <v>NUDAL</v>
      </c>
      <c r="S97" s="3">
        <f t="shared" si="1"/>
        <v>18</v>
      </c>
      <c r="T97" s="3" t="str">
        <f>_xlfn.XLOOKUP(C97,Tabla42[ADEP],Tabla42[Sector],"")</f>
        <v>Sector 3</v>
      </c>
    </row>
    <row r="98" spans="1:20" x14ac:dyDescent="0.2">
      <c r="A98" s="18" t="s">
        <v>217</v>
      </c>
      <c r="B98" s="18" t="s">
        <v>18</v>
      </c>
      <c r="C98" s="18" t="s">
        <v>158</v>
      </c>
      <c r="D98" s="18" t="s">
        <v>20</v>
      </c>
      <c r="E98" s="18" t="s">
        <v>3337</v>
      </c>
      <c r="F98" s="19">
        <v>46304.757569444402</v>
      </c>
      <c r="G98" s="18" t="s">
        <v>21</v>
      </c>
      <c r="H98" s="18" t="s">
        <v>3338</v>
      </c>
      <c r="I98" s="18">
        <v>330</v>
      </c>
      <c r="J98" s="18" t="s">
        <v>22</v>
      </c>
      <c r="K98" s="18" t="s">
        <v>23</v>
      </c>
      <c r="L98" s="18">
        <v>136</v>
      </c>
      <c r="M98" s="18" t="s">
        <v>3339</v>
      </c>
      <c r="N98" s="19">
        <v>46304.766944444404</v>
      </c>
      <c r="O98" s="18">
        <v>236</v>
      </c>
      <c r="P98" s="18" t="s">
        <v>25</v>
      </c>
      <c r="Q98" s="18">
        <v>190</v>
      </c>
      <c r="R98" s="3" t="str">
        <f>IF(OR(G98="12R",G98="12L"),_xlfn.XLOOKUP(C98,Tabla42[ADEP],Tabla42[SID 12R],""),IF(OR(G98="30L",G98="30R"),_xlfn.XLOOKUP(C98,Tabla42[ADEP],Tabla42[SID 30L],""),""))</f>
        <v>OMSUK</v>
      </c>
      <c r="S98" s="3">
        <f t="shared" si="1"/>
        <v>18</v>
      </c>
      <c r="T98" s="3" t="str">
        <f>_xlfn.XLOOKUP(C98,Tabla42[ADEP],Tabla42[Sector],"")</f>
        <v>Sector 3</v>
      </c>
    </row>
    <row r="99" spans="1:20" x14ac:dyDescent="0.2">
      <c r="A99" s="18" t="s">
        <v>437</v>
      </c>
      <c r="B99" s="18" t="s">
        <v>18</v>
      </c>
      <c r="C99" s="18" t="s">
        <v>438</v>
      </c>
      <c r="D99" s="18" t="s">
        <v>33</v>
      </c>
      <c r="E99" s="18" t="s">
        <v>2479</v>
      </c>
      <c r="F99" s="19">
        <v>46304.758495370399</v>
      </c>
      <c r="G99" s="18" t="s">
        <v>21</v>
      </c>
      <c r="H99" s="18" t="s">
        <v>3340</v>
      </c>
      <c r="I99" s="18">
        <v>320</v>
      </c>
      <c r="J99" s="18" t="s">
        <v>22</v>
      </c>
      <c r="K99" s="18" t="s">
        <v>23</v>
      </c>
      <c r="L99" s="18">
        <v>999</v>
      </c>
      <c r="M99" s="18" t="s">
        <v>439</v>
      </c>
      <c r="N99" s="19">
        <v>46304.814467592601</v>
      </c>
      <c r="O99" s="18">
        <v>228</v>
      </c>
      <c r="P99" s="18" t="s">
        <v>25</v>
      </c>
      <c r="Q99" s="18">
        <v>190</v>
      </c>
      <c r="R99" s="3" t="str">
        <f>IF(OR(G99="12R",G99="12L"),_xlfn.XLOOKUP(C99,Tabla42[ADEP],Tabla42[SID 12R],""),IF(OR(G99="30L",G99="30R"),_xlfn.XLOOKUP(C99,Tabla42[ADEP],Tabla42[SID 30L],""),""))</f>
        <v>UDGUV</v>
      </c>
      <c r="S99" s="3">
        <f t="shared" si="1"/>
        <v>18</v>
      </c>
      <c r="T99" s="3" t="str">
        <f>_xlfn.XLOOKUP(C99,Tabla42[ADEP],Tabla42[Sector],"")</f>
        <v>Sector 2</v>
      </c>
    </row>
    <row r="100" spans="1:20" x14ac:dyDescent="0.2">
      <c r="A100" s="18" t="s">
        <v>358</v>
      </c>
      <c r="B100" s="18" t="s">
        <v>18</v>
      </c>
      <c r="C100" s="18" t="s">
        <v>359</v>
      </c>
      <c r="D100" s="18" t="s">
        <v>33</v>
      </c>
      <c r="E100" s="18" t="s">
        <v>3127</v>
      </c>
      <c r="F100" s="19">
        <v>46304.7590740741</v>
      </c>
      <c r="G100" s="18" t="s">
        <v>21</v>
      </c>
      <c r="H100" s="18" t="s">
        <v>3341</v>
      </c>
      <c r="I100" s="18">
        <v>350</v>
      </c>
      <c r="J100" s="18" t="s">
        <v>22</v>
      </c>
      <c r="K100" s="18" t="s">
        <v>23</v>
      </c>
      <c r="L100" s="18">
        <v>136</v>
      </c>
      <c r="M100" s="18" t="s">
        <v>39</v>
      </c>
      <c r="N100" s="19">
        <v>46304.768194444398</v>
      </c>
      <c r="O100" s="18">
        <v>242</v>
      </c>
      <c r="P100" s="18" t="s">
        <v>25</v>
      </c>
      <c r="Q100" s="18">
        <v>190</v>
      </c>
      <c r="R100" s="3" t="str">
        <f>IF(OR(G100="12R",G100="12L"),_xlfn.XLOOKUP(C100,Tabla42[ADEP],Tabla42[SID 12R],""),IF(OR(G100="30L",G100="30R"),_xlfn.XLOOKUP(C100,Tabla42[ADEP],Tabla42[SID 30L],""),""))</f>
        <v>OMSUK</v>
      </c>
      <c r="S100" s="3">
        <f t="shared" si="1"/>
        <v>18</v>
      </c>
      <c r="T100" s="3" t="str">
        <f>_xlfn.XLOOKUP(C100,Tabla42[ADEP],Tabla42[Sector],"")</f>
        <v>Sector 3</v>
      </c>
    </row>
    <row r="101" spans="1:20" x14ac:dyDescent="0.2">
      <c r="A101" s="18" t="s">
        <v>199</v>
      </c>
      <c r="B101" s="18" t="s">
        <v>18</v>
      </c>
      <c r="C101" s="18" t="s">
        <v>200</v>
      </c>
      <c r="D101" s="18" t="s">
        <v>110</v>
      </c>
      <c r="E101" s="18" t="s">
        <v>653</v>
      </c>
      <c r="F101" s="19">
        <v>46304.760671296302</v>
      </c>
      <c r="G101" s="18" t="s">
        <v>21</v>
      </c>
      <c r="H101" s="18" t="s">
        <v>3342</v>
      </c>
      <c r="I101" s="18">
        <v>400</v>
      </c>
      <c r="J101" s="18" t="s">
        <v>22</v>
      </c>
      <c r="K101" s="18" t="s">
        <v>23</v>
      </c>
      <c r="L101" s="18">
        <v>433</v>
      </c>
      <c r="M101" s="18" t="s">
        <v>189</v>
      </c>
      <c r="N101" s="19">
        <v>46304.784247685202</v>
      </c>
      <c r="O101" s="18">
        <v>380</v>
      </c>
      <c r="P101" s="18" t="s">
        <v>25</v>
      </c>
      <c r="Q101" s="18">
        <v>40</v>
      </c>
      <c r="R101" s="3" t="str">
        <f>IF(OR(G101="12R",G101="12L"),_xlfn.XLOOKUP(C101,Tabla42[ADEP],Tabla42[SID 12R],""),IF(OR(G101="30L",G101="30R"),_xlfn.XLOOKUP(C101,Tabla42[ADEP],Tabla42[SID 30L],""),""))</f>
        <v>OMSUK</v>
      </c>
      <c r="S101" s="3">
        <f t="shared" si="1"/>
        <v>18</v>
      </c>
      <c r="T101" s="3" t="str">
        <f>_xlfn.XLOOKUP(C101,Tabla42[ADEP],Tabla42[Sector],"")</f>
        <v>Sector 3</v>
      </c>
    </row>
    <row r="102" spans="1:20" x14ac:dyDescent="0.2">
      <c r="A102" s="18" t="s">
        <v>218</v>
      </c>
      <c r="B102" s="18" t="s">
        <v>18</v>
      </c>
      <c r="C102" s="18" t="s">
        <v>219</v>
      </c>
      <c r="D102" s="18" t="s">
        <v>43</v>
      </c>
      <c r="E102" s="18" t="s">
        <v>474</v>
      </c>
      <c r="F102" s="19">
        <v>46304.761932870402</v>
      </c>
      <c r="G102" s="18" t="s">
        <v>21</v>
      </c>
      <c r="H102" s="18" t="s">
        <v>3343</v>
      </c>
      <c r="I102" s="18">
        <v>300</v>
      </c>
      <c r="J102" s="18" t="s">
        <v>22</v>
      </c>
      <c r="K102" s="18" t="s">
        <v>23</v>
      </c>
      <c r="L102" s="18">
        <v>541</v>
      </c>
      <c r="M102" s="18" t="s">
        <v>123</v>
      </c>
      <c r="N102" s="19">
        <v>46304.791481481501</v>
      </c>
      <c r="O102" s="18">
        <v>300</v>
      </c>
      <c r="P102" s="18" t="s">
        <v>25</v>
      </c>
      <c r="Q102" s="18">
        <v>40</v>
      </c>
      <c r="R102" s="3" t="str">
        <f>IF(OR(G102="12R",G102="12L"),_xlfn.XLOOKUP(C102,Tabla42[ADEP],Tabla42[SID 12R],""),IF(OR(G102="30L",G102="30R"),_xlfn.XLOOKUP(C102,Tabla42[ADEP],Tabla42[SID 30L],""),""))</f>
        <v>UDGUV</v>
      </c>
      <c r="S102" s="3">
        <f t="shared" si="1"/>
        <v>18</v>
      </c>
      <c r="T102" s="3" t="str">
        <f>_xlfn.XLOOKUP(C102,Tabla42[ADEP],Tabla42[Sector],"")</f>
        <v>Sector 2</v>
      </c>
    </row>
    <row r="103" spans="1:20" x14ac:dyDescent="0.2">
      <c r="A103" s="18" t="s">
        <v>244</v>
      </c>
      <c r="B103" s="18" t="s">
        <v>18</v>
      </c>
      <c r="C103" s="18" t="s">
        <v>126</v>
      </c>
      <c r="D103" s="18" t="s">
        <v>60</v>
      </c>
      <c r="E103" s="18" t="s">
        <v>3344</v>
      </c>
      <c r="F103" s="19">
        <v>46304.763356481497</v>
      </c>
      <c r="G103" s="18" t="s">
        <v>21</v>
      </c>
      <c r="H103" s="18" t="s">
        <v>3345</v>
      </c>
      <c r="I103" s="18">
        <v>340</v>
      </c>
      <c r="J103" s="18" t="s">
        <v>22</v>
      </c>
      <c r="K103" s="18" t="s">
        <v>23</v>
      </c>
      <c r="L103" s="18">
        <v>550</v>
      </c>
      <c r="M103" s="18" t="s">
        <v>123</v>
      </c>
      <c r="N103" s="19">
        <v>46304.793182870402</v>
      </c>
      <c r="O103" s="18">
        <v>340</v>
      </c>
      <c r="P103" s="18" t="s">
        <v>25</v>
      </c>
      <c r="Q103" s="18">
        <v>40</v>
      </c>
      <c r="R103" s="3" t="str">
        <f>IF(OR(G103="12R",G103="12L"),_xlfn.XLOOKUP(C103,Tabla42[ADEP],Tabla42[SID 12R],""),IF(OR(G103="30L",G103="30R"),_xlfn.XLOOKUP(C103,Tabla42[ADEP],Tabla42[SID 30L],""),""))</f>
        <v>ENEBA</v>
      </c>
      <c r="S103" s="3">
        <f t="shared" si="1"/>
        <v>18</v>
      </c>
      <c r="T103" s="3" t="str">
        <f>_xlfn.XLOOKUP(C103,Tabla42[ADEP],Tabla42[Sector],"")</f>
        <v>Sector 3</v>
      </c>
    </row>
    <row r="104" spans="1:20" x14ac:dyDescent="0.2">
      <c r="A104" s="18" t="s">
        <v>237</v>
      </c>
      <c r="B104" s="18" t="s">
        <v>18</v>
      </c>
      <c r="C104" s="18" t="s">
        <v>116</v>
      </c>
      <c r="D104" s="18" t="s">
        <v>117</v>
      </c>
      <c r="E104" s="18" t="s">
        <v>3346</v>
      </c>
      <c r="F104" s="19">
        <v>46304.765034722201</v>
      </c>
      <c r="G104" s="18" t="s">
        <v>21</v>
      </c>
      <c r="H104" s="18" t="s">
        <v>3347</v>
      </c>
      <c r="I104" s="18">
        <v>340</v>
      </c>
      <c r="J104" s="18" t="s">
        <v>22</v>
      </c>
      <c r="K104" s="18" t="s">
        <v>23</v>
      </c>
      <c r="L104" s="18">
        <v>529</v>
      </c>
      <c r="M104" s="18" t="s">
        <v>123</v>
      </c>
      <c r="N104" s="19">
        <v>46304.792731481502</v>
      </c>
      <c r="O104" s="18">
        <v>325</v>
      </c>
      <c r="P104" s="18" t="s">
        <v>25</v>
      </c>
      <c r="Q104" s="18">
        <v>190</v>
      </c>
      <c r="R104" s="3" t="str">
        <f>IF(OR(G104="12R",G104="12L"),_xlfn.XLOOKUP(C104,Tabla42[ADEP],Tabla42[SID 12R],""),IF(OR(G104="30L",G104="30R"),_xlfn.XLOOKUP(C104,Tabla42[ADEP],Tabla42[SID 30L],""),""))</f>
        <v>ENEBA</v>
      </c>
      <c r="S104" s="3">
        <f t="shared" si="1"/>
        <v>18</v>
      </c>
      <c r="T104" s="3" t="str">
        <f>_xlfn.XLOOKUP(C104,Tabla42[ADEP],Tabla42[Sector],"")</f>
        <v>Sector 3</v>
      </c>
    </row>
    <row r="105" spans="1:20" x14ac:dyDescent="0.2">
      <c r="A105" s="18" t="s">
        <v>183</v>
      </c>
      <c r="B105" s="18" t="s">
        <v>18</v>
      </c>
      <c r="C105" s="18" t="s">
        <v>184</v>
      </c>
      <c r="D105" s="18" t="s">
        <v>20</v>
      </c>
      <c r="E105" s="18" t="s">
        <v>267</v>
      </c>
      <c r="F105" s="19">
        <v>46304.7665277778</v>
      </c>
      <c r="G105" s="18" t="s">
        <v>21</v>
      </c>
      <c r="H105" s="18" t="s">
        <v>3348</v>
      </c>
      <c r="I105" s="18">
        <v>350</v>
      </c>
      <c r="J105" s="18" t="s">
        <v>22</v>
      </c>
      <c r="K105" s="18" t="s">
        <v>23</v>
      </c>
      <c r="L105" s="18">
        <v>133</v>
      </c>
      <c r="M105" s="18" t="s">
        <v>39</v>
      </c>
      <c r="N105" s="19">
        <v>46304.776006944398</v>
      </c>
      <c r="O105" s="18">
        <v>259</v>
      </c>
      <c r="P105" s="18" t="s">
        <v>25</v>
      </c>
      <c r="Q105" s="18">
        <v>190</v>
      </c>
      <c r="R105" s="3" t="str">
        <f>IF(OR(G105="12R",G105="12L"),_xlfn.XLOOKUP(C105,Tabla42[ADEP],Tabla42[SID 12R],""),IF(OR(G105="30L",G105="30R"),_xlfn.XLOOKUP(C105,Tabla42[ADEP],Tabla42[SID 30L],""),""))</f>
        <v>OMSUK</v>
      </c>
      <c r="S105" s="3">
        <f t="shared" si="1"/>
        <v>18</v>
      </c>
      <c r="T105" s="3" t="str">
        <f>_xlfn.XLOOKUP(C105,Tabla42[ADEP],Tabla42[Sector],"")</f>
        <v>Sector 3</v>
      </c>
    </row>
    <row r="106" spans="1:20" x14ac:dyDescent="0.2">
      <c r="A106" s="18" t="s">
        <v>214</v>
      </c>
      <c r="B106" s="18" t="s">
        <v>18</v>
      </c>
      <c r="C106" s="18" t="s">
        <v>215</v>
      </c>
      <c r="D106" s="18" t="s">
        <v>60</v>
      </c>
      <c r="E106" s="18" t="s">
        <v>736</v>
      </c>
      <c r="F106" s="19">
        <v>46304.768263888902</v>
      </c>
      <c r="G106" s="18" t="s">
        <v>21</v>
      </c>
      <c r="H106" s="18" t="s">
        <v>3349</v>
      </c>
      <c r="I106" s="18">
        <v>340</v>
      </c>
      <c r="J106" s="18" t="s">
        <v>22</v>
      </c>
      <c r="K106" s="18" t="s">
        <v>23</v>
      </c>
      <c r="L106" s="18">
        <v>572</v>
      </c>
      <c r="M106" s="18" t="s">
        <v>123</v>
      </c>
      <c r="N106" s="19">
        <v>46304.798645833303</v>
      </c>
      <c r="O106" s="18">
        <v>300</v>
      </c>
      <c r="P106" s="18" t="s">
        <v>25</v>
      </c>
      <c r="Q106" s="18">
        <v>40</v>
      </c>
      <c r="R106" s="3" t="str">
        <f>IF(OR(G106="12R",G106="12L"),_xlfn.XLOOKUP(C106,Tabla42[ADEP],Tabla42[SID 12R],""),IF(OR(G106="30L",G106="30R"),_xlfn.XLOOKUP(C106,Tabla42[ADEP],Tabla42[SID 30L],""),""))</f>
        <v>OMSUK</v>
      </c>
      <c r="S106" s="3">
        <f t="shared" si="1"/>
        <v>18</v>
      </c>
      <c r="T106" s="3" t="str">
        <f>_xlfn.XLOOKUP(C106,Tabla42[ADEP],Tabla42[Sector],"")</f>
        <v>Sector 3</v>
      </c>
    </row>
    <row r="107" spans="1:20" x14ac:dyDescent="0.2">
      <c r="A107" s="18" t="s">
        <v>2157</v>
      </c>
      <c r="B107" s="18" t="s">
        <v>18</v>
      </c>
      <c r="C107" s="18" t="s">
        <v>188</v>
      </c>
      <c r="D107" s="18" t="s">
        <v>60</v>
      </c>
      <c r="E107" s="18" t="s">
        <v>3032</v>
      </c>
      <c r="F107" s="19">
        <v>46304.769756944399</v>
      </c>
      <c r="G107" s="18" t="s">
        <v>21</v>
      </c>
      <c r="H107" s="18" t="s">
        <v>3350</v>
      </c>
      <c r="I107" s="18">
        <v>340</v>
      </c>
      <c r="J107" s="18" t="s">
        <v>22</v>
      </c>
      <c r="K107" s="18" t="s">
        <v>23</v>
      </c>
      <c r="L107" s="18">
        <v>563</v>
      </c>
      <c r="M107" s="18" t="s">
        <v>123</v>
      </c>
      <c r="N107" s="19">
        <v>46304.800937499997</v>
      </c>
      <c r="O107" s="18">
        <v>340</v>
      </c>
      <c r="P107" s="18" t="s">
        <v>25</v>
      </c>
      <c r="Q107" s="18">
        <v>40</v>
      </c>
      <c r="R107" s="3" t="str">
        <f>IF(OR(G107="12R",G107="12L"),_xlfn.XLOOKUP(C107,Tabla42[ADEP],Tabla42[SID 12R],""),IF(OR(G107="30L",G107="30R"),_xlfn.XLOOKUP(C107,Tabla42[ADEP],Tabla42[SID 30L],""),""))</f>
        <v>ENEBA</v>
      </c>
      <c r="S107" s="3">
        <f t="shared" si="1"/>
        <v>18</v>
      </c>
      <c r="T107" s="3" t="str">
        <f>_xlfn.XLOOKUP(C107,Tabla42[ADEP],Tabla42[Sector],"")</f>
        <v>Sector 3</v>
      </c>
    </row>
    <row r="108" spans="1:20" x14ac:dyDescent="0.2">
      <c r="A108" s="18" t="s">
        <v>225</v>
      </c>
      <c r="B108" s="18" t="s">
        <v>18</v>
      </c>
      <c r="C108" s="18" t="s">
        <v>27</v>
      </c>
      <c r="D108" s="18" t="s">
        <v>226</v>
      </c>
      <c r="E108" s="18" t="s">
        <v>3351</v>
      </c>
      <c r="F108" s="19">
        <v>46304.771423611099</v>
      </c>
      <c r="G108" s="18" t="s">
        <v>21</v>
      </c>
      <c r="H108" s="18" t="s">
        <v>3352</v>
      </c>
      <c r="I108" s="18">
        <v>360</v>
      </c>
      <c r="J108" s="18" t="s">
        <v>22</v>
      </c>
      <c r="K108" s="18" t="s">
        <v>23</v>
      </c>
      <c r="L108" s="18">
        <v>445</v>
      </c>
      <c r="M108" s="18" t="s">
        <v>189</v>
      </c>
      <c r="N108" s="19">
        <v>46304.797314814801</v>
      </c>
      <c r="O108" s="18">
        <v>380</v>
      </c>
      <c r="P108" s="18" t="s">
        <v>25</v>
      </c>
      <c r="Q108" s="18">
        <v>40</v>
      </c>
      <c r="R108" s="3" t="str">
        <f>IF(OR(G108="12R",G108="12L"),_xlfn.XLOOKUP(C108,Tabla42[ADEP],Tabla42[SID 12R],""),IF(OR(G108="30L",G108="30R"),_xlfn.XLOOKUP(C108,Tabla42[ADEP],Tabla42[SID 30L],""),""))</f>
        <v>OMSUK</v>
      </c>
      <c r="S108" s="3">
        <f t="shared" si="1"/>
        <v>18</v>
      </c>
      <c r="T108" s="3" t="str">
        <f>_xlfn.XLOOKUP(C108,Tabla42[ADEP],Tabla42[Sector],"")</f>
        <v>Sector 3</v>
      </c>
    </row>
    <row r="109" spans="1:20" x14ac:dyDescent="0.2">
      <c r="A109" s="18" t="s">
        <v>235</v>
      </c>
      <c r="B109" s="18" t="s">
        <v>18</v>
      </c>
      <c r="C109" s="18" t="s">
        <v>62</v>
      </c>
      <c r="D109" s="18" t="s">
        <v>33</v>
      </c>
      <c r="E109" s="18" t="s">
        <v>685</v>
      </c>
      <c r="F109" s="19">
        <v>46304.778425925899</v>
      </c>
      <c r="G109" s="18" t="s">
        <v>21</v>
      </c>
      <c r="H109" s="18" t="s">
        <v>3353</v>
      </c>
      <c r="I109" s="18">
        <v>360</v>
      </c>
      <c r="J109" s="18" t="s">
        <v>22</v>
      </c>
      <c r="K109" s="18" t="s">
        <v>23</v>
      </c>
      <c r="L109" s="18">
        <v>868</v>
      </c>
      <c r="M109" s="18" t="s">
        <v>167</v>
      </c>
      <c r="N109" s="19">
        <v>46304.827118055597</v>
      </c>
      <c r="O109" s="18">
        <v>360</v>
      </c>
      <c r="P109" s="18" t="s">
        <v>25</v>
      </c>
      <c r="Q109" s="18">
        <v>190</v>
      </c>
      <c r="R109" s="3" t="str">
        <f>IF(OR(G109="12R",G109="12L"),_xlfn.XLOOKUP(C109,Tabla42[ADEP],Tabla42[SID 12R],""),IF(OR(G109="30L",G109="30R"),_xlfn.XLOOKUP(C109,Tabla42[ADEP],Tabla42[SID 30L],""),""))</f>
        <v>UDGUV</v>
      </c>
      <c r="S109" s="3">
        <f t="shared" si="1"/>
        <v>18</v>
      </c>
      <c r="T109" s="3" t="str">
        <f>_xlfn.XLOOKUP(C109,Tabla42[ADEP],Tabla42[Sector],"")</f>
        <v>Sector 2</v>
      </c>
    </row>
    <row r="110" spans="1:20" x14ac:dyDescent="0.2">
      <c r="A110" s="18" t="s">
        <v>1031</v>
      </c>
      <c r="B110" s="18" t="s">
        <v>18</v>
      </c>
      <c r="C110" s="18" t="s">
        <v>62</v>
      </c>
      <c r="D110" s="18" t="s">
        <v>700</v>
      </c>
      <c r="E110" s="18"/>
      <c r="F110" s="19">
        <v>46304.779652777797</v>
      </c>
      <c r="G110" s="18" t="s">
        <v>21</v>
      </c>
      <c r="H110" s="18" t="s">
        <v>3354</v>
      </c>
      <c r="I110" s="18">
        <v>400</v>
      </c>
      <c r="J110" s="18" t="s">
        <v>22</v>
      </c>
      <c r="K110" s="18" t="s">
        <v>50</v>
      </c>
      <c r="L110" s="18">
        <v>868</v>
      </c>
      <c r="M110" s="18" t="s">
        <v>167</v>
      </c>
      <c r="N110" s="19">
        <v>46304.833541666703</v>
      </c>
      <c r="O110" s="18">
        <v>400</v>
      </c>
      <c r="P110" s="18" t="s">
        <v>25</v>
      </c>
      <c r="Q110" s="18">
        <v>30</v>
      </c>
      <c r="R110" s="3" t="str">
        <f>IF(OR(G110="12R",G110="12L"),_xlfn.XLOOKUP(C110,Tabla42[ADEP],Tabla42[SID 12R],""),IF(OR(G110="30L",G110="30R"),_xlfn.XLOOKUP(C110,Tabla42[ADEP],Tabla42[SID 30L],""),""))</f>
        <v>UDGUV</v>
      </c>
      <c r="S110" s="3">
        <f t="shared" si="1"/>
        <v>18</v>
      </c>
      <c r="T110" s="3" t="str">
        <f>_xlfn.XLOOKUP(C110,Tabla42[ADEP],Tabla42[Sector],"")</f>
        <v>Sector 2</v>
      </c>
    </row>
    <row r="111" spans="1:20" x14ac:dyDescent="0.2">
      <c r="A111" s="18" t="s">
        <v>228</v>
      </c>
      <c r="B111" s="18" t="s">
        <v>18</v>
      </c>
      <c r="C111" s="18" t="s">
        <v>27</v>
      </c>
      <c r="D111" s="18" t="s">
        <v>28</v>
      </c>
      <c r="E111" s="18" t="s">
        <v>1117</v>
      </c>
      <c r="F111" s="19">
        <v>46304.7804398148</v>
      </c>
      <c r="G111" s="18" t="s">
        <v>21</v>
      </c>
      <c r="H111" s="18" t="s">
        <v>3355</v>
      </c>
      <c r="I111" s="18">
        <v>380</v>
      </c>
      <c r="J111" s="18" t="s">
        <v>22</v>
      </c>
      <c r="K111" s="18" t="s">
        <v>23</v>
      </c>
      <c r="L111" s="18">
        <v>448</v>
      </c>
      <c r="M111" s="18" t="s">
        <v>189</v>
      </c>
      <c r="N111" s="19">
        <v>46304.805659722202</v>
      </c>
      <c r="O111" s="18">
        <v>360</v>
      </c>
      <c r="P111" s="18" t="s">
        <v>25</v>
      </c>
      <c r="Q111" s="18">
        <v>40</v>
      </c>
      <c r="R111" s="3" t="str">
        <f>IF(OR(G111="12R",G111="12L"),_xlfn.XLOOKUP(C111,Tabla42[ADEP],Tabla42[SID 12R],""),IF(OR(G111="30L",G111="30R"),_xlfn.XLOOKUP(C111,Tabla42[ADEP],Tabla42[SID 30L],""),""))</f>
        <v>OMSUK</v>
      </c>
      <c r="S111" s="3">
        <f t="shared" si="1"/>
        <v>18</v>
      </c>
      <c r="T111" s="3" t="str">
        <f>_xlfn.XLOOKUP(C111,Tabla42[ADEP],Tabla42[Sector],"")</f>
        <v>Sector 3</v>
      </c>
    </row>
    <row r="112" spans="1:20" x14ac:dyDescent="0.2">
      <c r="A112" s="18" t="s">
        <v>227</v>
      </c>
      <c r="B112" s="18" t="s">
        <v>18</v>
      </c>
      <c r="C112" s="18" t="s">
        <v>133</v>
      </c>
      <c r="D112" s="18" t="s">
        <v>60</v>
      </c>
      <c r="E112" s="18" t="s">
        <v>3356</v>
      </c>
      <c r="F112" s="19">
        <v>46304.781620370399</v>
      </c>
      <c r="G112" s="18" t="s">
        <v>21</v>
      </c>
      <c r="H112" s="18" t="s">
        <v>3357</v>
      </c>
      <c r="I112" s="18">
        <v>330</v>
      </c>
      <c r="J112" s="18" t="s">
        <v>22</v>
      </c>
      <c r="K112" s="18" t="s">
        <v>23</v>
      </c>
      <c r="L112" s="18">
        <v>228</v>
      </c>
      <c r="M112" s="18" t="s">
        <v>355</v>
      </c>
      <c r="N112" s="19">
        <v>46304.795879629601</v>
      </c>
      <c r="O112" s="18">
        <v>219</v>
      </c>
      <c r="P112" s="18" t="s">
        <v>25</v>
      </c>
      <c r="Q112" s="18">
        <v>40</v>
      </c>
      <c r="R112" s="3" t="str">
        <f>IF(OR(G112="12R",G112="12L"),_xlfn.XLOOKUP(C112,Tabla42[ADEP],Tabla42[SID 12R],""),IF(OR(G112="30L",G112="30R"),_xlfn.XLOOKUP(C112,Tabla42[ADEP],Tabla42[SID 30L],""),""))</f>
        <v>OMSUK</v>
      </c>
      <c r="S112" s="3">
        <f t="shared" si="1"/>
        <v>18</v>
      </c>
      <c r="T112" s="3" t="str">
        <f>_xlfn.XLOOKUP(C112,Tabla42[ADEP],Tabla42[Sector],"")</f>
        <v>Sector 3</v>
      </c>
    </row>
    <row r="113" spans="1:20" x14ac:dyDescent="0.2">
      <c r="A113" s="18" t="s">
        <v>384</v>
      </c>
      <c r="B113" s="18" t="s">
        <v>18</v>
      </c>
      <c r="C113" s="18" t="s">
        <v>96</v>
      </c>
      <c r="D113" s="18" t="s">
        <v>53</v>
      </c>
      <c r="E113" s="18" t="s">
        <v>393</v>
      </c>
      <c r="F113" s="19">
        <v>46304.782858796301</v>
      </c>
      <c r="G113" s="18" t="s">
        <v>21</v>
      </c>
      <c r="H113" s="18" t="s">
        <v>3358</v>
      </c>
      <c r="I113" s="18">
        <v>360</v>
      </c>
      <c r="J113" s="18" t="s">
        <v>22</v>
      </c>
      <c r="K113" s="18" t="s">
        <v>141</v>
      </c>
      <c r="L113" s="18">
        <v>859</v>
      </c>
      <c r="M113" s="18" t="s">
        <v>45</v>
      </c>
      <c r="N113" s="19">
        <v>46304.830752314803</v>
      </c>
      <c r="O113" s="18">
        <v>360</v>
      </c>
      <c r="P113" s="18" t="s">
        <v>25</v>
      </c>
      <c r="Q113" s="18">
        <v>190</v>
      </c>
      <c r="R113" s="3" t="str">
        <f>IF(OR(G113="12R",G113="12L"),_xlfn.XLOOKUP(C113,Tabla42[ADEP],Tabla42[SID 12R],""),IF(OR(G113="30L",G113="30R"),_xlfn.XLOOKUP(C113,Tabla42[ADEP],Tabla42[SID 30L],""),""))</f>
        <v>UDGUV</v>
      </c>
      <c r="S113" s="3">
        <f t="shared" si="1"/>
        <v>18</v>
      </c>
      <c r="T113" s="3" t="str">
        <f>_xlfn.XLOOKUP(C113,Tabla42[ADEP],Tabla42[Sector],"")</f>
        <v>Sector 2</v>
      </c>
    </row>
    <row r="114" spans="1:20" x14ac:dyDescent="0.2">
      <c r="A114" s="18" t="s">
        <v>597</v>
      </c>
      <c r="B114" s="18" t="s">
        <v>18</v>
      </c>
      <c r="C114" s="18" t="s">
        <v>598</v>
      </c>
      <c r="D114" s="18" t="s">
        <v>28</v>
      </c>
      <c r="E114" s="18" t="s">
        <v>1238</v>
      </c>
      <c r="F114" s="19">
        <v>46304.7839930556</v>
      </c>
      <c r="G114" s="18" t="s">
        <v>21</v>
      </c>
      <c r="H114" s="18" t="s">
        <v>3359</v>
      </c>
      <c r="I114" s="18">
        <v>380</v>
      </c>
      <c r="J114" s="18" t="s">
        <v>22</v>
      </c>
      <c r="K114" s="18" t="s">
        <v>23</v>
      </c>
      <c r="L114" s="18">
        <v>434</v>
      </c>
      <c r="M114" s="18" t="s">
        <v>189</v>
      </c>
      <c r="N114" s="19">
        <v>46304.807812500003</v>
      </c>
      <c r="O114" s="18">
        <v>340</v>
      </c>
      <c r="P114" s="18" t="s">
        <v>25</v>
      </c>
      <c r="Q114" s="18">
        <v>40</v>
      </c>
      <c r="R114" s="3" t="str">
        <f>IF(OR(G114="12R",G114="12L"),_xlfn.XLOOKUP(C114,Tabla42[ADEP],Tabla42[SID 12R],""),IF(OR(G114="30L",G114="30R"),_xlfn.XLOOKUP(C114,Tabla42[ADEP],Tabla42[SID 30L],""),""))</f>
        <v>OMSUK</v>
      </c>
      <c r="S114" s="3">
        <f t="shared" si="1"/>
        <v>18</v>
      </c>
      <c r="T114" s="3" t="str">
        <f>_xlfn.XLOOKUP(C114,Tabla42[ADEP],Tabla42[Sector],"")</f>
        <v>Sector 3</v>
      </c>
    </row>
    <row r="115" spans="1:20" x14ac:dyDescent="0.2">
      <c r="A115" s="18" t="s">
        <v>238</v>
      </c>
      <c r="B115" s="18" t="s">
        <v>18</v>
      </c>
      <c r="C115" s="18" t="s">
        <v>239</v>
      </c>
      <c r="D115" s="18" t="s">
        <v>20</v>
      </c>
      <c r="E115" s="18" t="s">
        <v>1010</v>
      </c>
      <c r="F115" s="19">
        <v>46304.789745370399</v>
      </c>
      <c r="G115" s="18" t="s">
        <v>21</v>
      </c>
      <c r="H115" s="18" t="s">
        <v>3360</v>
      </c>
      <c r="I115" s="18">
        <v>340</v>
      </c>
      <c r="J115" s="18" t="s">
        <v>22</v>
      </c>
      <c r="K115" s="18" t="s">
        <v>23</v>
      </c>
      <c r="L115" s="18">
        <v>868</v>
      </c>
      <c r="M115" s="18" t="s">
        <v>35</v>
      </c>
      <c r="N115" s="19">
        <v>46304.840034722198</v>
      </c>
      <c r="O115" s="18">
        <v>340</v>
      </c>
      <c r="P115" s="18" t="s">
        <v>25</v>
      </c>
      <c r="Q115" s="18">
        <v>190</v>
      </c>
      <c r="R115" s="3" t="str">
        <f>IF(OR(G115="12R",G115="12L"),_xlfn.XLOOKUP(C115,Tabla42[ADEP],Tabla42[SID 12R],""),IF(OR(G115="30L",G115="30R"),_xlfn.XLOOKUP(C115,Tabla42[ADEP],Tabla42[SID 30L],""),""))</f>
        <v>UDGUV</v>
      </c>
      <c r="S115" s="3">
        <f t="shared" si="1"/>
        <v>18</v>
      </c>
      <c r="T115" s="3" t="str">
        <f>_xlfn.XLOOKUP(C115,Tabla42[ADEP],Tabla42[Sector],"")</f>
        <v>Sector 2</v>
      </c>
    </row>
    <row r="116" spans="1:20" x14ac:dyDescent="0.2">
      <c r="A116" s="18" t="s">
        <v>211</v>
      </c>
      <c r="B116" s="18" t="s">
        <v>18</v>
      </c>
      <c r="C116" s="18" t="s">
        <v>212</v>
      </c>
      <c r="D116" s="18" t="s">
        <v>53</v>
      </c>
      <c r="E116" s="18" t="s">
        <v>2769</v>
      </c>
      <c r="F116" s="19">
        <v>46304.790648148097</v>
      </c>
      <c r="G116" s="18" t="s">
        <v>21</v>
      </c>
      <c r="H116" s="18" t="s">
        <v>3361</v>
      </c>
      <c r="I116" s="18">
        <v>390</v>
      </c>
      <c r="J116" s="18" t="s">
        <v>22</v>
      </c>
      <c r="K116" s="18" t="s">
        <v>23</v>
      </c>
      <c r="L116" s="18">
        <v>151</v>
      </c>
      <c r="M116" s="18" t="s">
        <v>111</v>
      </c>
      <c r="N116" s="19">
        <v>46304.800219907404</v>
      </c>
      <c r="O116" s="18">
        <v>258</v>
      </c>
      <c r="P116" s="18" t="s">
        <v>25</v>
      </c>
      <c r="Q116" s="18">
        <v>190</v>
      </c>
      <c r="R116" s="3" t="str">
        <f>IF(OR(G116="12R",G116="12L"),_xlfn.XLOOKUP(C116,Tabla42[ADEP],Tabla42[SID 12R],""),IF(OR(G116="30L",G116="30R"),_xlfn.XLOOKUP(C116,Tabla42[ADEP],Tabla42[SID 30L],""),""))</f>
        <v>TAKUX</v>
      </c>
      <c r="S116" s="3">
        <f t="shared" si="1"/>
        <v>18</v>
      </c>
      <c r="T116" s="3" t="str">
        <f>_xlfn.XLOOKUP(C116,Tabla42[ADEP],Tabla42[Sector],"")</f>
        <v>Sector 7</v>
      </c>
    </row>
    <row r="117" spans="1:20" x14ac:dyDescent="0.2">
      <c r="A117" s="18" t="s">
        <v>213</v>
      </c>
      <c r="B117" s="18" t="s">
        <v>18</v>
      </c>
      <c r="C117" s="18" t="s">
        <v>19</v>
      </c>
      <c r="D117" s="18" t="s">
        <v>20</v>
      </c>
      <c r="E117" s="18" t="s">
        <v>2566</v>
      </c>
      <c r="F117" s="19">
        <v>46304.793310185203</v>
      </c>
      <c r="G117" s="18" t="s">
        <v>21</v>
      </c>
      <c r="H117" s="18" t="s">
        <v>3362</v>
      </c>
      <c r="I117" s="18">
        <v>340</v>
      </c>
      <c r="J117" s="18" t="s">
        <v>22</v>
      </c>
      <c r="K117" s="18" t="s">
        <v>23</v>
      </c>
      <c r="L117" s="18">
        <v>860</v>
      </c>
      <c r="M117" s="18" t="s">
        <v>24</v>
      </c>
      <c r="N117" s="19">
        <v>46304.841539351903</v>
      </c>
      <c r="O117" s="18">
        <v>340</v>
      </c>
      <c r="P117" s="18" t="s">
        <v>25</v>
      </c>
      <c r="Q117" s="18">
        <v>190</v>
      </c>
      <c r="R117" s="3" t="str">
        <f>IF(OR(G117="12R",G117="12L"),_xlfn.XLOOKUP(C117,Tabla42[ADEP],Tabla42[SID 12R],""),IF(OR(G117="30L",G117="30R"),_xlfn.XLOOKUP(C117,Tabla42[ADEP],Tabla42[SID 30L],""),""))</f>
        <v>UDGUV</v>
      </c>
      <c r="S117" s="3">
        <f t="shared" si="1"/>
        <v>19</v>
      </c>
      <c r="T117" s="3" t="str">
        <f>_xlfn.XLOOKUP(C117,Tabla42[ADEP],Tabla42[Sector],"")</f>
        <v>Sector 2</v>
      </c>
    </row>
    <row r="118" spans="1:20" x14ac:dyDescent="0.2">
      <c r="A118" s="18" t="s">
        <v>284</v>
      </c>
      <c r="B118" s="18" t="s">
        <v>18</v>
      </c>
      <c r="C118" s="18" t="s">
        <v>137</v>
      </c>
      <c r="D118" s="18" t="s">
        <v>60</v>
      </c>
      <c r="E118" s="18" t="s">
        <v>3363</v>
      </c>
      <c r="F118" s="19">
        <v>46304.794340277796</v>
      </c>
      <c r="G118" s="18" t="s">
        <v>21</v>
      </c>
      <c r="H118" s="18" t="s">
        <v>386</v>
      </c>
      <c r="I118" s="18">
        <v>350</v>
      </c>
      <c r="J118" s="18" t="s">
        <v>22</v>
      </c>
      <c r="K118" s="18" t="s">
        <v>23</v>
      </c>
      <c r="L118" s="18">
        <v>136</v>
      </c>
      <c r="M118" s="18" t="s">
        <v>39</v>
      </c>
      <c r="N118" s="19">
        <v>46304.803576388898</v>
      </c>
      <c r="O118" s="18">
        <v>256</v>
      </c>
      <c r="P118" s="18" t="s">
        <v>25</v>
      </c>
      <c r="Q118" s="18">
        <v>190</v>
      </c>
      <c r="R118" s="3" t="str">
        <f>IF(OR(G118="12R",G118="12L"),_xlfn.XLOOKUP(C118,Tabla42[ADEP],Tabla42[SID 12R],""),IF(OR(G118="30L",G118="30R"),_xlfn.XLOOKUP(C118,Tabla42[ADEP],Tabla42[SID 30L],""),""))</f>
        <v>NUDAL</v>
      </c>
      <c r="S118" s="3">
        <f t="shared" si="1"/>
        <v>19</v>
      </c>
      <c r="T118" s="3" t="str">
        <f>_xlfn.XLOOKUP(C118,Tabla42[ADEP],Tabla42[Sector],"")</f>
        <v>Sector 3</v>
      </c>
    </row>
    <row r="119" spans="1:20" x14ac:dyDescent="0.2">
      <c r="A119" s="18" t="s">
        <v>216</v>
      </c>
      <c r="B119" s="18" t="s">
        <v>18</v>
      </c>
      <c r="C119" s="18" t="s">
        <v>32</v>
      </c>
      <c r="D119" s="18" t="s">
        <v>20</v>
      </c>
      <c r="E119" s="18" t="s">
        <v>169</v>
      </c>
      <c r="F119" s="19">
        <v>46304.795543981498</v>
      </c>
      <c r="G119" s="18" t="s">
        <v>21</v>
      </c>
      <c r="H119" s="18" t="s">
        <v>3364</v>
      </c>
      <c r="I119" s="18">
        <v>360</v>
      </c>
      <c r="J119" s="18" t="s">
        <v>22</v>
      </c>
      <c r="K119" s="18" t="s">
        <v>23</v>
      </c>
      <c r="L119" s="18">
        <v>869</v>
      </c>
      <c r="M119" s="18" t="s">
        <v>35</v>
      </c>
      <c r="N119" s="19">
        <v>46304.844375000001</v>
      </c>
      <c r="O119" s="18">
        <v>360</v>
      </c>
      <c r="P119" s="18" t="s">
        <v>25</v>
      </c>
      <c r="Q119" s="18">
        <v>190</v>
      </c>
      <c r="R119" s="3" t="str">
        <f>IF(OR(G119="12R",G119="12L"),_xlfn.XLOOKUP(C119,Tabla42[ADEP],Tabla42[SID 12R],""),IF(OR(G119="30L",G119="30R"),_xlfn.XLOOKUP(C119,Tabla42[ADEP],Tabla42[SID 30L],""),""))</f>
        <v>UDGUV</v>
      </c>
      <c r="S119" s="3">
        <f t="shared" si="1"/>
        <v>19</v>
      </c>
      <c r="T119" s="3" t="str">
        <f>_xlfn.XLOOKUP(C119,Tabla42[ADEP],Tabla42[Sector],"")</f>
        <v>Sector 2</v>
      </c>
    </row>
    <row r="120" spans="1:20" x14ac:dyDescent="0.2">
      <c r="A120" s="18" t="s">
        <v>270</v>
      </c>
      <c r="B120" s="18" t="s">
        <v>18</v>
      </c>
      <c r="C120" s="18" t="s">
        <v>93</v>
      </c>
      <c r="D120" s="18" t="s">
        <v>53</v>
      </c>
      <c r="E120" s="18" t="s">
        <v>106</v>
      </c>
      <c r="F120" s="19">
        <v>46304.796863425901</v>
      </c>
      <c r="G120" s="18" t="s">
        <v>21</v>
      </c>
      <c r="H120" s="18" t="s">
        <v>375</v>
      </c>
      <c r="I120" s="18">
        <v>340</v>
      </c>
      <c r="J120" s="18" t="s">
        <v>22</v>
      </c>
      <c r="K120" s="18" t="s">
        <v>23</v>
      </c>
      <c r="L120" s="18">
        <v>876</v>
      </c>
      <c r="M120" s="18" t="s">
        <v>94</v>
      </c>
      <c r="N120" s="19">
        <v>46304.844004629602</v>
      </c>
      <c r="O120" s="18">
        <v>208</v>
      </c>
      <c r="P120" s="18" t="s">
        <v>25</v>
      </c>
      <c r="Q120" s="18">
        <v>190</v>
      </c>
      <c r="R120" s="3" t="str">
        <f>IF(OR(G120="12R",G120="12L"),_xlfn.XLOOKUP(C120,Tabla42[ADEP],Tabla42[SID 12R],""),IF(OR(G120="30L",G120="30R"),_xlfn.XLOOKUP(C120,Tabla42[ADEP],Tabla42[SID 30L],""),""))</f>
        <v>UDGUV</v>
      </c>
      <c r="S120" s="3">
        <f t="shared" si="1"/>
        <v>19</v>
      </c>
      <c r="T120" s="3" t="str">
        <f>_xlfn.XLOOKUP(C120,Tabla42[ADEP],Tabla42[Sector],"")</f>
        <v>Sector 2</v>
      </c>
    </row>
    <row r="121" spans="1:20" x14ac:dyDescent="0.2">
      <c r="A121" s="18" t="s">
        <v>229</v>
      </c>
      <c r="B121" s="18" t="s">
        <v>18</v>
      </c>
      <c r="C121" s="18" t="s">
        <v>230</v>
      </c>
      <c r="D121" s="18" t="s">
        <v>231</v>
      </c>
      <c r="E121" s="18" t="s">
        <v>591</v>
      </c>
      <c r="F121" s="19">
        <v>46304.7979976852</v>
      </c>
      <c r="G121" s="18" t="s">
        <v>21</v>
      </c>
      <c r="H121" s="18" t="s">
        <v>3365</v>
      </c>
      <c r="I121" s="18">
        <v>100</v>
      </c>
      <c r="J121" s="18" t="s">
        <v>22</v>
      </c>
      <c r="K121" s="18" t="s">
        <v>23</v>
      </c>
      <c r="L121" s="18">
        <v>341</v>
      </c>
      <c r="M121" s="18" t="s">
        <v>230</v>
      </c>
      <c r="N121" s="19">
        <v>46304.862997685203</v>
      </c>
      <c r="O121" s="18">
        <v>0</v>
      </c>
      <c r="P121" s="18" t="s">
        <v>129</v>
      </c>
      <c r="Q121" s="18">
        <v>40</v>
      </c>
      <c r="R121" s="3" t="str">
        <f>IF(OR(G121="12R",G121="12L"),_xlfn.XLOOKUP(C121,Tabla42[ADEP],Tabla42[SID 12R],""),IF(OR(G121="30L",G121="30R"),_xlfn.XLOOKUP(C121,Tabla42[ADEP],Tabla42[SID 30L],""),""))</f>
        <v>CZM</v>
      </c>
      <c r="S121" s="3">
        <f t="shared" si="1"/>
        <v>19</v>
      </c>
      <c r="T121" s="3" t="str">
        <f>_xlfn.XLOOKUP(C121,Tabla42[ADEP],Tabla42[Sector],"")</f>
        <v>Sector 7</v>
      </c>
    </row>
    <row r="122" spans="1:20" x14ac:dyDescent="0.2">
      <c r="A122" s="18" t="s">
        <v>3094</v>
      </c>
      <c r="B122" s="18" t="s">
        <v>18</v>
      </c>
      <c r="C122" s="18" t="s">
        <v>190</v>
      </c>
      <c r="D122" s="18" t="s">
        <v>33</v>
      </c>
      <c r="E122" s="18" t="s">
        <v>3366</v>
      </c>
      <c r="F122" s="19">
        <v>46304.799282407403</v>
      </c>
      <c r="G122" s="18" t="s">
        <v>21</v>
      </c>
      <c r="H122" s="18" t="s">
        <v>3367</v>
      </c>
      <c r="I122" s="18">
        <v>350</v>
      </c>
      <c r="J122" s="18" t="s">
        <v>22</v>
      </c>
      <c r="K122" s="18" t="s">
        <v>23</v>
      </c>
      <c r="L122" s="18">
        <v>137</v>
      </c>
      <c r="M122" s="18" t="s">
        <v>68</v>
      </c>
      <c r="N122" s="19">
        <v>46304.808472222197</v>
      </c>
      <c r="O122" s="18">
        <v>275</v>
      </c>
      <c r="P122" s="18" t="s">
        <v>25</v>
      </c>
      <c r="Q122" s="18">
        <v>190</v>
      </c>
      <c r="R122" s="3" t="str">
        <f>IF(OR(G122="12R",G122="12L"),_xlfn.XLOOKUP(C122,Tabla42[ADEP],Tabla42[SID 12R],""),IF(OR(G122="30L",G122="30R"),_xlfn.XLOOKUP(C122,Tabla42[ADEP],Tabla42[SID 30L],""),""))</f>
        <v>NUDAL</v>
      </c>
      <c r="S122" s="3">
        <f t="shared" si="1"/>
        <v>19</v>
      </c>
      <c r="T122" s="3" t="str">
        <f>_xlfn.XLOOKUP(C122,Tabla42[ADEP],Tabla42[Sector],"")</f>
        <v>Sector 3</v>
      </c>
    </row>
    <row r="123" spans="1:20" x14ac:dyDescent="0.2">
      <c r="A123" s="18" t="s">
        <v>285</v>
      </c>
      <c r="B123" s="18" t="s">
        <v>18</v>
      </c>
      <c r="C123" s="18" t="s">
        <v>160</v>
      </c>
      <c r="D123" s="18" t="s">
        <v>53</v>
      </c>
      <c r="E123" s="18" t="s">
        <v>2197</v>
      </c>
      <c r="F123" s="19">
        <v>46304.800532407397</v>
      </c>
      <c r="G123" s="18" t="s">
        <v>21</v>
      </c>
      <c r="H123" s="18" t="s">
        <v>3368</v>
      </c>
      <c r="I123" s="18">
        <v>340</v>
      </c>
      <c r="J123" s="18" t="s">
        <v>22</v>
      </c>
      <c r="K123" s="18" t="s">
        <v>23</v>
      </c>
      <c r="L123" s="18">
        <v>337</v>
      </c>
      <c r="M123" s="18" t="s">
        <v>2433</v>
      </c>
      <c r="N123" s="19">
        <v>46304.8191898148</v>
      </c>
      <c r="O123" s="18">
        <v>340</v>
      </c>
      <c r="P123" s="18" t="s">
        <v>25</v>
      </c>
      <c r="Q123" s="18">
        <v>190</v>
      </c>
      <c r="R123" s="3" t="str">
        <f>IF(OR(G123="12R",G123="12L"),_xlfn.XLOOKUP(C123,Tabla42[ADEP],Tabla42[SID 12R],""),IF(OR(G123="30L",G123="30R"),_xlfn.XLOOKUP(C123,Tabla42[ADEP],Tabla42[SID 30L],""),""))</f>
        <v>CZM</v>
      </c>
      <c r="S123" s="3">
        <f t="shared" si="1"/>
        <v>19</v>
      </c>
      <c r="T123" s="3" t="str">
        <f>_xlfn.XLOOKUP(C123,Tabla42[ADEP],Tabla42[Sector],"")</f>
        <v>Sector 7</v>
      </c>
    </row>
    <row r="124" spans="1:20" x14ac:dyDescent="0.2">
      <c r="A124" s="18" t="s">
        <v>373</v>
      </c>
      <c r="B124" s="18" t="s">
        <v>18</v>
      </c>
      <c r="C124" s="18" t="s">
        <v>32</v>
      </c>
      <c r="D124" s="18" t="s">
        <v>20</v>
      </c>
      <c r="E124" s="18" t="s">
        <v>57</v>
      </c>
      <c r="F124" s="19">
        <v>46304.801817129599</v>
      </c>
      <c r="G124" s="18" t="s">
        <v>21</v>
      </c>
      <c r="H124" s="18" t="s">
        <v>3369</v>
      </c>
      <c r="I124" s="18">
        <v>360</v>
      </c>
      <c r="J124" s="18" t="s">
        <v>22</v>
      </c>
      <c r="K124" s="18" t="s">
        <v>23</v>
      </c>
      <c r="L124" s="18">
        <v>863</v>
      </c>
      <c r="M124" s="18" t="s">
        <v>35</v>
      </c>
      <c r="N124" s="19">
        <v>46304.849930555603</v>
      </c>
      <c r="O124" s="18">
        <v>360</v>
      </c>
      <c r="P124" s="18" t="s">
        <v>25</v>
      </c>
      <c r="Q124" s="18">
        <v>190</v>
      </c>
      <c r="R124" s="3" t="str">
        <f>IF(OR(G124="12R",G124="12L"),_xlfn.XLOOKUP(C124,Tabla42[ADEP],Tabla42[SID 12R],""),IF(OR(G124="30L",G124="30R"),_xlfn.XLOOKUP(C124,Tabla42[ADEP],Tabla42[SID 30L],""),""))</f>
        <v>UDGUV</v>
      </c>
      <c r="S124" s="3">
        <f t="shared" si="1"/>
        <v>19</v>
      </c>
      <c r="T124" s="3" t="str">
        <f>_xlfn.XLOOKUP(C124,Tabla42[ADEP],Tabla42[Sector],"")</f>
        <v>Sector 2</v>
      </c>
    </row>
    <row r="125" spans="1:20" x14ac:dyDescent="0.2">
      <c r="A125" s="18" t="s">
        <v>445</v>
      </c>
      <c r="B125" s="18" t="s">
        <v>18</v>
      </c>
      <c r="C125" s="18" t="s">
        <v>263</v>
      </c>
      <c r="D125" s="18" t="s">
        <v>122</v>
      </c>
      <c r="E125" s="18" t="s">
        <v>3370</v>
      </c>
      <c r="F125" s="19">
        <v>46304.802777777797</v>
      </c>
      <c r="G125" s="18" t="s">
        <v>21</v>
      </c>
      <c r="H125" s="18" t="s">
        <v>3371</v>
      </c>
      <c r="I125" s="18">
        <v>330</v>
      </c>
      <c r="J125" s="18" t="s">
        <v>22</v>
      </c>
      <c r="K125" s="18" t="s">
        <v>23</v>
      </c>
      <c r="L125" s="18">
        <v>137</v>
      </c>
      <c r="M125" s="18" t="s">
        <v>68</v>
      </c>
      <c r="N125" s="19">
        <v>46304.811504629601</v>
      </c>
      <c r="O125" s="18">
        <v>258</v>
      </c>
      <c r="P125" s="18" t="s">
        <v>25</v>
      </c>
      <c r="Q125" s="18">
        <v>190</v>
      </c>
      <c r="R125" s="3" t="str">
        <f>IF(OR(G125="12R",G125="12L"),_xlfn.XLOOKUP(C125,Tabla42[ADEP],Tabla42[SID 12R],""),IF(OR(G125="30L",G125="30R"),_xlfn.XLOOKUP(C125,Tabla42[ADEP],Tabla42[SID 30L],""),""))</f>
        <v>OMSUK</v>
      </c>
      <c r="S125" s="3">
        <f t="shared" si="1"/>
        <v>19</v>
      </c>
      <c r="T125" s="3" t="str">
        <f>_xlfn.XLOOKUP(C125,Tabla42[ADEP],Tabla42[Sector],"")</f>
        <v>Sector 3</v>
      </c>
    </row>
    <row r="126" spans="1:20" x14ac:dyDescent="0.2">
      <c r="A126" s="18" t="s">
        <v>253</v>
      </c>
      <c r="B126" s="18" t="s">
        <v>18</v>
      </c>
      <c r="C126" s="18" t="s">
        <v>254</v>
      </c>
      <c r="D126" s="18" t="s">
        <v>20</v>
      </c>
      <c r="E126" s="18" t="s">
        <v>2209</v>
      </c>
      <c r="F126" s="19">
        <v>46304.804965277799</v>
      </c>
      <c r="G126" s="18" t="s">
        <v>21</v>
      </c>
      <c r="H126" s="18" t="s">
        <v>3372</v>
      </c>
      <c r="I126" s="18">
        <v>340</v>
      </c>
      <c r="J126" s="18" t="s">
        <v>22</v>
      </c>
      <c r="K126" s="18" t="s">
        <v>23</v>
      </c>
      <c r="L126" s="18">
        <v>878</v>
      </c>
      <c r="M126" s="18" t="s">
        <v>35</v>
      </c>
      <c r="N126" s="19">
        <v>46304.854155092602</v>
      </c>
      <c r="O126" s="18">
        <v>340</v>
      </c>
      <c r="P126" s="18" t="s">
        <v>25</v>
      </c>
      <c r="Q126" s="18">
        <v>190</v>
      </c>
      <c r="R126" s="3" t="str">
        <f>IF(OR(G126="12R",G126="12L"),_xlfn.XLOOKUP(C126,Tabla42[ADEP],Tabla42[SID 12R],""),IF(OR(G126="30L",G126="30R"),_xlfn.XLOOKUP(C126,Tabla42[ADEP],Tabla42[SID 30L],""),""))</f>
        <v>UDGUV</v>
      </c>
      <c r="S126" s="3">
        <f t="shared" si="1"/>
        <v>19</v>
      </c>
      <c r="T126" s="3" t="str">
        <f>_xlfn.XLOOKUP(C126,Tabla42[ADEP],Tabla42[Sector],"")</f>
        <v>Sector 2</v>
      </c>
    </row>
    <row r="127" spans="1:20" x14ac:dyDescent="0.2">
      <c r="A127" s="18" t="s">
        <v>600</v>
      </c>
      <c r="B127" s="18" t="s">
        <v>18</v>
      </c>
      <c r="C127" s="18" t="s">
        <v>293</v>
      </c>
      <c r="D127" s="18" t="s">
        <v>20</v>
      </c>
      <c r="E127" s="18" t="s">
        <v>1451</v>
      </c>
      <c r="F127" s="19">
        <v>46304.806122685201</v>
      </c>
      <c r="G127" s="18" t="s">
        <v>21</v>
      </c>
      <c r="H127" s="18" t="s">
        <v>3373</v>
      </c>
      <c r="I127" s="18">
        <v>320</v>
      </c>
      <c r="J127" s="18" t="s">
        <v>22</v>
      </c>
      <c r="K127" s="18" t="s">
        <v>23</v>
      </c>
      <c r="L127" s="18">
        <v>660</v>
      </c>
      <c r="M127" s="18" t="s">
        <v>118</v>
      </c>
      <c r="N127" s="19">
        <v>46304.8417708333</v>
      </c>
      <c r="O127" s="18">
        <v>320</v>
      </c>
      <c r="P127" s="18" t="s">
        <v>25</v>
      </c>
      <c r="Q127" s="18">
        <v>40</v>
      </c>
      <c r="R127" s="3" t="str">
        <f>IF(OR(G127="12R",G127="12L"),_xlfn.XLOOKUP(C127,Tabla42[ADEP],Tabla42[SID 12R],""),IF(OR(G127="30L",G127="30R"),_xlfn.XLOOKUP(C127,Tabla42[ADEP],Tabla42[SID 30L],""),""))</f>
        <v>UDGUV</v>
      </c>
      <c r="S127" s="3">
        <f t="shared" si="1"/>
        <v>19</v>
      </c>
      <c r="T127" s="3" t="str">
        <f>_xlfn.XLOOKUP(C127,Tabla42[ADEP],Tabla42[Sector],"")</f>
        <v>Sector 2</v>
      </c>
    </row>
    <row r="128" spans="1:20" x14ac:dyDescent="0.2">
      <c r="A128" s="18" t="s">
        <v>247</v>
      </c>
      <c r="B128" s="18" t="s">
        <v>18</v>
      </c>
      <c r="C128" s="18" t="s">
        <v>137</v>
      </c>
      <c r="D128" s="18" t="s">
        <v>122</v>
      </c>
      <c r="E128" s="18" t="s">
        <v>2911</v>
      </c>
      <c r="F128" s="19">
        <v>46304.807361111103</v>
      </c>
      <c r="G128" s="18" t="s">
        <v>21</v>
      </c>
      <c r="H128" s="18" t="s">
        <v>386</v>
      </c>
      <c r="I128" s="18">
        <v>370</v>
      </c>
      <c r="J128" s="18" t="s">
        <v>22</v>
      </c>
      <c r="K128" s="18" t="s">
        <v>23</v>
      </c>
      <c r="L128" s="18">
        <v>136</v>
      </c>
      <c r="M128" s="18" t="s">
        <v>39</v>
      </c>
      <c r="N128" s="19">
        <v>46304.816631944399</v>
      </c>
      <c r="O128" s="18">
        <v>264</v>
      </c>
      <c r="P128" s="18" t="s">
        <v>25</v>
      </c>
      <c r="Q128" s="18">
        <v>190</v>
      </c>
      <c r="R128" s="3" t="str">
        <f>IF(OR(G128="12R",G128="12L"),_xlfn.XLOOKUP(C128,Tabla42[ADEP],Tabla42[SID 12R],""),IF(OR(G128="30L",G128="30R"),_xlfn.XLOOKUP(C128,Tabla42[ADEP],Tabla42[SID 30L],""),""))</f>
        <v>NUDAL</v>
      </c>
      <c r="S128" s="3">
        <f t="shared" si="1"/>
        <v>19</v>
      </c>
      <c r="T128" s="3" t="str">
        <f>_xlfn.XLOOKUP(C128,Tabla42[ADEP],Tabla42[Sector],"")</f>
        <v>Sector 3</v>
      </c>
    </row>
    <row r="129" spans="1:20" x14ac:dyDescent="0.2">
      <c r="A129" s="18" t="s">
        <v>240</v>
      </c>
      <c r="B129" s="18" t="s">
        <v>18</v>
      </c>
      <c r="C129" s="18" t="s">
        <v>116</v>
      </c>
      <c r="D129" s="18" t="s">
        <v>117</v>
      </c>
      <c r="E129" s="18" t="s">
        <v>3374</v>
      </c>
      <c r="F129" s="19">
        <v>46304.809699074103</v>
      </c>
      <c r="G129" s="18" t="s">
        <v>21</v>
      </c>
      <c r="H129" s="18" t="s">
        <v>3375</v>
      </c>
      <c r="I129" s="18">
        <v>360</v>
      </c>
      <c r="J129" s="18" t="s">
        <v>22</v>
      </c>
      <c r="K129" s="18" t="s">
        <v>23</v>
      </c>
      <c r="L129" s="18">
        <v>545</v>
      </c>
      <c r="M129" s="18" t="s">
        <v>123</v>
      </c>
      <c r="N129" s="19">
        <v>46304.838784722197</v>
      </c>
      <c r="O129" s="18">
        <v>360</v>
      </c>
      <c r="P129" s="18" t="s">
        <v>25</v>
      </c>
      <c r="Q129" s="18">
        <v>40</v>
      </c>
      <c r="R129" s="3" t="str">
        <f>IF(OR(G129="12R",G129="12L"),_xlfn.XLOOKUP(C129,Tabla42[ADEP],Tabla42[SID 12R],""),IF(OR(G129="30L",G129="30R"),_xlfn.XLOOKUP(C129,Tabla42[ADEP],Tabla42[SID 30L],""),""))</f>
        <v>ENEBA</v>
      </c>
      <c r="S129" s="3">
        <f t="shared" si="1"/>
        <v>19</v>
      </c>
      <c r="T129" s="3" t="str">
        <f>_xlfn.XLOOKUP(C129,Tabla42[ADEP],Tabla42[Sector],"")</f>
        <v>Sector 3</v>
      </c>
    </row>
    <row r="130" spans="1:20" x14ac:dyDescent="0.2">
      <c r="A130" s="18" t="s">
        <v>246</v>
      </c>
      <c r="B130" s="18" t="s">
        <v>18</v>
      </c>
      <c r="C130" s="18" t="s">
        <v>209</v>
      </c>
      <c r="D130" s="18" t="s">
        <v>28</v>
      </c>
      <c r="E130" s="18" t="s">
        <v>2106</v>
      </c>
      <c r="F130" s="19">
        <v>46304.810636574097</v>
      </c>
      <c r="G130" s="18" t="s">
        <v>21</v>
      </c>
      <c r="H130" s="18" t="s">
        <v>3376</v>
      </c>
      <c r="I130" s="18">
        <v>340</v>
      </c>
      <c r="J130" s="18" t="s">
        <v>22</v>
      </c>
      <c r="K130" s="18" t="s">
        <v>23</v>
      </c>
      <c r="L130" s="18">
        <v>545</v>
      </c>
      <c r="M130" s="18" t="s">
        <v>123</v>
      </c>
      <c r="N130" s="19">
        <v>46304.840312499997</v>
      </c>
      <c r="O130" s="18">
        <v>340</v>
      </c>
      <c r="P130" s="18" t="s">
        <v>25</v>
      </c>
      <c r="Q130" s="18">
        <v>40</v>
      </c>
      <c r="R130" s="3" t="str">
        <f>IF(OR(G130="12R",G130="12L"),_xlfn.XLOOKUP(C130,Tabla42[ADEP],Tabla42[SID 12R],""),IF(OR(G130="30L",G130="30R"),_xlfn.XLOOKUP(C130,Tabla42[ADEP],Tabla42[SID 30L],""),""))</f>
        <v>ENEBA</v>
      </c>
      <c r="S130" s="3">
        <f t="shared" si="1"/>
        <v>19</v>
      </c>
      <c r="T130" s="3" t="str">
        <f>_xlfn.XLOOKUP(C130,Tabla42[ADEP],Tabla42[Sector],"")</f>
        <v>Sector 3</v>
      </c>
    </row>
    <row r="131" spans="1:20" x14ac:dyDescent="0.2">
      <c r="A131" s="18" t="s">
        <v>259</v>
      </c>
      <c r="B131" s="18" t="s">
        <v>18</v>
      </c>
      <c r="C131" s="18" t="s">
        <v>32</v>
      </c>
      <c r="D131" s="18" t="s">
        <v>53</v>
      </c>
      <c r="E131" s="18" t="s">
        <v>2807</v>
      </c>
      <c r="F131" s="19">
        <v>46304.8121412037</v>
      </c>
      <c r="G131" s="18" t="s">
        <v>21</v>
      </c>
      <c r="H131" s="18" t="s">
        <v>3377</v>
      </c>
      <c r="I131" s="18">
        <v>380</v>
      </c>
      <c r="J131" s="18" t="s">
        <v>22</v>
      </c>
      <c r="K131" s="18" t="s">
        <v>23</v>
      </c>
      <c r="L131" s="18">
        <v>870</v>
      </c>
      <c r="M131" s="18" t="s">
        <v>35</v>
      </c>
      <c r="N131" s="19">
        <v>46304.861469907402</v>
      </c>
      <c r="O131" s="18">
        <v>380</v>
      </c>
      <c r="P131" s="18" t="s">
        <v>25</v>
      </c>
      <c r="Q131" s="18">
        <v>190</v>
      </c>
      <c r="R131" s="3" t="str">
        <f>IF(OR(G131="12R",G131="12L"),_xlfn.XLOOKUP(C131,Tabla42[ADEP],Tabla42[SID 12R],""),IF(OR(G131="30L",G131="30R"),_xlfn.XLOOKUP(C131,Tabla42[ADEP],Tabla42[SID 30L],""),""))</f>
        <v>UDGUV</v>
      </c>
      <c r="S131" s="3">
        <f t="shared" ref="S131:S194" si="2">HOUR(F131)</f>
        <v>19</v>
      </c>
      <c r="T131" s="3" t="str">
        <f>_xlfn.XLOOKUP(C131,Tabla42[ADEP],Tabla42[Sector],"")</f>
        <v>Sector 2</v>
      </c>
    </row>
    <row r="132" spans="1:20" x14ac:dyDescent="0.2">
      <c r="A132" s="18" t="s">
        <v>387</v>
      </c>
      <c r="B132" s="18" t="s">
        <v>18</v>
      </c>
      <c r="C132" s="18" t="s">
        <v>388</v>
      </c>
      <c r="D132" s="18" t="s">
        <v>60</v>
      </c>
      <c r="E132" s="18" t="s">
        <v>3378</v>
      </c>
      <c r="F132" s="19">
        <v>46304.814710648097</v>
      </c>
      <c r="G132" s="18" t="s">
        <v>21</v>
      </c>
      <c r="H132" s="18" t="s">
        <v>3379</v>
      </c>
      <c r="I132" s="18">
        <v>340</v>
      </c>
      <c r="J132" s="18" t="s">
        <v>22</v>
      </c>
      <c r="K132" s="18" t="s">
        <v>23</v>
      </c>
      <c r="L132" s="18">
        <v>542</v>
      </c>
      <c r="M132" s="18" t="s">
        <v>123</v>
      </c>
      <c r="N132" s="19">
        <v>46304.843553240702</v>
      </c>
      <c r="O132" s="18">
        <v>300</v>
      </c>
      <c r="P132" s="18" t="s">
        <v>25</v>
      </c>
      <c r="Q132" s="18">
        <v>40</v>
      </c>
      <c r="R132" s="3" t="str">
        <f>IF(OR(G132="12R",G132="12L"),_xlfn.XLOOKUP(C132,Tabla42[ADEP],Tabla42[SID 12R],""),IF(OR(G132="30L",G132="30R"),_xlfn.XLOOKUP(C132,Tabla42[ADEP],Tabla42[SID 30L],""),""))</f>
        <v>ENEBA</v>
      </c>
      <c r="S132" s="3">
        <f t="shared" si="2"/>
        <v>19</v>
      </c>
      <c r="T132" s="3" t="str">
        <f>_xlfn.XLOOKUP(C132,Tabla42[ADEP],Tabla42[Sector],"")</f>
        <v>Sector 3</v>
      </c>
    </row>
    <row r="133" spans="1:20" x14ac:dyDescent="0.2">
      <c r="A133" s="18" t="s">
        <v>251</v>
      </c>
      <c r="B133" s="18" t="s">
        <v>18</v>
      </c>
      <c r="C133" s="18" t="s">
        <v>126</v>
      </c>
      <c r="D133" s="18" t="s">
        <v>60</v>
      </c>
      <c r="E133" s="18" t="s">
        <v>3380</v>
      </c>
      <c r="F133" s="19">
        <v>46304.817060185203</v>
      </c>
      <c r="G133" s="18" t="s">
        <v>21</v>
      </c>
      <c r="H133" s="18" t="s">
        <v>3381</v>
      </c>
      <c r="I133" s="18">
        <v>350</v>
      </c>
      <c r="J133" s="18" t="s">
        <v>22</v>
      </c>
      <c r="K133" s="18" t="s">
        <v>23</v>
      </c>
      <c r="L133" s="18">
        <v>135</v>
      </c>
      <c r="M133" s="18" t="s">
        <v>708</v>
      </c>
      <c r="N133" s="19">
        <v>46304.826261574097</v>
      </c>
      <c r="O133" s="18">
        <v>219</v>
      </c>
      <c r="P133" s="18" t="s">
        <v>25</v>
      </c>
      <c r="Q133" s="18">
        <v>190</v>
      </c>
      <c r="R133" s="3" t="str">
        <f>IF(OR(G133="12R",G133="12L"),_xlfn.XLOOKUP(C133,Tabla42[ADEP],Tabla42[SID 12R],""),IF(OR(G133="30L",G133="30R"),_xlfn.XLOOKUP(C133,Tabla42[ADEP],Tabla42[SID 30L],""),""))</f>
        <v>ENEBA</v>
      </c>
      <c r="S133" s="3">
        <f t="shared" si="2"/>
        <v>19</v>
      </c>
      <c r="T133" s="3" t="str">
        <f>_xlfn.XLOOKUP(C133,Tabla42[ADEP],Tabla42[Sector],"")</f>
        <v>Sector 3</v>
      </c>
    </row>
    <row r="134" spans="1:20" x14ac:dyDescent="0.2">
      <c r="A134" s="18" t="s">
        <v>268</v>
      </c>
      <c r="B134" s="18" t="s">
        <v>18</v>
      </c>
      <c r="C134" s="18" t="s">
        <v>42</v>
      </c>
      <c r="D134" s="18" t="s">
        <v>43</v>
      </c>
      <c r="E134" s="18" t="s">
        <v>527</v>
      </c>
      <c r="F134" s="19">
        <v>46304.818564814799</v>
      </c>
      <c r="G134" s="18" t="s">
        <v>21</v>
      </c>
      <c r="H134" s="18" t="s">
        <v>3382</v>
      </c>
      <c r="I134" s="18">
        <v>340</v>
      </c>
      <c r="J134" s="18" t="s">
        <v>22</v>
      </c>
      <c r="K134" s="18" t="s">
        <v>23</v>
      </c>
      <c r="L134" s="18">
        <v>859</v>
      </c>
      <c r="M134" s="18" t="s">
        <v>45</v>
      </c>
      <c r="N134" s="19">
        <v>46304.866701388899</v>
      </c>
      <c r="O134" s="18">
        <v>340</v>
      </c>
      <c r="P134" s="18" t="s">
        <v>25</v>
      </c>
      <c r="Q134" s="18">
        <v>190</v>
      </c>
      <c r="R134" s="3" t="str">
        <f>IF(OR(G134="12R",G134="12L"),_xlfn.XLOOKUP(C134,Tabla42[ADEP],Tabla42[SID 12R],""),IF(OR(G134="30L",G134="30R"),_xlfn.XLOOKUP(C134,Tabla42[ADEP],Tabla42[SID 30L],""),""))</f>
        <v>UDGUV</v>
      </c>
      <c r="S134" s="3">
        <f t="shared" si="2"/>
        <v>19</v>
      </c>
      <c r="T134" s="3" t="str">
        <f>_xlfn.XLOOKUP(C134,Tabla42[ADEP],Tabla42[Sector],"")</f>
        <v>Sector 2</v>
      </c>
    </row>
    <row r="135" spans="1:20" x14ac:dyDescent="0.2">
      <c r="A135" s="18" t="s">
        <v>304</v>
      </c>
      <c r="B135" s="18" t="s">
        <v>18</v>
      </c>
      <c r="C135" s="18" t="s">
        <v>305</v>
      </c>
      <c r="D135" s="18" t="s">
        <v>33</v>
      </c>
      <c r="E135" s="18" t="s">
        <v>3383</v>
      </c>
      <c r="F135" s="19">
        <v>46304.819722222201</v>
      </c>
      <c r="G135" s="18" t="s">
        <v>21</v>
      </c>
      <c r="H135" s="18" t="s">
        <v>3384</v>
      </c>
      <c r="I135" s="18">
        <v>330</v>
      </c>
      <c r="J135" s="18" t="s">
        <v>22</v>
      </c>
      <c r="K135" s="18" t="s">
        <v>23</v>
      </c>
      <c r="L135" s="18">
        <v>137</v>
      </c>
      <c r="M135" s="18" t="s">
        <v>2960</v>
      </c>
      <c r="N135" s="19">
        <v>46304.828692129602</v>
      </c>
      <c r="O135" s="18">
        <v>221</v>
      </c>
      <c r="P135" s="18" t="s">
        <v>25</v>
      </c>
      <c r="Q135" s="18">
        <v>190</v>
      </c>
      <c r="R135" s="3" t="str">
        <f>IF(OR(G135="12R",G135="12L"),_xlfn.XLOOKUP(C135,Tabla42[ADEP],Tabla42[SID 12R],""),IF(OR(G135="30L",G135="30R"),_xlfn.XLOOKUP(C135,Tabla42[ADEP],Tabla42[SID 30L],""),""))</f>
        <v>OMSUK</v>
      </c>
      <c r="S135" s="3">
        <f t="shared" si="2"/>
        <v>19</v>
      </c>
      <c r="T135" s="3" t="str">
        <f>_xlfn.XLOOKUP(C135,Tabla42[ADEP],Tabla42[Sector],"")</f>
        <v>Sector 3</v>
      </c>
    </row>
    <row r="136" spans="1:20" x14ac:dyDescent="0.2">
      <c r="A136" s="18" t="s">
        <v>389</v>
      </c>
      <c r="B136" s="18" t="s">
        <v>18</v>
      </c>
      <c r="C136" s="18" t="s">
        <v>242</v>
      </c>
      <c r="D136" s="18" t="s">
        <v>243</v>
      </c>
      <c r="E136" s="18" t="s">
        <v>3385</v>
      </c>
      <c r="F136" s="19">
        <v>46304.821458333303</v>
      </c>
      <c r="G136" s="18" t="s">
        <v>21</v>
      </c>
      <c r="H136" s="18" t="s">
        <v>3386</v>
      </c>
      <c r="I136" s="18">
        <v>350</v>
      </c>
      <c r="J136" s="18" t="s">
        <v>22</v>
      </c>
      <c r="K136" s="18" t="s">
        <v>23</v>
      </c>
      <c r="L136" s="18">
        <v>137</v>
      </c>
      <c r="M136" s="18" t="s">
        <v>68</v>
      </c>
      <c r="N136" s="19">
        <v>46304.830324074101</v>
      </c>
      <c r="O136" s="18">
        <v>228</v>
      </c>
      <c r="P136" s="18" t="s">
        <v>40</v>
      </c>
      <c r="Q136" s="18">
        <v>190</v>
      </c>
      <c r="R136" s="3" t="str">
        <f>IF(OR(G136="12R",G136="12L"),_xlfn.XLOOKUP(C136,Tabla42[ADEP],Tabla42[SID 12R],""),IF(OR(G136="30L",G136="30R"),_xlfn.XLOOKUP(C136,Tabla42[ADEP],Tabla42[SID 30L],""),""))</f>
        <v>NUDAL</v>
      </c>
      <c r="S136" s="3">
        <f t="shared" si="2"/>
        <v>19</v>
      </c>
      <c r="T136" s="3" t="str">
        <f>_xlfn.XLOOKUP(C136,Tabla42[ADEP],Tabla42[Sector],"")</f>
        <v>Sector 3</v>
      </c>
    </row>
    <row r="137" spans="1:20" x14ac:dyDescent="0.2">
      <c r="A137" s="18" t="s">
        <v>266</v>
      </c>
      <c r="B137" s="18" t="s">
        <v>18</v>
      </c>
      <c r="C137" s="18" t="s">
        <v>184</v>
      </c>
      <c r="D137" s="18" t="s">
        <v>60</v>
      </c>
      <c r="E137" s="18" t="s">
        <v>3387</v>
      </c>
      <c r="F137" s="19">
        <v>46304.823495370401</v>
      </c>
      <c r="G137" s="18" t="s">
        <v>21</v>
      </c>
      <c r="H137" s="18" t="s">
        <v>3388</v>
      </c>
      <c r="I137" s="18">
        <v>330</v>
      </c>
      <c r="J137" s="18" t="s">
        <v>22</v>
      </c>
      <c r="K137" s="18" t="s">
        <v>23</v>
      </c>
      <c r="L137" s="18">
        <v>136</v>
      </c>
      <c r="M137" s="18" t="s">
        <v>3015</v>
      </c>
      <c r="N137" s="19">
        <v>46304.833090277803</v>
      </c>
      <c r="O137" s="18">
        <v>222</v>
      </c>
      <c r="P137" s="18" t="s">
        <v>25</v>
      </c>
      <c r="Q137" s="18">
        <v>190</v>
      </c>
      <c r="R137" s="3" t="str">
        <f>IF(OR(G137="12R",G137="12L"),_xlfn.XLOOKUP(C137,Tabla42[ADEP],Tabla42[SID 12R],""),IF(OR(G137="30L",G137="30R"),_xlfn.XLOOKUP(C137,Tabla42[ADEP],Tabla42[SID 30L],""),""))</f>
        <v>OMSUK</v>
      </c>
      <c r="S137" s="3">
        <f t="shared" si="2"/>
        <v>19</v>
      </c>
      <c r="T137" s="3" t="str">
        <f>_xlfn.XLOOKUP(C137,Tabla42[ADEP],Tabla42[Sector],"")</f>
        <v>Sector 3</v>
      </c>
    </row>
    <row r="138" spans="1:20" x14ac:dyDescent="0.2">
      <c r="A138" s="18" t="s">
        <v>264</v>
      </c>
      <c r="B138" s="18" t="s">
        <v>18</v>
      </c>
      <c r="C138" s="18" t="s">
        <v>265</v>
      </c>
      <c r="D138" s="18" t="s">
        <v>53</v>
      </c>
      <c r="E138" s="18" t="s">
        <v>70</v>
      </c>
      <c r="F138" s="19">
        <v>46304.824444444399</v>
      </c>
      <c r="G138" s="18" t="s">
        <v>21</v>
      </c>
      <c r="H138" s="18" t="s">
        <v>3389</v>
      </c>
      <c r="I138" s="18">
        <v>360</v>
      </c>
      <c r="J138" s="18" t="s">
        <v>22</v>
      </c>
      <c r="K138" s="18" t="s">
        <v>23</v>
      </c>
      <c r="L138" s="18">
        <v>865</v>
      </c>
      <c r="M138" s="18" t="s">
        <v>77</v>
      </c>
      <c r="N138" s="19">
        <v>46304.872997685197</v>
      </c>
      <c r="O138" s="18">
        <v>360</v>
      </c>
      <c r="P138" s="18" t="s">
        <v>25</v>
      </c>
      <c r="Q138" s="18">
        <v>190</v>
      </c>
      <c r="R138" s="3" t="str">
        <f>IF(OR(G138="12R",G138="12L"),_xlfn.XLOOKUP(C138,Tabla42[ADEP],Tabla42[SID 12R],""),IF(OR(G138="30L",G138="30R"),_xlfn.XLOOKUP(C138,Tabla42[ADEP],Tabla42[SID 30L],""),""))</f>
        <v>UDGUV</v>
      </c>
      <c r="S138" s="3">
        <f t="shared" si="2"/>
        <v>19</v>
      </c>
      <c r="T138" s="3" t="str">
        <f>_xlfn.XLOOKUP(C138,Tabla42[ADEP],Tabla42[Sector],"")</f>
        <v>Sector 2</v>
      </c>
    </row>
    <row r="139" spans="1:20" x14ac:dyDescent="0.2">
      <c r="A139" s="18" t="s">
        <v>2850</v>
      </c>
      <c r="B139" s="18" t="s">
        <v>18</v>
      </c>
      <c r="C139" s="18" t="s">
        <v>65</v>
      </c>
      <c r="D139" s="18" t="s">
        <v>2442</v>
      </c>
      <c r="E139" s="18"/>
      <c r="F139" s="19">
        <v>46304.826261574097</v>
      </c>
      <c r="G139" s="18" t="s">
        <v>21</v>
      </c>
      <c r="H139" s="18" t="s">
        <v>3390</v>
      </c>
      <c r="I139" s="18">
        <v>200</v>
      </c>
      <c r="J139" s="18" t="s">
        <v>22</v>
      </c>
      <c r="K139" s="18" t="s">
        <v>50</v>
      </c>
      <c r="L139" s="18">
        <v>356</v>
      </c>
      <c r="M139" s="18" t="s">
        <v>65</v>
      </c>
      <c r="N139" s="19">
        <v>46304.855219907397</v>
      </c>
      <c r="O139" s="18">
        <v>0</v>
      </c>
      <c r="P139" s="18" t="s">
        <v>129</v>
      </c>
      <c r="Q139" s="18">
        <v>30</v>
      </c>
      <c r="R139" s="3" t="str">
        <f>IF(OR(G139="12R",G139="12L"),_xlfn.XLOOKUP(C139,Tabla42[ADEP],Tabla42[SID 12R],""),IF(OR(G139="30L",G139="30R"),_xlfn.XLOOKUP(C139,Tabla42[ADEP],Tabla42[SID 30L],""),""))</f>
        <v>UDGUV</v>
      </c>
      <c r="S139" s="3">
        <f t="shared" si="2"/>
        <v>19</v>
      </c>
      <c r="T139" s="3" t="str">
        <f>_xlfn.XLOOKUP(C139,Tabla42[ADEP],Tabla42[Sector],"")</f>
        <v>Sector 2</v>
      </c>
    </row>
    <row r="140" spans="1:20" x14ac:dyDescent="0.2">
      <c r="A140" s="18" t="s">
        <v>271</v>
      </c>
      <c r="B140" s="18" t="s">
        <v>18</v>
      </c>
      <c r="C140" s="18" t="s">
        <v>116</v>
      </c>
      <c r="D140" s="18" t="s">
        <v>43</v>
      </c>
      <c r="E140" s="18" t="s">
        <v>782</v>
      </c>
      <c r="F140" s="19">
        <v>46304.828506944403</v>
      </c>
      <c r="G140" s="18" t="s">
        <v>21</v>
      </c>
      <c r="H140" s="18" t="s">
        <v>3391</v>
      </c>
      <c r="I140" s="18">
        <v>360</v>
      </c>
      <c r="J140" s="18" t="s">
        <v>22</v>
      </c>
      <c r="K140" s="18" t="s">
        <v>23</v>
      </c>
      <c r="L140" s="18">
        <v>555</v>
      </c>
      <c r="M140" s="18" t="s">
        <v>123</v>
      </c>
      <c r="N140" s="19">
        <v>46304.859259259298</v>
      </c>
      <c r="O140" s="18">
        <v>360</v>
      </c>
      <c r="P140" s="18" t="s">
        <v>25</v>
      </c>
      <c r="Q140" s="18">
        <v>40</v>
      </c>
      <c r="R140" s="3" t="str">
        <f>IF(OR(G140="12R",G140="12L"),_xlfn.XLOOKUP(C140,Tabla42[ADEP],Tabla42[SID 12R],""),IF(OR(G140="30L",G140="30R"),_xlfn.XLOOKUP(C140,Tabla42[ADEP],Tabla42[SID 30L],""),""))</f>
        <v>ENEBA</v>
      </c>
      <c r="S140" s="3">
        <f t="shared" si="2"/>
        <v>19</v>
      </c>
      <c r="T140" s="3" t="str">
        <f>_xlfn.XLOOKUP(C140,Tabla42[ADEP],Tabla42[Sector],"")</f>
        <v>Sector 3</v>
      </c>
    </row>
    <row r="141" spans="1:20" x14ac:dyDescent="0.2">
      <c r="A141" s="18" t="s">
        <v>744</v>
      </c>
      <c r="B141" s="18" t="s">
        <v>18</v>
      </c>
      <c r="C141" s="18" t="s">
        <v>188</v>
      </c>
      <c r="D141" s="18" t="s">
        <v>122</v>
      </c>
      <c r="E141" s="18" t="s">
        <v>3392</v>
      </c>
      <c r="F141" s="19">
        <v>46304.833611111098</v>
      </c>
      <c r="G141" s="18" t="s">
        <v>21</v>
      </c>
      <c r="H141" s="18" t="s">
        <v>3393</v>
      </c>
      <c r="I141" s="18">
        <v>340</v>
      </c>
      <c r="J141" s="18" t="s">
        <v>22</v>
      </c>
      <c r="K141" s="18" t="s">
        <v>23</v>
      </c>
      <c r="L141" s="18">
        <v>576</v>
      </c>
      <c r="M141" s="18" t="s">
        <v>123</v>
      </c>
      <c r="N141" s="19">
        <v>46304.866087962997</v>
      </c>
      <c r="O141" s="18">
        <v>360</v>
      </c>
      <c r="P141" s="18" t="s">
        <v>25</v>
      </c>
      <c r="Q141" s="18">
        <v>40</v>
      </c>
      <c r="R141" s="3" t="str">
        <f>IF(OR(G141="12R",G141="12L"),_xlfn.XLOOKUP(C141,Tabla42[ADEP],Tabla42[SID 12R],""),IF(OR(G141="30L",G141="30R"),_xlfn.XLOOKUP(C141,Tabla42[ADEP],Tabla42[SID 30L],""),""))</f>
        <v>ENEBA</v>
      </c>
      <c r="S141" s="3">
        <f t="shared" si="2"/>
        <v>20</v>
      </c>
      <c r="T141" s="3" t="str">
        <f>_xlfn.XLOOKUP(C141,Tabla42[ADEP],Tabla42[Sector],"")</f>
        <v>Sector 3</v>
      </c>
    </row>
    <row r="142" spans="1:20" x14ac:dyDescent="0.2">
      <c r="A142" s="18" t="s">
        <v>274</v>
      </c>
      <c r="B142" s="18" t="s">
        <v>18</v>
      </c>
      <c r="C142" s="18" t="s">
        <v>96</v>
      </c>
      <c r="D142" s="18" t="s">
        <v>53</v>
      </c>
      <c r="E142" s="18" t="s">
        <v>3124</v>
      </c>
      <c r="F142" s="19">
        <v>46304.839432870402</v>
      </c>
      <c r="G142" s="18" t="s">
        <v>21</v>
      </c>
      <c r="H142" s="18" t="s">
        <v>3394</v>
      </c>
      <c r="I142" s="18">
        <v>380</v>
      </c>
      <c r="J142" s="18" t="s">
        <v>22</v>
      </c>
      <c r="K142" s="18" t="s">
        <v>23</v>
      </c>
      <c r="L142" s="18">
        <v>858</v>
      </c>
      <c r="M142" s="18" t="s">
        <v>45</v>
      </c>
      <c r="N142" s="19">
        <v>46304.887349536999</v>
      </c>
      <c r="O142" s="18">
        <v>380</v>
      </c>
      <c r="P142" s="18" t="s">
        <v>25</v>
      </c>
      <c r="Q142" s="18">
        <v>190</v>
      </c>
      <c r="R142" s="3" t="str">
        <f>IF(OR(G142="12R",G142="12L"),_xlfn.XLOOKUP(C142,Tabla42[ADEP],Tabla42[SID 12R],""),IF(OR(G142="30L",G142="30R"),_xlfn.XLOOKUP(C142,Tabla42[ADEP],Tabla42[SID 30L],""),""))</f>
        <v>UDGUV</v>
      </c>
      <c r="S142" s="3">
        <f t="shared" si="2"/>
        <v>20</v>
      </c>
      <c r="T142" s="3" t="str">
        <f>_xlfn.XLOOKUP(C142,Tabla42[ADEP],Tabla42[Sector],"")</f>
        <v>Sector 2</v>
      </c>
    </row>
    <row r="143" spans="1:20" x14ac:dyDescent="0.2">
      <c r="A143" s="18" t="s">
        <v>256</v>
      </c>
      <c r="B143" s="18" t="s">
        <v>18</v>
      </c>
      <c r="C143" s="18" t="s">
        <v>257</v>
      </c>
      <c r="D143" s="18" t="s">
        <v>117</v>
      </c>
      <c r="E143" s="18" t="s">
        <v>3395</v>
      </c>
      <c r="F143" s="19">
        <v>46304.842812499999</v>
      </c>
      <c r="G143" s="18" t="s">
        <v>21</v>
      </c>
      <c r="H143" s="18" t="s">
        <v>3396</v>
      </c>
      <c r="I143" s="18">
        <v>300</v>
      </c>
      <c r="J143" s="18" t="s">
        <v>22</v>
      </c>
      <c r="K143" s="18" t="s">
        <v>23</v>
      </c>
      <c r="L143" s="18">
        <v>876</v>
      </c>
      <c r="M143" s="18" t="s">
        <v>35</v>
      </c>
      <c r="N143" s="19">
        <v>46304.888726851903</v>
      </c>
      <c r="O143" s="18">
        <v>300</v>
      </c>
      <c r="P143" s="18" t="s">
        <v>25</v>
      </c>
      <c r="Q143" s="18">
        <v>190</v>
      </c>
      <c r="R143" s="3" t="str">
        <f>IF(OR(G143="12R",G143="12L"),_xlfn.XLOOKUP(C143,Tabla42[ADEP],Tabla42[SID 12R],""),IF(OR(G143="30L",G143="30R"),_xlfn.XLOOKUP(C143,Tabla42[ADEP],Tabla42[SID 30L],""),""))</f>
        <v>UDGUV</v>
      </c>
      <c r="S143" s="3">
        <f t="shared" si="2"/>
        <v>20</v>
      </c>
      <c r="T143" s="3" t="str">
        <f>_xlfn.XLOOKUP(C143,Tabla42[ADEP],Tabla42[Sector],"")</f>
        <v>Sector 2</v>
      </c>
    </row>
    <row r="144" spans="1:20" x14ac:dyDescent="0.2">
      <c r="A144" s="18" t="s">
        <v>745</v>
      </c>
      <c r="B144" s="18" t="s">
        <v>18</v>
      </c>
      <c r="C144" s="18" t="s">
        <v>121</v>
      </c>
      <c r="D144" s="18" t="s">
        <v>122</v>
      </c>
      <c r="E144" s="18" t="s">
        <v>3397</v>
      </c>
      <c r="F144" s="19">
        <v>46304.844502314802</v>
      </c>
      <c r="G144" s="18" t="s">
        <v>21</v>
      </c>
      <c r="H144" s="18" t="s">
        <v>3398</v>
      </c>
      <c r="I144" s="18">
        <v>360</v>
      </c>
      <c r="J144" s="18" t="s">
        <v>22</v>
      </c>
      <c r="K144" s="18" t="s">
        <v>23</v>
      </c>
      <c r="L144" s="18">
        <v>733</v>
      </c>
      <c r="M144" s="18" t="s">
        <v>118</v>
      </c>
      <c r="N144" s="19">
        <v>46304.885254629597</v>
      </c>
      <c r="O144" s="18">
        <v>360</v>
      </c>
      <c r="P144" s="18" t="s">
        <v>25</v>
      </c>
      <c r="Q144" s="18">
        <v>190</v>
      </c>
      <c r="R144" s="3" t="str">
        <f>IF(OR(G144="12R",G144="12L"),_xlfn.XLOOKUP(C144,Tabla42[ADEP],Tabla42[SID 12R],""),IF(OR(G144="30L",G144="30R"),_xlfn.XLOOKUP(C144,Tabla42[ADEP],Tabla42[SID 30L],""),""))</f>
        <v>ENEBA</v>
      </c>
      <c r="S144" s="3">
        <f t="shared" si="2"/>
        <v>20</v>
      </c>
      <c r="T144" s="3" t="str">
        <f>_xlfn.XLOOKUP(C144,Tabla42[ADEP],Tabla42[Sector],"")</f>
        <v>Sector 3</v>
      </c>
    </row>
    <row r="145" spans="1:20" x14ac:dyDescent="0.2">
      <c r="A145" s="18" t="s">
        <v>280</v>
      </c>
      <c r="B145" s="18" t="s">
        <v>18</v>
      </c>
      <c r="C145" s="18" t="s">
        <v>49</v>
      </c>
      <c r="D145" s="18" t="s">
        <v>53</v>
      </c>
      <c r="E145" s="18" t="s">
        <v>3399</v>
      </c>
      <c r="F145" s="19">
        <v>46304.846030092602</v>
      </c>
      <c r="G145" s="18" t="s">
        <v>21</v>
      </c>
      <c r="H145" s="18" t="s">
        <v>3400</v>
      </c>
      <c r="I145" s="18">
        <v>380</v>
      </c>
      <c r="J145" s="18" t="s">
        <v>22</v>
      </c>
      <c r="K145" s="18" t="s">
        <v>23</v>
      </c>
      <c r="L145" s="18">
        <v>864</v>
      </c>
      <c r="M145" s="18" t="s">
        <v>2654</v>
      </c>
      <c r="N145" s="19">
        <v>46304.893831018497</v>
      </c>
      <c r="O145" s="18">
        <v>380</v>
      </c>
      <c r="P145" s="18" t="s">
        <v>25</v>
      </c>
      <c r="Q145" s="18">
        <v>190</v>
      </c>
      <c r="R145" s="3" t="str">
        <f>IF(OR(G145="12R",G145="12L"),_xlfn.XLOOKUP(C145,Tabla42[ADEP],Tabla42[SID 12R],""),IF(OR(G145="30L",G145="30R"),_xlfn.XLOOKUP(C145,Tabla42[ADEP],Tabla42[SID 30L],""),""))</f>
        <v>UDGUV</v>
      </c>
      <c r="S145" s="3">
        <f t="shared" si="2"/>
        <v>20</v>
      </c>
      <c r="T145" s="3" t="str">
        <f>_xlfn.XLOOKUP(C145,Tabla42[ADEP],Tabla42[Sector],"")</f>
        <v>Sector 2</v>
      </c>
    </row>
    <row r="146" spans="1:20" x14ac:dyDescent="0.2">
      <c r="A146" s="18" t="s">
        <v>443</v>
      </c>
      <c r="B146" s="18" t="s">
        <v>18</v>
      </c>
      <c r="C146" s="18" t="s">
        <v>444</v>
      </c>
      <c r="D146" s="18" t="s">
        <v>110</v>
      </c>
      <c r="E146" s="18" t="s">
        <v>3401</v>
      </c>
      <c r="F146" s="19">
        <v>46304.847430555601</v>
      </c>
      <c r="G146" s="18" t="s">
        <v>21</v>
      </c>
      <c r="H146" s="18" t="s">
        <v>3402</v>
      </c>
      <c r="I146" s="18">
        <v>400</v>
      </c>
      <c r="J146" s="18" t="s">
        <v>22</v>
      </c>
      <c r="K146" s="18" t="s">
        <v>23</v>
      </c>
      <c r="L146" s="18">
        <v>420</v>
      </c>
      <c r="M146" s="18" t="s">
        <v>189</v>
      </c>
      <c r="N146" s="19">
        <v>46304.870127314804</v>
      </c>
      <c r="O146" s="18">
        <v>400</v>
      </c>
      <c r="P146" s="18" t="s">
        <v>25</v>
      </c>
      <c r="Q146" s="18">
        <v>40</v>
      </c>
      <c r="R146" s="3" t="str">
        <f>IF(OR(G146="12R",G146="12L"),_xlfn.XLOOKUP(C146,Tabla42[ADEP],Tabla42[SID 12R],""),IF(OR(G146="30L",G146="30R"),_xlfn.XLOOKUP(C146,Tabla42[ADEP],Tabla42[SID 30L],""),""))</f>
        <v>ENEBA</v>
      </c>
      <c r="S146" s="3">
        <f t="shared" si="2"/>
        <v>20</v>
      </c>
      <c r="T146" s="3" t="str">
        <f>_xlfn.XLOOKUP(C146,Tabla42[ADEP],Tabla42[Sector],"")</f>
        <v>Sector 3</v>
      </c>
    </row>
    <row r="147" spans="1:20" x14ac:dyDescent="0.2">
      <c r="A147" s="18" t="s">
        <v>461</v>
      </c>
      <c r="B147" s="18" t="s">
        <v>18</v>
      </c>
      <c r="C147" s="18" t="s">
        <v>223</v>
      </c>
      <c r="D147" s="18" t="s">
        <v>122</v>
      </c>
      <c r="E147" s="18" t="s">
        <v>2823</v>
      </c>
      <c r="F147" s="19">
        <v>46304.851192129601</v>
      </c>
      <c r="G147" s="18" t="s">
        <v>21</v>
      </c>
      <c r="H147" s="18" t="s">
        <v>3403</v>
      </c>
      <c r="I147" s="18">
        <v>350</v>
      </c>
      <c r="J147" s="18" t="s">
        <v>22</v>
      </c>
      <c r="K147" s="18" t="s">
        <v>23</v>
      </c>
      <c r="L147" s="18">
        <v>133</v>
      </c>
      <c r="M147" s="18" t="s">
        <v>39</v>
      </c>
      <c r="N147" s="19">
        <v>46304.859606481499</v>
      </c>
      <c r="O147" s="18">
        <v>250</v>
      </c>
      <c r="P147" s="18" t="s">
        <v>25</v>
      </c>
      <c r="Q147" s="18">
        <v>190</v>
      </c>
      <c r="R147" s="3" t="str">
        <f>IF(OR(G147="12R",G147="12L"),_xlfn.XLOOKUP(C147,Tabla42[ADEP],Tabla42[SID 12R],""),IF(OR(G147="30L",G147="30R"),_xlfn.XLOOKUP(C147,Tabla42[ADEP],Tabla42[SID 30L],""),""))</f>
        <v>OMSUK</v>
      </c>
      <c r="S147" s="3">
        <f t="shared" si="2"/>
        <v>20</v>
      </c>
      <c r="T147" s="3" t="str">
        <f>_xlfn.XLOOKUP(C147,Tabla42[ADEP],Tabla42[Sector],"")</f>
        <v>Sector 3</v>
      </c>
    </row>
    <row r="148" spans="1:20" x14ac:dyDescent="0.2">
      <c r="A148" s="18" t="s">
        <v>278</v>
      </c>
      <c r="B148" s="18" t="s">
        <v>18</v>
      </c>
      <c r="C148" s="18" t="s">
        <v>265</v>
      </c>
      <c r="D148" s="18" t="s">
        <v>53</v>
      </c>
      <c r="E148" s="18" t="s">
        <v>519</v>
      </c>
      <c r="F148" s="19">
        <v>46304.852384259299</v>
      </c>
      <c r="G148" s="18" t="s">
        <v>21</v>
      </c>
      <c r="H148" s="18" t="s">
        <v>3404</v>
      </c>
      <c r="I148" s="18">
        <v>380</v>
      </c>
      <c r="J148" s="18" t="s">
        <v>22</v>
      </c>
      <c r="K148" s="18" t="s">
        <v>23</v>
      </c>
      <c r="L148" s="18">
        <v>857</v>
      </c>
      <c r="M148" s="18" t="s">
        <v>414</v>
      </c>
      <c r="N148" s="19">
        <v>46304.901446759301</v>
      </c>
      <c r="O148" s="18">
        <v>380</v>
      </c>
      <c r="P148" s="18" t="s">
        <v>25</v>
      </c>
      <c r="Q148" s="18">
        <v>190</v>
      </c>
      <c r="R148" s="3" t="str">
        <f>IF(OR(G148="12R",G148="12L"),_xlfn.XLOOKUP(C148,Tabla42[ADEP],Tabla42[SID 12R],""),IF(OR(G148="30L",G148="30R"),_xlfn.XLOOKUP(C148,Tabla42[ADEP],Tabla42[SID 30L],""),""))</f>
        <v>UDGUV</v>
      </c>
      <c r="S148" s="3">
        <f t="shared" si="2"/>
        <v>20</v>
      </c>
      <c r="T148" s="3" t="str">
        <f>_xlfn.XLOOKUP(C148,Tabla42[ADEP],Tabla42[Sector],"")</f>
        <v>Sector 2</v>
      </c>
    </row>
    <row r="149" spans="1:20" x14ac:dyDescent="0.2">
      <c r="A149" s="18" t="s">
        <v>1201</v>
      </c>
      <c r="B149" s="18" t="s">
        <v>18</v>
      </c>
      <c r="C149" s="18" t="s">
        <v>592</v>
      </c>
      <c r="D149" s="18" t="s">
        <v>28</v>
      </c>
      <c r="E149" s="18" t="s">
        <v>530</v>
      </c>
      <c r="F149" s="19">
        <v>46304.853576388901</v>
      </c>
      <c r="G149" s="18" t="s">
        <v>21</v>
      </c>
      <c r="H149" s="18" t="s">
        <v>3405</v>
      </c>
      <c r="I149" s="18">
        <v>380</v>
      </c>
      <c r="J149" s="18" t="s">
        <v>22</v>
      </c>
      <c r="K149" s="18" t="s">
        <v>23</v>
      </c>
      <c r="L149" s="18">
        <v>424</v>
      </c>
      <c r="M149" s="18" t="s">
        <v>189</v>
      </c>
      <c r="N149" s="19">
        <v>46304.877094907402</v>
      </c>
      <c r="O149" s="18">
        <v>380</v>
      </c>
      <c r="P149" s="18" t="s">
        <v>25</v>
      </c>
      <c r="Q149" s="18">
        <v>40</v>
      </c>
      <c r="R149" s="3" t="str">
        <f>IF(OR(G149="12R",G149="12L"),_xlfn.XLOOKUP(C149,Tabla42[ADEP],Tabla42[SID 12R],""),IF(OR(G149="30L",G149="30R"),_xlfn.XLOOKUP(C149,Tabla42[ADEP],Tabla42[SID 30L],""),""))</f>
        <v>ENEBA</v>
      </c>
      <c r="S149" s="3">
        <f t="shared" si="2"/>
        <v>20</v>
      </c>
      <c r="T149" s="3" t="str">
        <f>_xlfn.XLOOKUP(C149,Tabla42[ADEP],Tabla42[Sector],"")</f>
        <v>Sector 3</v>
      </c>
    </row>
    <row r="150" spans="1:20" x14ac:dyDescent="0.2">
      <c r="A150" s="18" t="s">
        <v>262</v>
      </c>
      <c r="B150" s="18" t="s">
        <v>18</v>
      </c>
      <c r="C150" s="18" t="s">
        <v>263</v>
      </c>
      <c r="D150" s="18" t="s">
        <v>33</v>
      </c>
      <c r="E150" s="18" t="s">
        <v>3406</v>
      </c>
      <c r="F150" s="19">
        <v>46304.856493055602</v>
      </c>
      <c r="G150" s="18" t="s">
        <v>21</v>
      </c>
      <c r="H150" s="18" t="s">
        <v>3407</v>
      </c>
      <c r="I150" s="18">
        <v>370</v>
      </c>
      <c r="J150" s="18" t="s">
        <v>22</v>
      </c>
      <c r="K150" s="18" t="s">
        <v>23</v>
      </c>
      <c r="L150" s="18">
        <v>133</v>
      </c>
      <c r="M150" s="18" t="s">
        <v>39</v>
      </c>
      <c r="N150" s="19">
        <v>46304.865277777797</v>
      </c>
      <c r="O150" s="18">
        <v>238</v>
      </c>
      <c r="P150" s="18" t="s">
        <v>25</v>
      </c>
      <c r="Q150" s="18">
        <v>190</v>
      </c>
      <c r="R150" s="3" t="str">
        <f>IF(OR(G150="12R",G150="12L"),_xlfn.XLOOKUP(C150,Tabla42[ADEP],Tabla42[SID 12R],""),IF(OR(G150="30L",G150="30R"),_xlfn.XLOOKUP(C150,Tabla42[ADEP],Tabla42[SID 30L],""),""))</f>
        <v>OMSUK</v>
      </c>
      <c r="S150" s="3">
        <f t="shared" si="2"/>
        <v>20</v>
      </c>
      <c r="T150" s="3" t="str">
        <f>_xlfn.XLOOKUP(C150,Tabla42[ADEP],Tabla42[Sector],"")</f>
        <v>Sector 3</v>
      </c>
    </row>
    <row r="151" spans="1:20" x14ac:dyDescent="0.2">
      <c r="A151" s="18" t="s">
        <v>282</v>
      </c>
      <c r="B151" s="18" t="s">
        <v>18</v>
      </c>
      <c r="C151" s="18" t="s">
        <v>42</v>
      </c>
      <c r="D151" s="18" t="s">
        <v>20</v>
      </c>
      <c r="E151" s="18" t="s">
        <v>149</v>
      </c>
      <c r="F151" s="19">
        <v>46304.859398148103</v>
      </c>
      <c r="G151" s="18" t="s">
        <v>21</v>
      </c>
      <c r="H151" s="18" t="s">
        <v>3408</v>
      </c>
      <c r="I151" s="18">
        <v>340</v>
      </c>
      <c r="J151" s="18" t="s">
        <v>22</v>
      </c>
      <c r="K151" s="18" t="s">
        <v>23</v>
      </c>
      <c r="L151" s="18">
        <v>859</v>
      </c>
      <c r="M151" s="18" t="s">
        <v>45</v>
      </c>
      <c r="N151" s="19">
        <v>46304.905740740702</v>
      </c>
      <c r="O151" s="18">
        <v>340</v>
      </c>
      <c r="P151" s="18" t="s">
        <v>25</v>
      </c>
      <c r="Q151" s="18">
        <v>190</v>
      </c>
      <c r="R151" s="3" t="str">
        <f>IF(OR(G151="12R",G151="12L"),_xlfn.XLOOKUP(C151,Tabla42[ADEP],Tabla42[SID 12R],""),IF(OR(G151="30L",G151="30R"),_xlfn.XLOOKUP(C151,Tabla42[ADEP],Tabla42[SID 30L],""),""))</f>
        <v>UDGUV</v>
      </c>
      <c r="S151" s="3">
        <f t="shared" si="2"/>
        <v>20</v>
      </c>
      <c r="T151" s="3" t="str">
        <f>_xlfn.XLOOKUP(C151,Tabla42[ADEP],Tabla42[Sector],"")</f>
        <v>Sector 2</v>
      </c>
    </row>
    <row r="152" spans="1:20" x14ac:dyDescent="0.2">
      <c r="A152" s="18" t="s">
        <v>460</v>
      </c>
      <c r="B152" s="18" t="s">
        <v>18</v>
      </c>
      <c r="C152" s="18" t="s">
        <v>126</v>
      </c>
      <c r="D152" s="18" t="s">
        <v>20</v>
      </c>
      <c r="E152" s="18" t="s">
        <v>3409</v>
      </c>
      <c r="F152" s="19">
        <v>46304.860335648104</v>
      </c>
      <c r="G152" s="18" t="s">
        <v>21</v>
      </c>
      <c r="H152" s="18" t="s">
        <v>3410</v>
      </c>
      <c r="I152" s="18">
        <v>370</v>
      </c>
      <c r="J152" s="18" t="s">
        <v>22</v>
      </c>
      <c r="K152" s="18" t="s">
        <v>23</v>
      </c>
      <c r="L152" s="18">
        <v>136</v>
      </c>
      <c r="M152" s="18" t="s">
        <v>39</v>
      </c>
      <c r="N152" s="19">
        <v>46304.869583333297</v>
      </c>
      <c r="O152" s="18">
        <v>275</v>
      </c>
      <c r="P152" s="18" t="s">
        <v>25</v>
      </c>
      <c r="Q152" s="18">
        <v>190</v>
      </c>
      <c r="R152" s="3" t="str">
        <f>IF(OR(G152="12R",G152="12L"),_xlfn.XLOOKUP(C152,Tabla42[ADEP],Tabla42[SID 12R],""),IF(OR(G152="30L",G152="30R"),_xlfn.XLOOKUP(C152,Tabla42[ADEP],Tabla42[SID 30L],""),""))</f>
        <v>ENEBA</v>
      </c>
      <c r="S152" s="3">
        <f t="shared" si="2"/>
        <v>20</v>
      </c>
      <c r="T152" s="3" t="str">
        <f>_xlfn.XLOOKUP(C152,Tabla42[ADEP],Tabla42[Sector],"")</f>
        <v>Sector 3</v>
      </c>
    </row>
    <row r="153" spans="1:20" x14ac:dyDescent="0.2">
      <c r="A153" s="18" t="s">
        <v>665</v>
      </c>
      <c r="B153" s="18" t="s">
        <v>18</v>
      </c>
      <c r="C153" s="18" t="s">
        <v>206</v>
      </c>
      <c r="D153" s="18" t="s">
        <v>53</v>
      </c>
      <c r="E153" s="18" t="s">
        <v>645</v>
      </c>
      <c r="F153" s="19">
        <v>46304.8609490741</v>
      </c>
      <c r="G153" s="18" t="s">
        <v>21</v>
      </c>
      <c r="H153" s="18" t="s">
        <v>326</v>
      </c>
      <c r="I153" s="18">
        <v>380</v>
      </c>
      <c r="J153" s="18" t="s">
        <v>22</v>
      </c>
      <c r="K153" s="18" t="s">
        <v>23</v>
      </c>
      <c r="L153" s="18">
        <v>859</v>
      </c>
      <c r="M153" s="18" t="s">
        <v>45</v>
      </c>
      <c r="N153" s="19">
        <v>46304.908935185202</v>
      </c>
      <c r="O153" s="18">
        <v>380</v>
      </c>
      <c r="P153" s="18" t="s">
        <v>25</v>
      </c>
      <c r="Q153" s="18">
        <v>190</v>
      </c>
      <c r="R153" s="3" t="str">
        <f>IF(OR(G153="12R",G153="12L"),_xlfn.XLOOKUP(C153,Tabla42[ADEP],Tabla42[SID 12R],""),IF(OR(G153="30L",G153="30R"),_xlfn.XLOOKUP(C153,Tabla42[ADEP],Tabla42[SID 30L],""),""))</f>
        <v>UDGUV</v>
      </c>
      <c r="S153" s="3">
        <f t="shared" si="2"/>
        <v>20</v>
      </c>
      <c r="T153" s="3" t="str">
        <f>_xlfn.XLOOKUP(C153,Tabla42[ADEP],Tabla42[Sector],"")</f>
        <v>Sector 2</v>
      </c>
    </row>
    <row r="154" spans="1:20" x14ac:dyDescent="0.2">
      <c r="A154" s="18" t="s">
        <v>469</v>
      </c>
      <c r="B154" s="18" t="s">
        <v>18</v>
      </c>
      <c r="C154" s="18" t="s">
        <v>42</v>
      </c>
      <c r="D154" s="18" t="s">
        <v>122</v>
      </c>
      <c r="E154" s="18" t="s">
        <v>982</v>
      </c>
      <c r="F154" s="19">
        <v>46304.866296296299</v>
      </c>
      <c r="G154" s="18" t="s">
        <v>21</v>
      </c>
      <c r="H154" s="18" t="s">
        <v>3411</v>
      </c>
      <c r="I154" s="18">
        <v>360</v>
      </c>
      <c r="J154" s="18" t="s">
        <v>22</v>
      </c>
      <c r="K154" s="18" t="s">
        <v>23</v>
      </c>
      <c r="L154" s="18">
        <v>859</v>
      </c>
      <c r="M154" s="18" t="s">
        <v>45</v>
      </c>
      <c r="N154" s="19">
        <v>46304.913877314801</v>
      </c>
      <c r="O154" s="18">
        <v>360</v>
      </c>
      <c r="P154" s="18" t="s">
        <v>25</v>
      </c>
      <c r="Q154" s="18">
        <v>190</v>
      </c>
      <c r="R154" s="3" t="str">
        <f>IF(OR(G154="12R",G154="12L"),_xlfn.XLOOKUP(C154,Tabla42[ADEP],Tabla42[SID 12R],""),IF(OR(G154="30L",G154="30R"),_xlfn.XLOOKUP(C154,Tabla42[ADEP],Tabla42[SID 30L],""),""))</f>
        <v>UDGUV</v>
      </c>
      <c r="S154" s="3">
        <f t="shared" si="2"/>
        <v>20</v>
      </c>
      <c r="T154" s="3" t="str">
        <f>_xlfn.XLOOKUP(C154,Tabla42[ADEP],Tabla42[Sector],"")</f>
        <v>Sector 2</v>
      </c>
    </row>
    <row r="155" spans="1:20" x14ac:dyDescent="0.2">
      <c r="A155" s="18" t="s">
        <v>283</v>
      </c>
      <c r="B155" s="18" t="s">
        <v>18</v>
      </c>
      <c r="C155" s="18" t="s">
        <v>126</v>
      </c>
      <c r="D155" s="18" t="s">
        <v>117</v>
      </c>
      <c r="E155" s="18" t="s">
        <v>3412</v>
      </c>
      <c r="F155" s="19">
        <v>46304.870023148098</v>
      </c>
      <c r="G155" s="18" t="s">
        <v>21</v>
      </c>
      <c r="H155" s="18" t="s">
        <v>3413</v>
      </c>
      <c r="I155" s="18">
        <v>350</v>
      </c>
      <c r="J155" s="18" t="s">
        <v>22</v>
      </c>
      <c r="K155" s="18" t="s">
        <v>23</v>
      </c>
      <c r="L155" s="18">
        <v>136</v>
      </c>
      <c r="M155" s="18" t="s">
        <v>39</v>
      </c>
      <c r="N155" s="19">
        <v>46304.879004629598</v>
      </c>
      <c r="O155" s="18">
        <v>233</v>
      </c>
      <c r="P155" s="18" t="s">
        <v>25</v>
      </c>
      <c r="Q155" s="18">
        <v>190</v>
      </c>
      <c r="R155" s="3" t="str">
        <f>IF(OR(G155="12R",G155="12L"),_xlfn.XLOOKUP(C155,Tabla42[ADEP],Tabla42[SID 12R],""),IF(OR(G155="30L",G155="30R"),_xlfn.XLOOKUP(C155,Tabla42[ADEP],Tabla42[SID 30L],""),""))</f>
        <v>ENEBA</v>
      </c>
      <c r="S155" s="3">
        <f t="shared" si="2"/>
        <v>20</v>
      </c>
      <c r="T155" s="3" t="str">
        <f>_xlfn.XLOOKUP(C155,Tabla42[ADEP],Tabla42[Sector],"")</f>
        <v>Sector 3</v>
      </c>
    </row>
    <row r="156" spans="1:20" x14ac:dyDescent="0.2">
      <c r="A156" s="18" t="s">
        <v>399</v>
      </c>
      <c r="B156" s="18" t="s">
        <v>18</v>
      </c>
      <c r="C156" s="18" t="s">
        <v>400</v>
      </c>
      <c r="D156" s="18" t="s">
        <v>53</v>
      </c>
      <c r="E156" s="18" t="s">
        <v>3414</v>
      </c>
      <c r="F156" s="19">
        <v>46304.875300925902</v>
      </c>
      <c r="G156" s="18" t="s">
        <v>21</v>
      </c>
      <c r="H156" s="18" t="s">
        <v>3415</v>
      </c>
      <c r="I156" s="18">
        <v>380</v>
      </c>
      <c r="J156" s="18" t="s">
        <v>22</v>
      </c>
      <c r="K156" s="18" t="s">
        <v>23</v>
      </c>
      <c r="L156" s="18">
        <v>863</v>
      </c>
      <c r="M156" s="18" t="s">
        <v>3416</v>
      </c>
      <c r="N156" s="19">
        <v>46304.923888888901</v>
      </c>
      <c r="O156" s="18">
        <v>380</v>
      </c>
      <c r="P156" s="18" t="s">
        <v>25</v>
      </c>
      <c r="Q156" s="18">
        <v>190</v>
      </c>
      <c r="R156" s="3" t="str">
        <f>IF(OR(G156="12R",G156="12L"),_xlfn.XLOOKUP(C156,Tabla42[ADEP],Tabla42[SID 12R],""),IF(OR(G156="30L",G156="30R"),_xlfn.XLOOKUP(C156,Tabla42[ADEP],Tabla42[SID 30L],""),""))</f>
        <v>UDGUV</v>
      </c>
      <c r="S156" s="3">
        <f t="shared" si="2"/>
        <v>21</v>
      </c>
      <c r="T156" s="3" t="str">
        <f>_xlfn.XLOOKUP(C156,Tabla42[ADEP],Tabla42[Sector],"")</f>
        <v>Sector 2</v>
      </c>
    </row>
    <row r="157" spans="1:20" x14ac:dyDescent="0.2">
      <c r="A157" s="18" t="s">
        <v>292</v>
      </c>
      <c r="B157" s="18" t="s">
        <v>18</v>
      </c>
      <c r="C157" s="18" t="s">
        <v>293</v>
      </c>
      <c r="D157" s="18" t="s">
        <v>43</v>
      </c>
      <c r="E157" s="18" t="s">
        <v>3417</v>
      </c>
      <c r="F157" s="19">
        <v>46304.876111111102</v>
      </c>
      <c r="G157" s="18" t="s">
        <v>21</v>
      </c>
      <c r="H157" s="18" t="s">
        <v>3418</v>
      </c>
      <c r="I157" s="18">
        <v>320</v>
      </c>
      <c r="J157" s="18" t="s">
        <v>22</v>
      </c>
      <c r="K157" s="18" t="s">
        <v>23</v>
      </c>
      <c r="L157" s="18">
        <v>544</v>
      </c>
      <c r="M157" s="18" t="s">
        <v>123</v>
      </c>
      <c r="N157" s="19">
        <v>46304.905960648102</v>
      </c>
      <c r="O157" s="18">
        <v>320</v>
      </c>
      <c r="P157" s="18" t="s">
        <v>25</v>
      </c>
      <c r="Q157" s="18">
        <v>40</v>
      </c>
      <c r="R157" s="3" t="str">
        <f>IF(OR(G157="12R",G157="12L"),_xlfn.XLOOKUP(C157,Tabla42[ADEP],Tabla42[SID 12R],""),IF(OR(G157="30L",G157="30R"),_xlfn.XLOOKUP(C157,Tabla42[ADEP],Tabla42[SID 30L],""),""))</f>
        <v>UDGUV</v>
      </c>
      <c r="S157" s="3">
        <f t="shared" si="2"/>
        <v>21</v>
      </c>
      <c r="T157" s="3" t="str">
        <f>_xlfn.XLOOKUP(C157,Tabla42[ADEP],Tabla42[Sector],"")</f>
        <v>Sector 2</v>
      </c>
    </row>
    <row r="158" spans="1:20" x14ac:dyDescent="0.2">
      <c r="A158" s="18" t="s">
        <v>294</v>
      </c>
      <c r="B158" s="18" t="s">
        <v>18</v>
      </c>
      <c r="C158" s="18" t="s">
        <v>128</v>
      </c>
      <c r="D158" s="18" t="s">
        <v>43</v>
      </c>
      <c r="E158" s="18" t="s">
        <v>3419</v>
      </c>
      <c r="F158" s="19">
        <v>46304.878796296303</v>
      </c>
      <c r="G158" s="18" t="s">
        <v>21</v>
      </c>
      <c r="H158" s="18" t="s">
        <v>3420</v>
      </c>
      <c r="I158" s="18">
        <v>320</v>
      </c>
      <c r="J158" s="18" t="s">
        <v>22</v>
      </c>
      <c r="K158" s="18" t="s">
        <v>23</v>
      </c>
      <c r="L158" s="18">
        <v>425</v>
      </c>
      <c r="M158" s="18" t="s">
        <v>189</v>
      </c>
      <c r="N158" s="19">
        <v>46304.903101851902</v>
      </c>
      <c r="O158" s="18">
        <v>320</v>
      </c>
      <c r="P158" s="18" t="s">
        <v>25</v>
      </c>
      <c r="Q158" s="18">
        <v>40</v>
      </c>
      <c r="R158" s="3" t="str">
        <f>IF(OR(G158="12R",G158="12L"),_xlfn.XLOOKUP(C158,Tabla42[ADEP],Tabla42[SID 12R],""),IF(OR(G158="30L",G158="30R"),_xlfn.XLOOKUP(C158,Tabla42[ADEP],Tabla42[SID 30L],""),""))</f>
        <v>OMSUK</v>
      </c>
      <c r="S158" s="3">
        <f t="shared" si="2"/>
        <v>21</v>
      </c>
      <c r="T158" s="3" t="str">
        <f>_xlfn.XLOOKUP(C158,Tabla42[ADEP],Tabla42[Sector],"")</f>
        <v>Sector 3</v>
      </c>
    </row>
    <row r="159" spans="1:20" x14ac:dyDescent="0.2">
      <c r="A159" s="18" t="s">
        <v>289</v>
      </c>
      <c r="B159" s="18" t="s">
        <v>18</v>
      </c>
      <c r="C159" s="18" t="s">
        <v>290</v>
      </c>
      <c r="D159" s="18" t="s">
        <v>33</v>
      </c>
      <c r="E159" s="18" t="s">
        <v>3421</v>
      </c>
      <c r="F159" s="19">
        <v>46304.8797569444</v>
      </c>
      <c r="G159" s="18" t="s">
        <v>21</v>
      </c>
      <c r="H159" s="18" t="s">
        <v>3422</v>
      </c>
      <c r="I159" s="18">
        <v>330</v>
      </c>
      <c r="J159" s="18" t="s">
        <v>22</v>
      </c>
      <c r="K159" s="18" t="s">
        <v>23</v>
      </c>
      <c r="L159" s="18">
        <v>217</v>
      </c>
      <c r="M159" s="18" t="s">
        <v>55</v>
      </c>
      <c r="N159" s="19">
        <v>46304.893634259301</v>
      </c>
      <c r="O159" s="18">
        <v>268</v>
      </c>
      <c r="P159" s="18" t="s">
        <v>25</v>
      </c>
      <c r="Q159" s="18">
        <v>190</v>
      </c>
      <c r="R159" s="3" t="str">
        <f>IF(OR(G159="12R",G159="12L"),_xlfn.XLOOKUP(C159,Tabla42[ADEP],Tabla42[SID 12R],""),IF(OR(G159="30L",G159="30R"),_xlfn.XLOOKUP(C159,Tabla42[ADEP],Tabla42[SID 30L],""),""))</f>
        <v>CZM</v>
      </c>
      <c r="S159" s="3">
        <f t="shared" si="2"/>
        <v>21</v>
      </c>
      <c r="T159" s="3" t="str">
        <f>_xlfn.XLOOKUP(C159,Tabla42[ADEP],Tabla42[Sector],"")</f>
        <v>Sector 7</v>
      </c>
    </row>
    <row r="160" spans="1:20" x14ac:dyDescent="0.2">
      <c r="A160" s="18" t="s">
        <v>296</v>
      </c>
      <c r="B160" s="18" t="s">
        <v>18</v>
      </c>
      <c r="C160" s="18" t="s">
        <v>121</v>
      </c>
      <c r="D160" s="18" t="s">
        <v>122</v>
      </c>
      <c r="E160" s="18" t="s">
        <v>3423</v>
      </c>
      <c r="F160" s="19">
        <v>46304.880590277797</v>
      </c>
      <c r="G160" s="18" t="s">
        <v>21</v>
      </c>
      <c r="H160" s="18" t="s">
        <v>3424</v>
      </c>
      <c r="I160" s="18">
        <v>340</v>
      </c>
      <c r="J160" s="18" t="s">
        <v>22</v>
      </c>
      <c r="K160" s="18" t="s">
        <v>23</v>
      </c>
      <c r="L160" s="18">
        <v>610</v>
      </c>
      <c r="M160" s="18" t="s">
        <v>3425</v>
      </c>
      <c r="N160" s="19">
        <v>46304.914004629602</v>
      </c>
      <c r="O160" s="18">
        <v>340</v>
      </c>
      <c r="P160" s="18" t="s">
        <v>25</v>
      </c>
      <c r="Q160" s="18">
        <v>40</v>
      </c>
      <c r="R160" s="3" t="str">
        <f>IF(OR(G160="12R",G160="12L"),_xlfn.XLOOKUP(C160,Tabla42[ADEP],Tabla42[SID 12R],""),IF(OR(G160="30L",G160="30R"),_xlfn.XLOOKUP(C160,Tabla42[ADEP],Tabla42[SID 30L],""),""))</f>
        <v>ENEBA</v>
      </c>
      <c r="S160" s="3">
        <f t="shared" si="2"/>
        <v>21</v>
      </c>
      <c r="T160" s="3" t="str">
        <f>_xlfn.XLOOKUP(C160,Tabla42[ADEP],Tabla42[Sector],"")</f>
        <v>Sector 3</v>
      </c>
    </row>
    <row r="161" spans="1:20" x14ac:dyDescent="0.2">
      <c r="A161" s="18" t="s">
        <v>302</v>
      </c>
      <c r="B161" s="18" t="s">
        <v>18</v>
      </c>
      <c r="C161" s="18" t="s">
        <v>303</v>
      </c>
      <c r="D161" s="18" t="s">
        <v>28</v>
      </c>
      <c r="E161" s="18" t="s">
        <v>3036</v>
      </c>
      <c r="F161" s="19">
        <v>46304.8817361111</v>
      </c>
      <c r="G161" s="18" t="s">
        <v>21</v>
      </c>
      <c r="H161" s="18" t="s">
        <v>3426</v>
      </c>
      <c r="I161" s="18">
        <v>360</v>
      </c>
      <c r="J161" s="18" t="s">
        <v>22</v>
      </c>
      <c r="K161" s="18" t="s">
        <v>23</v>
      </c>
      <c r="L161" s="18">
        <v>452</v>
      </c>
      <c r="M161" s="18" t="s">
        <v>189</v>
      </c>
      <c r="N161" s="19">
        <v>46304.9074652778</v>
      </c>
      <c r="O161" s="18">
        <v>360</v>
      </c>
      <c r="P161" s="18" t="s">
        <v>25</v>
      </c>
      <c r="Q161" s="18">
        <v>40</v>
      </c>
      <c r="R161" s="3" t="str">
        <f>IF(OR(G161="12R",G161="12L"),_xlfn.XLOOKUP(C161,Tabla42[ADEP],Tabla42[SID 12R],""),IF(OR(G161="30L",G161="30R"),_xlfn.XLOOKUP(C161,Tabla42[ADEP],Tabla42[SID 30L],""),""))</f>
        <v>OMSUK</v>
      </c>
      <c r="S161" s="3">
        <f t="shared" si="2"/>
        <v>21</v>
      </c>
      <c r="T161" s="3" t="str">
        <f>_xlfn.XLOOKUP(C161,Tabla42[ADEP],Tabla42[Sector],"")</f>
        <v>Sector 3</v>
      </c>
    </row>
    <row r="162" spans="1:20" x14ac:dyDescent="0.2">
      <c r="A162" s="18" t="s">
        <v>471</v>
      </c>
      <c r="B162" s="18" t="s">
        <v>18</v>
      </c>
      <c r="C162" s="18" t="s">
        <v>19</v>
      </c>
      <c r="D162" s="18" t="s">
        <v>60</v>
      </c>
      <c r="E162" s="18" t="s">
        <v>2648</v>
      </c>
      <c r="F162" s="19">
        <v>46304.882604166698</v>
      </c>
      <c r="G162" s="18" t="s">
        <v>21</v>
      </c>
      <c r="H162" s="18" t="s">
        <v>3427</v>
      </c>
      <c r="I162" s="18">
        <v>340</v>
      </c>
      <c r="J162" s="18" t="s">
        <v>22</v>
      </c>
      <c r="K162" s="18" t="s">
        <v>23</v>
      </c>
      <c r="L162" s="18">
        <v>865</v>
      </c>
      <c r="M162" s="18" t="s">
        <v>676</v>
      </c>
      <c r="N162" s="19">
        <v>46304.929768518501</v>
      </c>
      <c r="O162" s="18">
        <v>340</v>
      </c>
      <c r="P162" s="18" t="s">
        <v>25</v>
      </c>
      <c r="Q162" s="18">
        <v>190</v>
      </c>
      <c r="R162" s="3" t="str">
        <f>IF(OR(G162="12R",G162="12L"),_xlfn.XLOOKUP(C162,Tabla42[ADEP],Tabla42[SID 12R],""),IF(OR(G162="30L",G162="30R"),_xlfn.XLOOKUP(C162,Tabla42[ADEP],Tabla42[SID 30L],""),""))</f>
        <v>UDGUV</v>
      </c>
      <c r="S162" s="3">
        <f t="shared" si="2"/>
        <v>21</v>
      </c>
      <c r="T162" s="3" t="str">
        <f>_xlfn.XLOOKUP(C162,Tabla42[ADEP],Tabla42[Sector],"")</f>
        <v>Sector 2</v>
      </c>
    </row>
    <row r="163" spans="1:20" x14ac:dyDescent="0.2">
      <c r="A163" s="18" t="s">
        <v>765</v>
      </c>
      <c r="B163" s="18" t="s">
        <v>18</v>
      </c>
      <c r="C163" s="18" t="s">
        <v>158</v>
      </c>
      <c r="D163" s="18" t="s">
        <v>60</v>
      </c>
      <c r="E163" s="18" t="s">
        <v>3428</v>
      </c>
      <c r="F163" s="19">
        <v>46304.8855092593</v>
      </c>
      <c r="G163" s="18" t="s">
        <v>21</v>
      </c>
      <c r="H163" s="18" t="s">
        <v>3429</v>
      </c>
      <c r="I163" s="18">
        <v>330</v>
      </c>
      <c r="J163" s="18" t="s">
        <v>22</v>
      </c>
      <c r="K163" s="18" t="s">
        <v>23</v>
      </c>
      <c r="L163" s="18">
        <v>133</v>
      </c>
      <c r="M163" s="18" t="s">
        <v>39</v>
      </c>
      <c r="N163" s="19">
        <v>46304.894502314797</v>
      </c>
      <c r="O163" s="18">
        <v>196</v>
      </c>
      <c r="P163" s="18" t="s">
        <v>25</v>
      </c>
      <c r="Q163" s="18">
        <v>190</v>
      </c>
      <c r="R163" s="3" t="str">
        <f>IF(OR(G163="12R",G163="12L"),_xlfn.XLOOKUP(C163,Tabla42[ADEP],Tabla42[SID 12R],""),IF(OR(G163="30L",G163="30R"),_xlfn.XLOOKUP(C163,Tabla42[ADEP],Tabla42[SID 30L],""),""))</f>
        <v>OMSUK</v>
      </c>
      <c r="S163" s="3">
        <f t="shared" si="2"/>
        <v>21</v>
      </c>
      <c r="T163" s="3" t="str">
        <f>_xlfn.XLOOKUP(C163,Tabla42[ADEP],Tabla42[Sector],"")</f>
        <v>Sector 3</v>
      </c>
    </row>
    <row r="164" spans="1:20" x14ac:dyDescent="0.2">
      <c r="A164" s="18" t="s">
        <v>272</v>
      </c>
      <c r="B164" s="18" t="s">
        <v>18</v>
      </c>
      <c r="C164" s="18" t="s">
        <v>42</v>
      </c>
      <c r="D164" s="18" t="s">
        <v>20</v>
      </c>
      <c r="E164" s="18" t="s">
        <v>3430</v>
      </c>
      <c r="F164" s="19">
        <v>46304.886608796303</v>
      </c>
      <c r="G164" s="18" t="s">
        <v>21</v>
      </c>
      <c r="H164" s="18" t="s">
        <v>3431</v>
      </c>
      <c r="I164" s="18">
        <v>340</v>
      </c>
      <c r="J164" s="18" t="s">
        <v>22</v>
      </c>
      <c r="K164" s="18" t="s">
        <v>23</v>
      </c>
      <c r="L164" s="18">
        <v>857</v>
      </c>
      <c r="M164" s="18" t="s">
        <v>45</v>
      </c>
      <c r="N164" s="19">
        <v>46304.934560185196</v>
      </c>
      <c r="O164" s="18">
        <v>340</v>
      </c>
      <c r="P164" s="18" t="s">
        <v>25</v>
      </c>
      <c r="Q164" s="18">
        <v>190</v>
      </c>
      <c r="R164" s="3" t="str">
        <f>IF(OR(G164="12R",G164="12L"),_xlfn.XLOOKUP(C164,Tabla42[ADEP],Tabla42[SID 12R],""),IF(OR(G164="30L",G164="30R"),_xlfn.XLOOKUP(C164,Tabla42[ADEP],Tabla42[SID 30L],""),""))</f>
        <v>UDGUV</v>
      </c>
      <c r="S164" s="3">
        <f t="shared" si="2"/>
        <v>21</v>
      </c>
      <c r="T164" s="3" t="str">
        <f>_xlfn.XLOOKUP(C164,Tabla42[ADEP],Tabla42[Sector],"")</f>
        <v>Sector 2</v>
      </c>
    </row>
    <row r="165" spans="1:20" x14ac:dyDescent="0.2">
      <c r="A165" s="18" t="s">
        <v>315</v>
      </c>
      <c r="B165" s="18" t="s">
        <v>18</v>
      </c>
      <c r="C165" s="18" t="s">
        <v>96</v>
      </c>
      <c r="D165" s="18" t="s">
        <v>53</v>
      </c>
      <c r="E165" s="18" t="s">
        <v>103</v>
      </c>
      <c r="F165" s="19">
        <v>46304.888090277796</v>
      </c>
      <c r="G165" s="18" t="s">
        <v>21</v>
      </c>
      <c r="H165" s="18" t="s">
        <v>3432</v>
      </c>
      <c r="I165" s="18">
        <v>360</v>
      </c>
      <c r="J165" s="18" t="s">
        <v>22</v>
      </c>
      <c r="K165" s="18" t="s">
        <v>141</v>
      </c>
      <c r="L165" s="18">
        <v>858</v>
      </c>
      <c r="M165" s="18" t="s">
        <v>45</v>
      </c>
      <c r="N165" s="19">
        <v>46304.936458333301</v>
      </c>
      <c r="O165" s="18">
        <v>360</v>
      </c>
      <c r="P165" s="18" t="s">
        <v>25</v>
      </c>
      <c r="Q165" s="18">
        <v>190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s="18" t="s">
        <v>477</v>
      </c>
      <c r="B166" s="18" t="s">
        <v>18</v>
      </c>
      <c r="C166" s="18" t="s">
        <v>478</v>
      </c>
      <c r="D166" s="18" t="s">
        <v>20</v>
      </c>
      <c r="E166" s="18" t="s">
        <v>3433</v>
      </c>
      <c r="F166" s="19">
        <v>46304.890231481499</v>
      </c>
      <c r="G166" s="18" t="s">
        <v>21</v>
      </c>
      <c r="H166" s="18" t="s">
        <v>3434</v>
      </c>
      <c r="I166" s="18">
        <v>300</v>
      </c>
      <c r="J166" s="18" t="s">
        <v>22</v>
      </c>
      <c r="K166" s="18" t="s">
        <v>23</v>
      </c>
      <c r="L166" s="18">
        <v>534</v>
      </c>
      <c r="M166" s="18" t="s">
        <v>123</v>
      </c>
      <c r="N166" s="19">
        <v>46304.918564814798</v>
      </c>
      <c r="O166" s="18">
        <v>300</v>
      </c>
      <c r="P166" s="18" t="s">
        <v>25</v>
      </c>
      <c r="Q166" s="18">
        <v>40</v>
      </c>
      <c r="R166" s="3" t="str">
        <f>IF(OR(G166="12R",G166="12L"),_xlfn.XLOOKUP(C166,Tabla42[ADEP],Tabla42[SID 12R],""),IF(OR(G166="30L",G166="30R"),_xlfn.XLOOKUP(C166,Tabla42[ADEP],Tabla42[SID 30L],""),""))</f>
        <v>ENEBA</v>
      </c>
      <c r="S166" s="3">
        <f t="shared" si="2"/>
        <v>21</v>
      </c>
      <c r="T166" s="3" t="str">
        <f>_xlfn.XLOOKUP(C166,Tabla42[ADEP],Tabla42[Sector],"")</f>
        <v>Sector 3</v>
      </c>
    </row>
    <row r="167" spans="1:20" x14ac:dyDescent="0.2">
      <c r="A167" s="18" t="s">
        <v>314</v>
      </c>
      <c r="B167" s="18" t="s">
        <v>18</v>
      </c>
      <c r="C167" s="18" t="s">
        <v>179</v>
      </c>
      <c r="D167" s="18" t="s">
        <v>53</v>
      </c>
      <c r="E167" s="18" t="s">
        <v>699</v>
      </c>
      <c r="F167" s="19">
        <v>46304.890925925902</v>
      </c>
      <c r="G167" s="18" t="s">
        <v>21</v>
      </c>
      <c r="H167" s="18" t="s">
        <v>3435</v>
      </c>
      <c r="I167" s="18">
        <v>360</v>
      </c>
      <c r="J167" s="18" t="s">
        <v>22</v>
      </c>
      <c r="K167" s="18" t="s">
        <v>23</v>
      </c>
      <c r="L167" s="18">
        <v>877</v>
      </c>
      <c r="M167" s="18" t="s">
        <v>179</v>
      </c>
      <c r="N167" s="19">
        <v>46304.943356481497</v>
      </c>
      <c r="O167" s="18">
        <v>15</v>
      </c>
      <c r="P167" s="18" t="s">
        <v>25</v>
      </c>
      <c r="Q167" s="18">
        <v>190</v>
      </c>
      <c r="R167" s="3" t="str">
        <f>IF(OR(G167="12R",G167="12L"),_xlfn.XLOOKUP(C167,Tabla42[ADEP],Tabla42[SID 12R],""),IF(OR(G167="30L",G167="30R"),_xlfn.XLOOKUP(C167,Tabla42[ADEP],Tabla42[SID 30L],""),""))</f>
        <v>UDGUV</v>
      </c>
      <c r="S167" s="3">
        <f t="shared" si="2"/>
        <v>21</v>
      </c>
      <c r="T167" s="3" t="str">
        <f>_xlfn.XLOOKUP(C167,Tabla42[ADEP],Tabla42[Sector],"")</f>
        <v>Sector 2</v>
      </c>
    </row>
    <row r="168" spans="1:20" x14ac:dyDescent="0.2">
      <c r="A168" s="18" t="s">
        <v>475</v>
      </c>
      <c r="B168" s="18" t="s">
        <v>18</v>
      </c>
      <c r="C168" s="18" t="s">
        <v>293</v>
      </c>
      <c r="D168" s="18" t="s">
        <v>28</v>
      </c>
      <c r="E168" s="18" t="s">
        <v>608</v>
      </c>
      <c r="F168" s="19">
        <v>46304.891724537003</v>
      </c>
      <c r="G168" s="18" t="s">
        <v>21</v>
      </c>
      <c r="H168" s="18" t="s">
        <v>3436</v>
      </c>
      <c r="I168" s="18">
        <v>380</v>
      </c>
      <c r="J168" s="18" t="s">
        <v>22</v>
      </c>
      <c r="K168" s="18" t="s">
        <v>23</v>
      </c>
      <c r="L168" s="18">
        <v>433</v>
      </c>
      <c r="M168" s="18" t="s">
        <v>189</v>
      </c>
      <c r="N168" s="19">
        <v>46304.914884259299</v>
      </c>
      <c r="O168" s="18">
        <v>350</v>
      </c>
      <c r="P168" s="18" t="s">
        <v>25</v>
      </c>
      <c r="Q168" s="18">
        <v>40</v>
      </c>
      <c r="R168" s="3" t="str">
        <f>IF(OR(G168="12R",G168="12L"),_xlfn.XLOOKUP(C168,Tabla42[ADEP],Tabla42[SID 12R],""),IF(OR(G168="30L",G168="30R"),_xlfn.XLOOKUP(C168,Tabla42[ADEP],Tabla42[SID 30L],""),""))</f>
        <v>UDGUV</v>
      </c>
      <c r="S168" s="3">
        <f t="shared" si="2"/>
        <v>21</v>
      </c>
      <c r="T168" s="3" t="str">
        <f>_xlfn.XLOOKUP(C168,Tabla42[ADEP],Tabla42[Sector],"")</f>
        <v>Sector 2</v>
      </c>
    </row>
    <row r="169" spans="1:20" x14ac:dyDescent="0.2">
      <c r="A169" s="18" t="s">
        <v>476</v>
      </c>
      <c r="B169" s="18" t="s">
        <v>18</v>
      </c>
      <c r="C169" s="18" t="s">
        <v>188</v>
      </c>
      <c r="D169" s="18" t="s">
        <v>43</v>
      </c>
      <c r="E169" s="18" t="s">
        <v>2263</v>
      </c>
      <c r="F169" s="19">
        <v>46304.892962963</v>
      </c>
      <c r="G169" s="18" t="s">
        <v>21</v>
      </c>
      <c r="H169" s="18" t="s">
        <v>3437</v>
      </c>
      <c r="I169" s="18">
        <v>300</v>
      </c>
      <c r="J169" s="18" t="s">
        <v>22</v>
      </c>
      <c r="K169" s="18" t="s">
        <v>23</v>
      </c>
      <c r="L169" s="18">
        <v>447</v>
      </c>
      <c r="M169" s="18" t="s">
        <v>189</v>
      </c>
      <c r="N169" s="19">
        <v>46304.9171180556</v>
      </c>
      <c r="O169" s="18">
        <v>300</v>
      </c>
      <c r="P169" s="18" t="s">
        <v>25</v>
      </c>
      <c r="Q169" s="18">
        <v>40</v>
      </c>
      <c r="R169" s="3" t="str">
        <f>IF(OR(G169="12R",G169="12L"),_xlfn.XLOOKUP(C169,Tabla42[ADEP],Tabla42[SID 12R],""),IF(OR(G169="30L",G169="30R"),_xlfn.XLOOKUP(C169,Tabla42[ADEP],Tabla42[SID 30L],""),""))</f>
        <v>ENEBA</v>
      </c>
      <c r="S169" s="3">
        <f t="shared" si="2"/>
        <v>21</v>
      </c>
      <c r="T169" s="3" t="str">
        <f>_xlfn.XLOOKUP(C169,Tabla42[ADEP],Tabla42[Sector],"")</f>
        <v>Sector 3</v>
      </c>
    </row>
    <row r="170" spans="1:20" x14ac:dyDescent="0.2">
      <c r="A170" s="18" t="s">
        <v>308</v>
      </c>
      <c r="B170" s="18" t="s">
        <v>18</v>
      </c>
      <c r="C170" s="18" t="s">
        <v>137</v>
      </c>
      <c r="D170" s="18" t="s">
        <v>122</v>
      </c>
      <c r="E170" s="18" t="s">
        <v>3438</v>
      </c>
      <c r="F170" s="19">
        <v>46304.894583333298</v>
      </c>
      <c r="G170" s="18" t="s">
        <v>21</v>
      </c>
      <c r="H170" s="18" t="s">
        <v>3439</v>
      </c>
      <c r="I170" s="18">
        <v>350</v>
      </c>
      <c r="J170" s="18" t="s">
        <v>22</v>
      </c>
      <c r="K170" s="18" t="s">
        <v>23</v>
      </c>
      <c r="L170" s="18">
        <v>134</v>
      </c>
      <c r="M170" s="18" t="s">
        <v>39</v>
      </c>
      <c r="N170" s="19">
        <v>46304.9038657407</v>
      </c>
      <c r="O170" s="18">
        <v>278</v>
      </c>
      <c r="P170" s="18" t="s">
        <v>25</v>
      </c>
      <c r="Q170" s="18">
        <v>190</v>
      </c>
      <c r="R170" s="3" t="str">
        <f>IF(OR(G170="12R",G170="12L"),_xlfn.XLOOKUP(C170,Tabla42[ADEP],Tabla42[SID 12R],""),IF(OR(G170="30L",G170="30R"),_xlfn.XLOOKUP(C170,Tabla42[ADEP],Tabla42[SID 30L],""),""))</f>
        <v>NUDAL</v>
      </c>
      <c r="S170" s="3">
        <f t="shared" si="2"/>
        <v>21</v>
      </c>
      <c r="T170" s="3" t="str">
        <f>_xlfn.XLOOKUP(C170,Tabla42[ADEP],Tabla42[Sector],"")</f>
        <v>Sector 3</v>
      </c>
    </row>
    <row r="171" spans="1:20" x14ac:dyDescent="0.2">
      <c r="A171" s="18" t="s">
        <v>480</v>
      </c>
      <c r="B171" s="18" t="s">
        <v>18</v>
      </c>
      <c r="C171" s="18" t="s">
        <v>164</v>
      </c>
      <c r="D171" s="18" t="s">
        <v>43</v>
      </c>
      <c r="E171" s="18" t="s">
        <v>2713</v>
      </c>
      <c r="F171" s="19">
        <v>46304.896354166704</v>
      </c>
      <c r="G171" s="18" t="s">
        <v>21</v>
      </c>
      <c r="H171" s="18" t="s">
        <v>3440</v>
      </c>
      <c r="I171" s="18">
        <v>330</v>
      </c>
      <c r="J171" s="18" t="s">
        <v>22</v>
      </c>
      <c r="K171" s="18" t="s">
        <v>23</v>
      </c>
      <c r="L171" s="18">
        <v>136</v>
      </c>
      <c r="M171" s="18" t="s">
        <v>39</v>
      </c>
      <c r="N171" s="19">
        <v>46304.905787037002</v>
      </c>
      <c r="O171" s="18">
        <v>247</v>
      </c>
      <c r="P171" s="18" t="s">
        <v>25</v>
      </c>
      <c r="Q171" s="18">
        <v>190</v>
      </c>
      <c r="R171" s="3" t="str">
        <f>IF(OR(G171="12R",G171="12L"),_xlfn.XLOOKUP(C171,Tabla42[ADEP],Tabla42[SID 12R],""),IF(OR(G171="30L",G171="30R"),_xlfn.XLOOKUP(C171,Tabla42[ADEP],Tabla42[SID 30L],""),""))</f>
        <v>OMSUK</v>
      </c>
      <c r="S171" s="3">
        <f t="shared" si="2"/>
        <v>21</v>
      </c>
      <c r="T171" s="3" t="str">
        <f>_xlfn.XLOOKUP(C171,Tabla42[ADEP],Tabla42[Sector],"")</f>
        <v>Sector 3</v>
      </c>
    </row>
    <row r="172" spans="1:20" x14ac:dyDescent="0.2">
      <c r="A172" s="18" t="s">
        <v>299</v>
      </c>
      <c r="B172" s="18" t="s">
        <v>18</v>
      </c>
      <c r="C172" s="18" t="s">
        <v>300</v>
      </c>
      <c r="D172" s="18" t="s">
        <v>117</v>
      </c>
      <c r="E172" s="18" t="s">
        <v>3441</v>
      </c>
      <c r="F172" s="19">
        <v>46304.898564814801</v>
      </c>
      <c r="G172" s="18" t="s">
        <v>21</v>
      </c>
      <c r="H172" s="18" t="s">
        <v>3442</v>
      </c>
      <c r="I172" s="18">
        <v>320</v>
      </c>
      <c r="J172" s="18" t="s">
        <v>22</v>
      </c>
      <c r="K172" s="18" t="s">
        <v>23</v>
      </c>
      <c r="L172" s="18">
        <v>538</v>
      </c>
      <c r="M172" s="18" t="s">
        <v>123</v>
      </c>
      <c r="N172" s="19">
        <v>46304.927453703698</v>
      </c>
      <c r="O172" s="18">
        <v>320</v>
      </c>
      <c r="P172" s="18" t="s">
        <v>25</v>
      </c>
      <c r="Q172" s="18">
        <v>40</v>
      </c>
      <c r="R172" s="3" t="str">
        <f>IF(OR(G172="12R",G172="12L"),_xlfn.XLOOKUP(C172,Tabla42[ADEP],Tabla42[SID 12R],""),IF(OR(G172="30L",G172="30R"),_xlfn.XLOOKUP(C172,Tabla42[ADEP],Tabla42[SID 30L],""),""))</f>
        <v>OMSUK</v>
      </c>
      <c r="S172" s="3">
        <f t="shared" si="2"/>
        <v>21</v>
      </c>
      <c r="T172" s="3" t="str">
        <f>_xlfn.XLOOKUP(C172,Tabla42[ADEP],Tabla42[Sector],"")</f>
        <v>Sector 3</v>
      </c>
    </row>
    <row r="173" spans="1:20" x14ac:dyDescent="0.2">
      <c r="A173" s="18" t="s">
        <v>3443</v>
      </c>
      <c r="B173" s="18" t="s">
        <v>18</v>
      </c>
      <c r="C173" s="18" t="s">
        <v>47</v>
      </c>
      <c r="D173" s="18" t="s">
        <v>340</v>
      </c>
      <c r="E173" s="18" t="s">
        <v>2310</v>
      </c>
      <c r="F173" s="19">
        <v>46304.899826388901</v>
      </c>
      <c r="G173" s="18" t="s">
        <v>21</v>
      </c>
      <c r="H173" s="18" t="s">
        <v>3444</v>
      </c>
      <c r="I173" s="18">
        <v>390</v>
      </c>
      <c r="J173" s="18" t="s">
        <v>22</v>
      </c>
      <c r="K173" s="18" t="s">
        <v>23</v>
      </c>
      <c r="L173" s="18">
        <v>135</v>
      </c>
      <c r="M173" s="18" t="s">
        <v>39</v>
      </c>
      <c r="N173" s="19">
        <v>46304.909131944398</v>
      </c>
      <c r="O173" s="18">
        <v>232</v>
      </c>
      <c r="P173" s="18" t="s">
        <v>40</v>
      </c>
      <c r="Q173" s="18">
        <v>190</v>
      </c>
      <c r="R173" s="3" t="str">
        <f>IF(OR(G173="12R",G173="12L"),_xlfn.XLOOKUP(C173,Tabla42[ADEP],Tabla42[SID 12R],""),IF(OR(G173="30L",G173="30R"),_xlfn.XLOOKUP(C173,Tabla42[ADEP],Tabla42[SID 30L],""),""))</f>
        <v>NUDAL</v>
      </c>
      <c r="S173" s="3">
        <f t="shared" si="2"/>
        <v>21</v>
      </c>
      <c r="T173" s="3" t="str">
        <f>_xlfn.XLOOKUP(C173,Tabla42[ADEP],Tabla42[Sector],"")</f>
        <v>Sector 3</v>
      </c>
    </row>
    <row r="174" spans="1:20" x14ac:dyDescent="0.2">
      <c r="A174" s="18" t="s">
        <v>309</v>
      </c>
      <c r="B174" s="18" t="s">
        <v>18</v>
      </c>
      <c r="C174" s="18" t="s">
        <v>19</v>
      </c>
      <c r="D174" s="18" t="s">
        <v>53</v>
      </c>
      <c r="E174" s="18" t="s">
        <v>516</v>
      </c>
      <c r="F174" s="19">
        <v>46304.905208333301</v>
      </c>
      <c r="G174" s="18" t="s">
        <v>21</v>
      </c>
      <c r="H174" s="18" t="s">
        <v>3445</v>
      </c>
      <c r="I174" s="18">
        <v>380</v>
      </c>
      <c r="J174" s="18" t="s">
        <v>22</v>
      </c>
      <c r="K174" s="18" t="s">
        <v>23</v>
      </c>
      <c r="L174" s="18">
        <v>882</v>
      </c>
      <c r="M174" s="18" t="s">
        <v>24</v>
      </c>
      <c r="N174" s="19">
        <v>46304.953587962998</v>
      </c>
      <c r="O174" s="18">
        <v>380</v>
      </c>
      <c r="P174" s="18" t="s">
        <v>25</v>
      </c>
      <c r="Q174" s="18">
        <v>190</v>
      </c>
      <c r="R174" s="3" t="str">
        <f>IF(OR(G174="12R",G174="12L"),_xlfn.XLOOKUP(C174,Tabla42[ADEP],Tabla42[SID 12R],""),IF(OR(G174="30L",G174="30R"),_xlfn.XLOOKUP(C174,Tabla42[ADEP],Tabla42[SID 30L],""),""))</f>
        <v>UDGUV</v>
      </c>
      <c r="S174" s="3">
        <f t="shared" si="2"/>
        <v>21</v>
      </c>
      <c r="T174" s="3" t="str">
        <f>_xlfn.XLOOKUP(C174,Tabla42[ADEP],Tabla42[Sector],"")</f>
        <v>Sector 2</v>
      </c>
    </row>
    <row r="175" spans="1:20" x14ac:dyDescent="0.2">
      <c r="A175" s="18" t="s">
        <v>542</v>
      </c>
      <c r="B175" s="18" t="s">
        <v>18</v>
      </c>
      <c r="C175" s="18" t="s">
        <v>32</v>
      </c>
      <c r="D175" s="18" t="s">
        <v>33</v>
      </c>
      <c r="E175" s="18" t="s">
        <v>639</v>
      </c>
      <c r="F175" s="19">
        <v>46304.909212963001</v>
      </c>
      <c r="G175" s="18" t="s">
        <v>21</v>
      </c>
      <c r="H175" s="18" t="s">
        <v>3446</v>
      </c>
      <c r="I175" s="18">
        <v>360</v>
      </c>
      <c r="J175" s="18" t="s">
        <v>22</v>
      </c>
      <c r="K175" s="18" t="s">
        <v>23</v>
      </c>
      <c r="L175" s="18">
        <v>872</v>
      </c>
      <c r="M175" s="18" t="s">
        <v>35</v>
      </c>
      <c r="N175" s="19">
        <v>46304.957546296297</v>
      </c>
      <c r="O175" s="18">
        <v>360</v>
      </c>
      <c r="P175" s="18" t="s">
        <v>25</v>
      </c>
      <c r="Q175" s="18">
        <v>190</v>
      </c>
      <c r="R175" s="3" t="str">
        <f>IF(OR(G175="12R",G175="12L"),_xlfn.XLOOKUP(C175,Tabla42[ADEP],Tabla42[SID 12R],""),IF(OR(G175="30L",G175="30R"),_xlfn.XLOOKUP(C175,Tabla42[ADEP],Tabla42[SID 30L],""),""))</f>
        <v>UDGUV</v>
      </c>
      <c r="S175" s="3">
        <f t="shared" si="2"/>
        <v>21</v>
      </c>
      <c r="T175" s="3" t="str">
        <f>_xlfn.XLOOKUP(C175,Tabla42[ADEP],Tabla42[Sector],"")</f>
        <v>Sector 2</v>
      </c>
    </row>
    <row r="176" spans="1:20" x14ac:dyDescent="0.2">
      <c r="A176" s="18" t="s">
        <v>301</v>
      </c>
      <c r="B176" s="18" t="s">
        <v>18</v>
      </c>
      <c r="C176" s="18" t="s">
        <v>32</v>
      </c>
      <c r="D176" s="18" t="s">
        <v>53</v>
      </c>
      <c r="E176" s="18" t="s">
        <v>277</v>
      </c>
      <c r="F176" s="19">
        <v>46304.910613425898</v>
      </c>
      <c r="G176" s="18" t="s">
        <v>21</v>
      </c>
      <c r="H176" s="18" t="s">
        <v>3447</v>
      </c>
      <c r="I176" s="18">
        <v>380</v>
      </c>
      <c r="J176" s="18" t="s">
        <v>22</v>
      </c>
      <c r="K176" s="18" t="s">
        <v>23</v>
      </c>
      <c r="L176" s="18">
        <v>878</v>
      </c>
      <c r="M176" s="18" t="s">
        <v>35</v>
      </c>
      <c r="N176" s="19">
        <v>46304.959849537001</v>
      </c>
      <c r="O176" s="18">
        <v>380</v>
      </c>
      <c r="P176" s="18" t="s">
        <v>25</v>
      </c>
      <c r="Q176" s="18">
        <v>190</v>
      </c>
      <c r="R176" s="3" t="str">
        <f>IF(OR(G176="12R",G176="12L"),_xlfn.XLOOKUP(C176,Tabla42[ADEP],Tabla42[SID 12R],""),IF(OR(G176="30L",G176="30R"),_xlfn.XLOOKUP(C176,Tabla42[ADEP],Tabla42[SID 30L],""),""))</f>
        <v>UDGUV</v>
      </c>
      <c r="S176" s="3">
        <f t="shared" si="2"/>
        <v>21</v>
      </c>
      <c r="T176" s="3" t="str">
        <f>_xlfn.XLOOKUP(C176,Tabla42[ADEP],Tabla42[Sector],"")</f>
        <v>Sector 2</v>
      </c>
    </row>
    <row r="177" spans="1:20" x14ac:dyDescent="0.2">
      <c r="A177" s="18" t="s">
        <v>1280</v>
      </c>
      <c r="B177" s="18" t="s">
        <v>18</v>
      </c>
      <c r="C177" s="18" t="s">
        <v>742</v>
      </c>
      <c r="D177" s="18" t="s">
        <v>28</v>
      </c>
      <c r="E177" s="18" t="s">
        <v>3200</v>
      </c>
      <c r="F177" s="19">
        <v>46304.911689814799</v>
      </c>
      <c r="G177" s="18" t="s">
        <v>21</v>
      </c>
      <c r="H177" s="18" t="s">
        <v>3448</v>
      </c>
      <c r="I177" s="18">
        <v>320</v>
      </c>
      <c r="J177" s="18" t="s">
        <v>22</v>
      </c>
      <c r="K177" s="18" t="s">
        <v>23</v>
      </c>
      <c r="L177" s="18">
        <v>538</v>
      </c>
      <c r="M177" s="18" t="s">
        <v>123</v>
      </c>
      <c r="N177" s="19">
        <v>46304.940127314803</v>
      </c>
      <c r="O177" s="18">
        <v>320</v>
      </c>
      <c r="P177" s="18" t="s">
        <v>25</v>
      </c>
      <c r="Q177" s="18">
        <v>40</v>
      </c>
      <c r="R177" s="3" t="str">
        <f>IF(OR(G177="12R",G177="12L"),_xlfn.XLOOKUP(C177,Tabla42[ADEP],Tabla42[SID 12R],""),IF(OR(G177="30L",G177="30R"),_xlfn.XLOOKUP(C177,Tabla42[ADEP],Tabla42[SID 30L],""),""))</f>
        <v>UDGUV</v>
      </c>
      <c r="S177" s="3">
        <f t="shared" si="2"/>
        <v>21</v>
      </c>
      <c r="T177" s="3" t="str">
        <f>_xlfn.XLOOKUP(C177,Tabla42[ADEP],Tabla42[Sector],"")</f>
        <v>Sector 2</v>
      </c>
    </row>
    <row r="178" spans="1:20" x14ac:dyDescent="0.2">
      <c r="A178" s="18" t="s">
        <v>313</v>
      </c>
      <c r="B178" s="18" t="s">
        <v>18</v>
      </c>
      <c r="C178" s="18" t="s">
        <v>73</v>
      </c>
      <c r="D178" s="18" t="s">
        <v>33</v>
      </c>
      <c r="E178" s="18" t="s">
        <v>368</v>
      </c>
      <c r="F178" s="19">
        <v>46304.912916666697</v>
      </c>
      <c r="G178" s="18" t="s">
        <v>21</v>
      </c>
      <c r="H178" s="18" t="s">
        <v>3449</v>
      </c>
      <c r="I178" s="18">
        <v>380</v>
      </c>
      <c r="J178" s="18" t="s">
        <v>22</v>
      </c>
      <c r="K178" s="18" t="s">
        <v>23</v>
      </c>
      <c r="L178" s="18">
        <v>730</v>
      </c>
      <c r="M178" s="18" t="s">
        <v>73</v>
      </c>
      <c r="N178" s="19">
        <v>46304.958310185197</v>
      </c>
      <c r="O178" s="18">
        <v>0</v>
      </c>
      <c r="P178" s="18" t="s">
        <v>25</v>
      </c>
      <c r="Q178" s="18">
        <v>190</v>
      </c>
      <c r="R178" s="3" t="str">
        <f>IF(OR(G178="12R",G178="12L"),_xlfn.XLOOKUP(C178,Tabla42[ADEP],Tabla42[SID 12R],""),IF(OR(G178="30L",G178="30R"),_xlfn.XLOOKUP(C178,Tabla42[ADEP],Tabla42[SID 30L],""),""))</f>
        <v>UDGUV</v>
      </c>
      <c r="S178" s="3">
        <f t="shared" si="2"/>
        <v>21</v>
      </c>
      <c r="T178" s="3" t="str">
        <f>_xlfn.XLOOKUP(C178,Tabla42[ADEP],Tabla42[Sector],"")</f>
        <v>Sector 2</v>
      </c>
    </row>
    <row r="179" spans="1:20" x14ac:dyDescent="0.2">
      <c r="A179" s="18" t="s">
        <v>241</v>
      </c>
      <c r="B179" s="18" t="s">
        <v>18</v>
      </c>
      <c r="C179" s="18" t="s">
        <v>121</v>
      </c>
      <c r="D179" s="18" t="s">
        <v>60</v>
      </c>
      <c r="E179" s="18" t="s">
        <v>1001</v>
      </c>
      <c r="F179" s="19">
        <v>46304.916550925896</v>
      </c>
      <c r="G179" s="18" t="s">
        <v>21</v>
      </c>
      <c r="H179" s="18" t="s">
        <v>3450</v>
      </c>
      <c r="I179" s="18">
        <v>380</v>
      </c>
      <c r="J179" s="18" t="s">
        <v>22</v>
      </c>
      <c r="K179" s="18" t="s">
        <v>23</v>
      </c>
      <c r="L179" s="18">
        <v>531</v>
      </c>
      <c r="M179" s="18" t="s">
        <v>123</v>
      </c>
      <c r="N179" s="19">
        <v>46304.945381944402</v>
      </c>
      <c r="O179" s="18">
        <v>380</v>
      </c>
      <c r="P179" s="18" t="s">
        <v>25</v>
      </c>
      <c r="Q179" s="18">
        <v>40</v>
      </c>
      <c r="R179" s="3" t="str">
        <f>IF(OR(G179="12R",G179="12L"),_xlfn.XLOOKUP(C179,Tabla42[ADEP],Tabla42[SID 12R],""),IF(OR(G179="30L",G179="30R"),_xlfn.XLOOKUP(C179,Tabla42[ADEP],Tabla42[SID 30L],""),""))</f>
        <v>ENEBA</v>
      </c>
      <c r="S179" s="3">
        <f t="shared" si="2"/>
        <v>21</v>
      </c>
      <c r="T179" s="3" t="str">
        <f>_xlfn.XLOOKUP(C179,Tabla42[ADEP],Tabla42[Sector],"")</f>
        <v>Sector 3</v>
      </c>
    </row>
    <row r="180" spans="1:20" x14ac:dyDescent="0.2">
      <c r="A180" s="18" t="s">
        <v>312</v>
      </c>
      <c r="B180" s="18" t="s">
        <v>18</v>
      </c>
      <c r="C180" s="18" t="s">
        <v>204</v>
      </c>
      <c r="D180" s="18" t="s">
        <v>33</v>
      </c>
      <c r="E180" s="18" t="s">
        <v>1747</v>
      </c>
      <c r="F180" s="19">
        <v>46304.920543981498</v>
      </c>
      <c r="G180" s="18" t="s">
        <v>21</v>
      </c>
      <c r="H180" s="18" t="s">
        <v>3451</v>
      </c>
      <c r="I180" s="18">
        <v>350</v>
      </c>
      <c r="J180" s="18" t="s">
        <v>22</v>
      </c>
      <c r="K180" s="18" t="s">
        <v>23</v>
      </c>
      <c r="L180" s="18">
        <v>149</v>
      </c>
      <c r="M180" s="18" t="s">
        <v>111</v>
      </c>
      <c r="N180" s="19">
        <v>46304.930636574099</v>
      </c>
      <c r="O180" s="18">
        <v>231</v>
      </c>
      <c r="P180" s="18" t="s">
        <v>25</v>
      </c>
      <c r="Q180" s="18">
        <v>190</v>
      </c>
      <c r="R180" s="3" t="str">
        <f>IF(OR(G180="12R",G180="12L"),_xlfn.XLOOKUP(C180,Tabla42[ADEP],Tabla42[SID 12R],""),IF(OR(G180="30L",G180="30R"),_xlfn.XLOOKUP(C180,Tabla42[ADEP],Tabla42[SID 30L],""),""))</f>
        <v>TAKUX</v>
      </c>
      <c r="S180" s="3">
        <f t="shared" si="2"/>
        <v>22</v>
      </c>
      <c r="T180" s="3" t="str">
        <f>_xlfn.XLOOKUP(C180,Tabla42[ADEP],Tabla42[Sector],"")</f>
        <v>Sector 7</v>
      </c>
    </row>
    <row r="181" spans="1:20" x14ac:dyDescent="0.2">
      <c r="A181" s="18" t="s">
        <v>467</v>
      </c>
      <c r="B181" s="18" t="s">
        <v>18</v>
      </c>
      <c r="C181" s="18" t="s">
        <v>184</v>
      </c>
      <c r="D181" s="18" t="s">
        <v>60</v>
      </c>
      <c r="E181" s="18" t="s">
        <v>3452</v>
      </c>
      <c r="F181" s="19">
        <v>46304.927268518499</v>
      </c>
      <c r="G181" s="18" t="s">
        <v>21</v>
      </c>
      <c r="H181" s="18" t="s">
        <v>3453</v>
      </c>
      <c r="I181" s="18">
        <v>350</v>
      </c>
      <c r="J181" s="18" t="s">
        <v>22</v>
      </c>
      <c r="K181" s="18" t="s">
        <v>23</v>
      </c>
      <c r="L181" s="18">
        <v>138</v>
      </c>
      <c r="M181" s="18" t="s">
        <v>39</v>
      </c>
      <c r="N181" s="19">
        <v>46304.936747685198</v>
      </c>
      <c r="O181" s="18">
        <v>258</v>
      </c>
      <c r="P181" s="18" t="s">
        <v>25</v>
      </c>
      <c r="Q181" s="18">
        <v>190</v>
      </c>
      <c r="R181" s="3" t="str">
        <f>IF(OR(G181="12R",G181="12L"),_xlfn.XLOOKUP(C181,Tabla42[ADEP],Tabla42[SID 12R],""),IF(OR(G181="30L",G181="30R"),_xlfn.XLOOKUP(C181,Tabla42[ADEP],Tabla42[SID 30L],""),""))</f>
        <v>OMSUK</v>
      </c>
      <c r="S181" s="3">
        <f t="shared" si="2"/>
        <v>22</v>
      </c>
      <c r="T181" s="3" t="str">
        <f>_xlfn.XLOOKUP(C181,Tabla42[ADEP],Tabla42[Sector],"")</f>
        <v>Sector 3</v>
      </c>
    </row>
    <row r="182" spans="1:20" x14ac:dyDescent="0.2">
      <c r="A182" s="18" t="s">
        <v>26</v>
      </c>
      <c r="B182" s="18" t="s">
        <v>18</v>
      </c>
      <c r="C182" s="18" t="s">
        <v>27</v>
      </c>
      <c r="D182" s="18" t="s">
        <v>28</v>
      </c>
      <c r="E182" s="18" t="s">
        <v>3454</v>
      </c>
      <c r="F182" s="19">
        <v>46304.931134259299</v>
      </c>
      <c r="G182" s="18" t="s">
        <v>21</v>
      </c>
      <c r="H182" s="18" t="s">
        <v>3455</v>
      </c>
      <c r="I182" s="18">
        <v>360</v>
      </c>
      <c r="J182" s="18" t="s">
        <v>22</v>
      </c>
      <c r="K182" s="18" t="s">
        <v>23</v>
      </c>
      <c r="L182" s="18">
        <v>446</v>
      </c>
      <c r="M182" s="18" t="s">
        <v>189</v>
      </c>
      <c r="N182" s="19">
        <v>46304.956759259301</v>
      </c>
      <c r="O182" s="18">
        <v>360</v>
      </c>
      <c r="P182" s="18" t="s">
        <v>25</v>
      </c>
      <c r="Q182" s="18">
        <v>40</v>
      </c>
      <c r="R182" s="3" t="str">
        <f>IF(OR(G182="12R",G182="12L"),_xlfn.XLOOKUP(C182,Tabla42[ADEP],Tabla42[SID 12R],""),IF(OR(G182="30L",G182="30R"),_xlfn.XLOOKUP(C182,Tabla42[ADEP],Tabla42[SID 30L],""),""))</f>
        <v>OMSUK</v>
      </c>
      <c r="S182" s="3">
        <f t="shared" si="2"/>
        <v>22</v>
      </c>
      <c r="T182" s="3" t="str">
        <f>_xlfn.XLOOKUP(C182,Tabla42[ADEP],Tabla42[Sector],"")</f>
        <v>Sector 3</v>
      </c>
    </row>
    <row r="183" spans="1:20" x14ac:dyDescent="0.2">
      <c r="A183" s="18" t="s">
        <v>318</v>
      </c>
      <c r="B183" s="18" t="s">
        <v>18</v>
      </c>
      <c r="C183" s="18" t="s">
        <v>116</v>
      </c>
      <c r="D183" s="18" t="s">
        <v>43</v>
      </c>
      <c r="E183" s="18" t="s">
        <v>481</v>
      </c>
      <c r="F183" s="19">
        <v>46304.9327430556</v>
      </c>
      <c r="G183" s="18" t="s">
        <v>21</v>
      </c>
      <c r="H183" s="18" t="s">
        <v>3456</v>
      </c>
      <c r="I183" s="18">
        <v>360</v>
      </c>
      <c r="J183" s="18" t="s">
        <v>22</v>
      </c>
      <c r="K183" s="18" t="s">
        <v>23</v>
      </c>
      <c r="L183" s="18">
        <v>533</v>
      </c>
      <c r="M183" s="18" t="s">
        <v>123</v>
      </c>
      <c r="N183" s="19">
        <v>46304.961504629602</v>
      </c>
      <c r="O183" s="18">
        <v>360</v>
      </c>
      <c r="P183" s="18" t="s">
        <v>25</v>
      </c>
      <c r="Q183" s="18">
        <v>40</v>
      </c>
      <c r="R183" s="3" t="str">
        <f>IF(OR(G183="12R",G183="12L"),_xlfn.XLOOKUP(C183,Tabla42[ADEP],Tabla42[SID 12R],""),IF(OR(G183="30L",G183="30R"),_xlfn.XLOOKUP(C183,Tabla42[ADEP],Tabla42[SID 30L],""),""))</f>
        <v>ENEBA</v>
      </c>
      <c r="S183" s="3">
        <f t="shared" si="2"/>
        <v>22</v>
      </c>
      <c r="T183" s="3" t="str">
        <f>_xlfn.XLOOKUP(C183,Tabla42[ADEP],Tabla42[Sector],"")</f>
        <v>Sector 3</v>
      </c>
    </row>
    <row r="184" spans="1:20" x14ac:dyDescent="0.2">
      <c r="A184" s="18" t="s">
        <v>409</v>
      </c>
      <c r="B184" s="18" t="s">
        <v>18</v>
      </c>
      <c r="C184" s="18" t="s">
        <v>254</v>
      </c>
      <c r="D184" s="18" t="s">
        <v>53</v>
      </c>
      <c r="E184" s="18" t="s">
        <v>279</v>
      </c>
      <c r="F184" s="19">
        <v>46304.933900463002</v>
      </c>
      <c r="G184" s="18" t="s">
        <v>21</v>
      </c>
      <c r="H184" s="18" t="s">
        <v>3457</v>
      </c>
      <c r="I184" s="18">
        <v>380</v>
      </c>
      <c r="J184" s="18" t="s">
        <v>22</v>
      </c>
      <c r="K184" s="18" t="s">
        <v>23</v>
      </c>
      <c r="L184" s="18">
        <v>873</v>
      </c>
      <c r="M184" s="18" t="s">
        <v>35</v>
      </c>
      <c r="N184" s="19">
        <v>46304.983148148101</v>
      </c>
      <c r="O184" s="18">
        <v>380</v>
      </c>
      <c r="P184" s="18" t="s">
        <v>25</v>
      </c>
      <c r="Q184" s="18">
        <v>190</v>
      </c>
      <c r="R184" s="3" t="str">
        <f>IF(OR(G184="12R",G184="12L"),_xlfn.XLOOKUP(C184,Tabla42[ADEP],Tabla42[SID 12R],""),IF(OR(G184="30L",G184="30R"),_xlfn.XLOOKUP(C184,Tabla42[ADEP],Tabla42[SID 30L],""),""))</f>
        <v>UDGUV</v>
      </c>
      <c r="S184" s="3">
        <f t="shared" si="2"/>
        <v>22</v>
      </c>
      <c r="T184" s="3" t="str">
        <f>_xlfn.XLOOKUP(C184,Tabla42[ADEP],Tabla42[Sector],"")</f>
        <v>Sector 2</v>
      </c>
    </row>
    <row r="185" spans="1:20" x14ac:dyDescent="0.2">
      <c r="A185" s="18" t="s">
        <v>488</v>
      </c>
      <c r="B185" s="18" t="s">
        <v>18</v>
      </c>
      <c r="C185" s="18" t="s">
        <v>489</v>
      </c>
      <c r="D185" s="18" t="s">
        <v>28</v>
      </c>
      <c r="E185" s="18" t="s">
        <v>3458</v>
      </c>
      <c r="F185" s="19">
        <v>46304.935196759303</v>
      </c>
      <c r="G185" s="18" t="s">
        <v>21</v>
      </c>
      <c r="H185" s="18" t="s">
        <v>3459</v>
      </c>
      <c r="I185" s="18">
        <v>360</v>
      </c>
      <c r="J185" s="18" t="s">
        <v>22</v>
      </c>
      <c r="K185" s="18" t="s">
        <v>23</v>
      </c>
      <c r="L185" s="18">
        <v>550</v>
      </c>
      <c r="M185" s="18" t="s">
        <v>123</v>
      </c>
      <c r="N185" s="19">
        <v>46304.965821759302</v>
      </c>
      <c r="O185" s="18">
        <v>350</v>
      </c>
      <c r="P185" s="18" t="s">
        <v>25</v>
      </c>
      <c r="Q185" s="18">
        <v>40</v>
      </c>
      <c r="R185" s="3" t="str">
        <f>IF(OR(G185="12R",G185="12L"),_xlfn.XLOOKUP(C185,Tabla42[ADEP],Tabla42[SID 12R],""),IF(OR(G185="30L",G185="30R"),_xlfn.XLOOKUP(C185,Tabla42[ADEP],Tabla42[SID 30L],""),""))</f>
        <v>OMSUK</v>
      </c>
      <c r="S185" s="3">
        <f t="shared" si="2"/>
        <v>22</v>
      </c>
      <c r="T185" s="3" t="str">
        <f>_xlfn.XLOOKUP(C185,Tabla42[ADEP],Tabla42[Sector],"")</f>
        <v>Sector 3</v>
      </c>
    </row>
    <row r="186" spans="1:20" x14ac:dyDescent="0.2">
      <c r="A186" s="18" t="s">
        <v>328</v>
      </c>
      <c r="B186" s="18" t="s">
        <v>18</v>
      </c>
      <c r="C186" s="18" t="s">
        <v>42</v>
      </c>
      <c r="D186" s="18" t="s">
        <v>43</v>
      </c>
      <c r="E186" s="18" t="s">
        <v>823</v>
      </c>
      <c r="F186" s="19">
        <v>46304.9463888889</v>
      </c>
      <c r="G186" s="18" t="s">
        <v>21</v>
      </c>
      <c r="H186" s="18" t="s">
        <v>3460</v>
      </c>
      <c r="I186" s="18">
        <v>360</v>
      </c>
      <c r="J186" s="18" t="s">
        <v>22</v>
      </c>
      <c r="K186" s="18" t="s">
        <v>23</v>
      </c>
      <c r="L186" s="18">
        <v>859</v>
      </c>
      <c r="M186" s="18" t="s">
        <v>45</v>
      </c>
      <c r="N186" s="19">
        <v>46304.994780092602</v>
      </c>
      <c r="O186" s="18">
        <v>360</v>
      </c>
      <c r="P186" s="18" t="s">
        <v>25</v>
      </c>
      <c r="Q186" s="18">
        <v>190</v>
      </c>
      <c r="R186" s="3" t="str">
        <f>IF(OR(G186="12R",G186="12L"),_xlfn.XLOOKUP(C186,Tabla42[ADEP],Tabla42[SID 12R],""),IF(OR(G186="30L",G186="30R"),_xlfn.XLOOKUP(C186,Tabla42[ADEP],Tabla42[SID 30L],""),""))</f>
        <v>UDGUV</v>
      </c>
      <c r="S186" s="3">
        <f t="shared" si="2"/>
        <v>22</v>
      </c>
      <c r="T186" s="3" t="str">
        <f>_xlfn.XLOOKUP(C186,Tabla42[ADEP],Tabla42[Sector],"")</f>
        <v>Sector 2</v>
      </c>
    </row>
    <row r="187" spans="1:20" x14ac:dyDescent="0.2">
      <c r="A187" s="18" t="s">
        <v>324</v>
      </c>
      <c r="B187" s="18" t="s">
        <v>18</v>
      </c>
      <c r="C187" s="18" t="s">
        <v>206</v>
      </c>
      <c r="D187" s="18" t="s">
        <v>53</v>
      </c>
      <c r="E187" s="18" t="s">
        <v>825</v>
      </c>
      <c r="F187" s="19">
        <v>46304.952465277798</v>
      </c>
      <c r="G187" s="18" t="s">
        <v>21</v>
      </c>
      <c r="H187" s="18" t="s">
        <v>326</v>
      </c>
      <c r="I187" s="18">
        <v>380</v>
      </c>
      <c r="J187" s="18" t="s">
        <v>22</v>
      </c>
      <c r="K187" s="18" t="s">
        <v>23</v>
      </c>
      <c r="L187" s="18">
        <v>859</v>
      </c>
      <c r="M187" s="18" t="s">
        <v>45</v>
      </c>
      <c r="N187" s="19">
        <v>46304.998946759297</v>
      </c>
      <c r="O187" s="18">
        <v>380</v>
      </c>
      <c r="P187" s="18" t="s">
        <v>25</v>
      </c>
      <c r="Q187" s="18">
        <v>190</v>
      </c>
      <c r="R187" s="3" t="str">
        <f>IF(OR(G187="12R",G187="12L"),_xlfn.XLOOKUP(C187,Tabla42[ADEP],Tabla42[SID 12R],""),IF(OR(G187="30L",G187="30R"),_xlfn.XLOOKUP(C187,Tabla42[ADEP],Tabla42[SID 30L],""),""))</f>
        <v>UDGUV</v>
      </c>
      <c r="S187" s="3">
        <f t="shared" si="2"/>
        <v>22</v>
      </c>
      <c r="T187" s="3" t="str">
        <f>_xlfn.XLOOKUP(C187,Tabla42[ADEP],Tabla42[Sector],"")</f>
        <v>Sector 2</v>
      </c>
    </row>
    <row r="188" spans="1:20" x14ac:dyDescent="0.2">
      <c r="A188" s="18" t="s">
        <v>319</v>
      </c>
      <c r="B188" s="18" t="s">
        <v>18</v>
      </c>
      <c r="C188" s="18" t="s">
        <v>320</v>
      </c>
      <c r="D188" s="18" t="s">
        <v>53</v>
      </c>
      <c r="E188" s="18" t="s">
        <v>392</v>
      </c>
      <c r="F188" s="19">
        <v>46304.954351851899</v>
      </c>
      <c r="G188" s="18" t="s">
        <v>21</v>
      </c>
      <c r="H188" s="18" t="s">
        <v>3461</v>
      </c>
      <c r="I188" s="18">
        <v>380</v>
      </c>
      <c r="J188" s="18" t="s">
        <v>22</v>
      </c>
      <c r="K188" s="18" t="s">
        <v>23</v>
      </c>
      <c r="L188" s="18">
        <v>868</v>
      </c>
      <c r="M188" s="18" t="s">
        <v>167</v>
      </c>
      <c r="N188" s="19">
        <v>46305.003148148098</v>
      </c>
      <c r="O188" s="18">
        <v>380</v>
      </c>
      <c r="P188" s="18" t="s">
        <v>25</v>
      </c>
      <c r="Q188" s="18">
        <v>190</v>
      </c>
      <c r="R188" s="3" t="str">
        <f>IF(OR(G188="12R",G188="12L"),_xlfn.XLOOKUP(C188,Tabla42[ADEP],Tabla42[SID 12R],""),IF(OR(G188="30L",G188="30R"),_xlfn.XLOOKUP(C188,Tabla42[ADEP],Tabla42[SID 30L],""),""))</f>
        <v>UDGUV</v>
      </c>
      <c r="S188" s="3">
        <f t="shared" si="2"/>
        <v>22</v>
      </c>
      <c r="T188" s="3" t="str">
        <f>_xlfn.XLOOKUP(C188,Tabla42[ADEP],Tabla42[Sector],"")</f>
        <v>Sector 2</v>
      </c>
    </row>
    <row r="189" spans="1:20" x14ac:dyDescent="0.2">
      <c r="A189" s="18" t="s">
        <v>291</v>
      </c>
      <c r="B189" s="18" t="s">
        <v>18</v>
      </c>
      <c r="C189" s="18" t="s">
        <v>209</v>
      </c>
      <c r="D189" s="18" t="s">
        <v>110</v>
      </c>
      <c r="E189" s="18" t="s">
        <v>224</v>
      </c>
      <c r="F189" s="19">
        <v>46304.955347222203</v>
      </c>
      <c r="G189" s="18" t="s">
        <v>21</v>
      </c>
      <c r="H189" s="18" t="s">
        <v>3462</v>
      </c>
      <c r="I189" s="18">
        <v>380</v>
      </c>
      <c r="J189" s="18" t="s">
        <v>22</v>
      </c>
      <c r="K189" s="18" t="s">
        <v>23</v>
      </c>
      <c r="L189" s="18">
        <v>534</v>
      </c>
      <c r="M189" s="18" t="s">
        <v>123</v>
      </c>
      <c r="N189" s="19">
        <v>46304.984178240702</v>
      </c>
      <c r="O189" s="18">
        <v>380</v>
      </c>
      <c r="P189" s="18" t="s">
        <v>25</v>
      </c>
      <c r="Q189" s="18">
        <v>40</v>
      </c>
      <c r="R189" s="3" t="str">
        <f>IF(OR(G189="12R",G189="12L"),_xlfn.XLOOKUP(C189,Tabla42[ADEP],Tabla42[SID 12R],""),IF(OR(G189="30L",G189="30R"),_xlfn.XLOOKUP(C189,Tabla42[ADEP],Tabla42[SID 30L],""),""))</f>
        <v>ENEBA</v>
      </c>
      <c r="S189" s="3">
        <f t="shared" si="2"/>
        <v>22</v>
      </c>
      <c r="T189" s="3" t="str">
        <f>_xlfn.XLOOKUP(C189,Tabla42[ADEP],Tabla42[Sector],"")</f>
        <v>Sector 3</v>
      </c>
    </row>
    <row r="190" spans="1:20" x14ac:dyDescent="0.2">
      <c r="A190" s="18" t="s">
        <v>545</v>
      </c>
      <c r="B190" s="18" t="s">
        <v>18</v>
      </c>
      <c r="C190" s="18" t="s">
        <v>546</v>
      </c>
      <c r="D190" s="18" t="s">
        <v>340</v>
      </c>
      <c r="E190" s="18" t="s">
        <v>3463</v>
      </c>
      <c r="F190" s="19">
        <v>46304.9581944444</v>
      </c>
      <c r="G190" s="18" t="s">
        <v>21</v>
      </c>
      <c r="H190" s="18" t="s">
        <v>3464</v>
      </c>
      <c r="I190" s="18">
        <v>390</v>
      </c>
      <c r="J190" s="18" t="s">
        <v>22</v>
      </c>
      <c r="K190" s="18" t="s">
        <v>23</v>
      </c>
      <c r="L190" s="18">
        <v>137</v>
      </c>
      <c r="M190" s="18" t="s">
        <v>3299</v>
      </c>
      <c r="N190" s="19">
        <v>46304.967233796298</v>
      </c>
      <c r="O190" s="18">
        <v>237</v>
      </c>
      <c r="P190" s="18" t="s">
        <v>40</v>
      </c>
      <c r="Q190" s="18">
        <v>190</v>
      </c>
      <c r="R190" s="3" t="str">
        <f>IF(OR(G190="12R",G190="12L"),_xlfn.XLOOKUP(C190,Tabla42[ADEP],Tabla42[SID 12R],""),IF(OR(G190="30L",G190="30R"),_xlfn.XLOOKUP(C190,Tabla42[ADEP],Tabla42[SID 30L],""),""))</f>
        <v>NUDAL</v>
      </c>
      <c r="S190" s="3">
        <f t="shared" si="2"/>
        <v>22</v>
      </c>
      <c r="T190" s="3" t="str">
        <f>_xlfn.XLOOKUP(C190,Tabla42[ADEP],Tabla42[Sector],"")</f>
        <v>Sector 3</v>
      </c>
    </row>
    <row r="191" spans="1:20" x14ac:dyDescent="0.2">
      <c r="A191" s="18" t="s">
        <v>330</v>
      </c>
      <c r="B191" s="18" t="s">
        <v>18</v>
      </c>
      <c r="C191" s="18" t="s">
        <v>62</v>
      </c>
      <c r="D191" s="18" t="s">
        <v>33</v>
      </c>
      <c r="E191" s="18" t="s">
        <v>281</v>
      </c>
      <c r="F191" s="19">
        <v>46304.9633217593</v>
      </c>
      <c r="G191" s="18" t="s">
        <v>21</v>
      </c>
      <c r="H191" s="18" t="s">
        <v>3465</v>
      </c>
      <c r="I191" s="18">
        <v>360</v>
      </c>
      <c r="J191" s="18" t="s">
        <v>22</v>
      </c>
      <c r="K191" s="18" t="s">
        <v>23</v>
      </c>
      <c r="L191" s="18">
        <v>866</v>
      </c>
      <c r="M191" s="18" t="s">
        <v>167</v>
      </c>
      <c r="N191" s="19">
        <v>46305.011481481502</v>
      </c>
      <c r="O191" s="18">
        <v>360</v>
      </c>
      <c r="P191" s="18" t="s">
        <v>25</v>
      </c>
      <c r="Q191" s="18">
        <v>190</v>
      </c>
      <c r="R191" s="3" t="str">
        <f>IF(OR(G191="12R",G191="12L"),_xlfn.XLOOKUP(C191,Tabla42[ADEP],Tabla42[SID 12R],""),IF(OR(G191="30L",G191="30R"),_xlfn.XLOOKUP(C191,Tabla42[ADEP],Tabla42[SID 30L],""),""))</f>
        <v>UDGUV</v>
      </c>
      <c r="S191" s="3">
        <f t="shared" si="2"/>
        <v>23</v>
      </c>
      <c r="T191" s="3" t="str">
        <f>_xlfn.XLOOKUP(C191,Tabla42[ADEP],Tabla42[Sector],"")</f>
        <v>Sector 2</v>
      </c>
    </row>
    <row r="192" spans="1:20" x14ac:dyDescent="0.2">
      <c r="A192" s="18" t="s">
        <v>332</v>
      </c>
      <c r="B192" s="18" t="s">
        <v>18</v>
      </c>
      <c r="C192" s="18" t="s">
        <v>257</v>
      </c>
      <c r="D192" s="18" t="s">
        <v>122</v>
      </c>
      <c r="E192" s="18" t="s">
        <v>3466</v>
      </c>
      <c r="F192" s="19">
        <v>46304.983009259297</v>
      </c>
      <c r="G192" s="18" t="s">
        <v>21</v>
      </c>
      <c r="H192" s="18" t="s">
        <v>3467</v>
      </c>
      <c r="I192" s="18">
        <v>340</v>
      </c>
      <c r="J192" s="18" t="s">
        <v>22</v>
      </c>
      <c r="K192" s="18" t="s">
        <v>23</v>
      </c>
      <c r="L192" s="18">
        <v>522</v>
      </c>
      <c r="M192" s="18" t="s">
        <v>123</v>
      </c>
      <c r="N192" s="19">
        <v>46305.010810185202</v>
      </c>
      <c r="O192" s="18">
        <v>320</v>
      </c>
      <c r="P192" s="18" t="s">
        <v>25</v>
      </c>
      <c r="Q192" s="18">
        <v>40</v>
      </c>
      <c r="R192" s="3" t="str">
        <f>IF(OR(G192="12R",G192="12L"),_xlfn.XLOOKUP(C192,Tabla42[ADEP],Tabla42[SID 12R],""),IF(OR(G192="30L",G192="30R"),_xlfn.XLOOKUP(C192,Tabla42[ADEP],Tabla42[SID 30L],""),""))</f>
        <v>UDGUV</v>
      </c>
      <c r="S192" s="3">
        <f t="shared" si="2"/>
        <v>23</v>
      </c>
      <c r="T192" s="3" t="str">
        <f>_xlfn.XLOOKUP(C192,Tabla42[ADEP],Tabla42[Sector],"")</f>
        <v>Sector 2</v>
      </c>
    </row>
    <row r="193" spans="1:20" x14ac:dyDescent="0.2">
      <c r="A193" s="18" t="s">
        <v>334</v>
      </c>
      <c r="B193" s="18" t="s">
        <v>18</v>
      </c>
      <c r="C193" s="18" t="s">
        <v>42</v>
      </c>
      <c r="D193" s="18" t="s">
        <v>122</v>
      </c>
      <c r="E193" s="18" t="s">
        <v>361</v>
      </c>
      <c r="F193" s="19">
        <v>46304.989409722199</v>
      </c>
      <c r="G193" s="18" t="s">
        <v>21</v>
      </c>
      <c r="H193" s="18" t="s">
        <v>3468</v>
      </c>
      <c r="I193" s="18">
        <v>380</v>
      </c>
      <c r="J193" s="18" t="s">
        <v>22</v>
      </c>
      <c r="K193" s="18" t="s">
        <v>23</v>
      </c>
      <c r="L193" s="18">
        <v>859</v>
      </c>
      <c r="M193" s="18" t="s">
        <v>45</v>
      </c>
      <c r="N193" s="19">
        <v>46305.037245370397</v>
      </c>
      <c r="O193" s="18">
        <v>380</v>
      </c>
      <c r="P193" s="18" t="s">
        <v>25</v>
      </c>
      <c r="Q193" s="18">
        <v>190</v>
      </c>
      <c r="R193" s="3" t="str">
        <f>IF(OR(G193="12R",G193="12L"),_xlfn.XLOOKUP(C193,Tabla42[ADEP],Tabla42[SID 12R],""),IF(OR(G193="30L",G193="30R"),_xlfn.XLOOKUP(C193,Tabla42[ADEP],Tabla42[SID 30L],""),""))</f>
        <v>UDGUV</v>
      </c>
      <c r="S193" s="3">
        <f t="shared" si="2"/>
        <v>23</v>
      </c>
      <c r="T193" s="3" t="str">
        <f>_xlfn.XLOOKUP(C193,Tabla42[ADEP],Tabla42[Sector],"")</f>
        <v>Sector 2</v>
      </c>
    </row>
    <row r="194" spans="1:20" x14ac:dyDescent="0.2">
      <c r="A194" s="18" t="s">
        <v>261</v>
      </c>
      <c r="B194" s="18" t="s">
        <v>18</v>
      </c>
      <c r="C194" s="18" t="s">
        <v>158</v>
      </c>
      <c r="D194" s="18" t="s">
        <v>60</v>
      </c>
      <c r="E194" s="18" t="s">
        <v>3469</v>
      </c>
      <c r="F194" s="19">
        <v>46304.991134259297</v>
      </c>
      <c r="G194" s="18" t="s">
        <v>21</v>
      </c>
      <c r="H194" s="18" t="s">
        <v>3470</v>
      </c>
      <c r="I194" s="18">
        <v>370</v>
      </c>
      <c r="J194" s="18" t="s">
        <v>22</v>
      </c>
      <c r="K194" s="18" t="s">
        <v>23</v>
      </c>
      <c r="L194" s="18">
        <v>132</v>
      </c>
      <c r="M194" s="18" t="s">
        <v>39</v>
      </c>
      <c r="N194" s="19">
        <v>46305.000231481499</v>
      </c>
      <c r="O194" s="18">
        <v>230</v>
      </c>
      <c r="P194" s="18" t="s">
        <v>25</v>
      </c>
      <c r="Q194" s="18">
        <v>190</v>
      </c>
      <c r="R194" s="3" t="str">
        <f>IF(OR(G194="12R",G194="12L"),_xlfn.XLOOKUP(C194,Tabla42[ADEP],Tabla42[SID 12R],""),IF(OR(G194="30L",G194="30R"),_xlfn.XLOOKUP(C194,Tabla42[ADEP],Tabla42[SID 30L],""),""))</f>
        <v>OMSUK</v>
      </c>
      <c r="S194" s="3">
        <f t="shared" si="2"/>
        <v>23</v>
      </c>
      <c r="T194" s="3" t="str">
        <f>_xlfn.XLOOKUP(C194,Tabla42[ADEP],Tabla42[Sector],"")</f>
        <v>Sector 3</v>
      </c>
    </row>
    <row r="195" spans="1:20" x14ac:dyDescent="0.2">
      <c r="A195" s="18" t="s">
        <v>336</v>
      </c>
      <c r="B195" s="18" t="s">
        <v>18</v>
      </c>
      <c r="C195" s="18" t="s">
        <v>290</v>
      </c>
      <c r="D195" s="18" t="s">
        <v>33</v>
      </c>
      <c r="E195" s="18" t="s">
        <v>3471</v>
      </c>
      <c r="F195" s="19">
        <v>46304.994212963</v>
      </c>
      <c r="G195" s="18" t="s">
        <v>21</v>
      </c>
      <c r="H195" s="18" t="s">
        <v>3472</v>
      </c>
      <c r="I195" s="18">
        <v>330</v>
      </c>
      <c r="J195" s="18" t="s">
        <v>22</v>
      </c>
      <c r="K195" s="18" t="s">
        <v>23</v>
      </c>
      <c r="L195" s="18">
        <v>218</v>
      </c>
      <c r="M195" s="18" t="s">
        <v>55</v>
      </c>
      <c r="N195" s="19">
        <v>46305.008090277799</v>
      </c>
      <c r="O195" s="18">
        <v>274</v>
      </c>
      <c r="P195" s="18" t="s">
        <v>25</v>
      </c>
      <c r="Q195" s="18">
        <v>190</v>
      </c>
      <c r="R195" s="3" t="str">
        <f>IF(OR(G195="12R",G195="12L"),_xlfn.XLOOKUP(C195,Tabla42[ADEP],Tabla42[SID 12R],""),IF(OR(G195="30L",G195="30R"),_xlfn.XLOOKUP(C195,Tabla42[ADEP],Tabla42[SID 30L],""),""))</f>
        <v>CZM</v>
      </c>
      <c r="S195" s="3">
        <f t="shared" ref="S195:S220" si="3">HOUR(F195)</f>
        <v>23</v>
      </c>
      <c r="T195" s="3" t="str">
        <f>_xlfn.XLOOKUP(C195,Tabla42[ADEP],Tabla42[Sector],"")</f>
        <v>Sector 7</v>
      </c>
    </row>
    <row r="196" spans="1:20" x14ac:dyDescent="0.2">
      <c r="F196" s="2"/>
      <c r="I196" s="3"/>
      <c r="L196" s="3"/>
      <c r="N196" s="2"/>
      <c r="O196" s="3"/>
      <c r="Q196" s="3"/>
      <c r="R196" s="3" t="str">
        <f>IF(OR(G196="12R",G196="12L"),_xlfn.XLOOKUP(C196,Tabla42[ADEP],Tabla42[SID 12R],""),IF(OR(G196="30L",G196="30R"),_xlfn.XLOOKUP(C196,Tabla42[ADEP],Tabla42[SID 30L],""),""))</f>
        <v/>
      </c>
      <c r="S196" s="3">
        <f t="shared" si="3"/>
        <v>0</v>
      </c>
      <c r="T196" s="3" t="str">
        <f>_xlfn.XLOOKUP(C196,Tabla42[ADEP],Tabla42[Sector],"")</f>
        <v/>
      </c>
    </row>
    <row r="197" spans="1:20" x14ac:dyDescent="0.2">
      <c r="F197" s="2"/>
      <c r="I197" s="3"/>
      <c r="L197" s="3"/>
      <c r="N197" s="2"/>
      <c r="O197" s="3"/>
      <c r="Q197" s="3"/>
      <c r="R197" s="3" t="str">
        <f>IF(OR(G197="12R",G197="12L"),_xlfn.XLOOKUP(C197,Tabla42[ADEP],Tabla42[SID 12R],""),IF(OR(G197="30L",G197="30R"),_xlfn.XLOOKUP(C197,Tabla42[ADEP],Tabla42[SID 30L],""),""))</f>
        <v/>
      </c>
      <c r="S197" s="3">
        <f t="shared" si="3"/>
        <v>0</v>
      </c>
      <c r="T197" s="3" t="str">
        <f>_xlfn.XLOOKUP(C197,Tabla42[ADEP],Tabla42[Sector],"")</f>
        <v/>
      </c>
    </row>
    <row r="198" spans="1: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1: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1: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1: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1: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1: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1: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1: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1: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1: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1: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1</v>
      </c>
      <c r="C227" s="8">
        <f t="shared" si="4"/>
        <v>0</v>
      </c>
      <c r="D227" s="8">
        <f t="shared" si="4"/>
        <v>1</v>
      </c>
      <c r="E227" s="8">
        <f t="shared" si="4"/>
        <v>0</v>
      </c>
      <c r="F227" s="8">
        <f t="shared" si="4"/>
        <v>0</v>
      </c>
      <c r="G227" s="8">
        <f t="shared" si="4"/>
        <v>0</v>
      </c>
      <c r="H227" s="8">
        <f t="shared" si="4"/>
        <v>1</v>
      </c>
      <c r="I227" s="9">
        <f t="shared" ref="I227:I235" si="5">SUM(B227:H227)</f>
        <v>3</v>
      </c>
    </row>
    <row r="228" spans="1:9" x14ac:dyDescent="0.2">
      <c r="A228" s="7">
        <v>15</v>
      </c>
      <c r="B228" s="8">
        <f t="shared" si="4"/>
        <v>1</v>
      </c>
      <c r="C228" s="8">
        <f t="shared" si="4"/>
        <v>3</v>
      </c>
      <c r="D228" s="8">
        <f t="shared" si="4"/>
        <v>0</v>
      </c>
      <c r="E228" s="8">
        <f t="shared" si="4"/>
        <v>0</v>
      </c>
      <c r="F228" s="8">
        <f t="shared" si="4"/>
        <v>0</v>
      </c>
      <c r="G228" s="8">
        <f t="shared" si="4"/>
        <v>0</v>
      </c>
      <c r="H228" s="8">
        <f t="shared" si="4"/>
        <v>7</v>
      </c>
      <c r="I228" s="9">
        <f t="shared" si="5"/>
        <v>11</v>
      </c>
    </row>
    <row r="229" spans="1:9" x14ac:dyDescent="0.2">
      <c r="A229" s="7">
        <v>16</v>
      </c>
      <c r="B229" s="8">
        <f t="shared" si="4"/>
        <v>1</v>
      </c>
      <c r="C229" s="8">
        <f t="shared" si="4"/>
        <v>3</v>
      </c>
      <c r="D229" s="8">
        <f t="shared" si="4"/>
        <v>0</v>
      </c>
      <c r="E229" s="8">
        <f t="shared" si="4"/>
        <v>1</v>
      </c>
      <c r="F229" s="8">
        <f t="shared" si="4"/>
        <v>3</v>
      </c>
      <c r="G229" s="8">
        <f t="shared" si="4"/>
        <v>2</v>
      </c>
      <c r="H229" s="8">
        <f t="shared" si="4"/>
        <v>12</v>
      </c>
      <c r="I229" s="9">
        <f t="shared" si="5"/>
        <v>22</v>
      </c>
    </row>
    <row r="230" spans="1:9" x14ac:dyDescent="0.2">
      <c r="A230" s="7">
        <v>17</v>
      </c>
      <c r="B230" s="8">
        <f t="shared" si="4"/>
        <v>0</v>
      </c>
      <c r="C230" s="8">
        <f t="shared" si="4"/>
        <v>4</v>
      </c>
      <c r="D230" s="8">
        <f t="shared" si="4"/>
        <v>0</v>
      </c>
      <c r="E230" s="8">
        <f t="shared" si="4"/>
        <v>1</v>
      </c>
      <c r="F230" s="8">
        <f t="shared" si="4"/>
        <v>1</v>
      </c>
      <c r="G230" s="8">
        <f t="shared" si="4"/>
        <v>1</v>
      </c>
      <c r="H230" s="8">
        <f t="shared" si="4"/>
        <v>5</v>
      </c>
      <c r="I230" s="9">
        <f t="shared" si="5"/>
        <v>12</v>
      </c>
    </row>
    <row r="231" spans="1:9" x14ac:dyDescent="0.2">
      <c r="A231" s="7">
        <v>18</v>
      </c>
      <c r="B231" s="8">
        <f t="shared" si="4"/>
        <v>0</v>
      </c>
      <c r="C231" s="8">
        <f t="shared" si="4"/>
        <v>3</v>
      </c>
      <c r="D231" s="8">
        <f t="shared" si="4"/>
        <v>0</v>
      </c>
      <c r="E231" s="8">
        <f t="shared" si="4"/>
        <v>1</v>
      </c>
      <c r="F231" s="8">
        <f t="shared" si="4"/>
        <v>10</v>
      </c>
      <c r="G231" s="8">
        <f t="shared" si="4"/>
        <v>2</v>
      </c>
      <c r="H231" s="8">
        <f t="shared" si="4"/>
        <v>6</v>
      </c>
      <c r="I231" s="9">
        <f t="shared" si="5"/>
        <v>22</v>
      </c>
    </row>
    <row r="232" spans="1:9" x14ac:dyDescent="0.2">
      <c r="A232" s="7">
        <v>19</v>
      </c>
      <c r="B232" s="8">
        <f t="shared" si="4"/>
        <v>2</v>
      </c>
      <c r="C232" s="8">
        <f t="shared" si="4"/>
        <v>5</v>
      </c>
      <c r="D232" s="8">
        <f t="shared" si="4"/>
        <v>0</v>
      </c>
      <c r="E232" s="8">
        <f t="shared" si="4"/>
        <v>4</v>
      </c>
      <c r="F232" s="8">
        <f t="shared" si="4"/>
        <v>3</v>
      </c>
      <c r="G232" s="8">
        <f t="shared" si="4"/>
        <v>0</v>
      </c>
      <c r="H232" s="8">
        <f t="shared" si="4"/>
        <v>10</v>
      </c>
      <c r="I232" s="9">
        <f t="shared" si="5"/>
        <v>24</v>
      </c>
    </row>
    <row r="233" spans="1:9" x14ac:dyDescent="0.2">
      <c r="A233" s="7">
        <v>20</v>
      </c>
      <c r="B233" s="8">
        <f t="shared" si="4"/>
        <v>0</v>
      </c>
      <c r="C233" s="8">
        <f t="shared" si="4"/>
        <v>6</v>
      </c>
      <c r="D233" s="8">
        <f t="shared" si="4"/>
        <v>0</v>
      </c>
      <c r="E233" s="8">
        <f t="shared" si="4"/>
        <v>0</v>
      </c>
      <c r="F233" s="8">
        <f t="shared" si="4"/>
        <v>2</v>
      </c>
      <c r="G233" s="8">
        <f t="shared" si="4"/>
        <v>0</v>
      </c>
      <c r="H233" s="8">
        <f t="shared" si="4"/>
        <v>7</v>
      </c>
      <c r="I233" s="9">
        <f t="shared" si="5"/>
        <v>15</v>
      </c>
    </row>
    <row r="234" spans="1:9" x14ac:dyDescent="0.2">
      <c r="A234" s="7">
        <v>21</v>
      </c>
      <c r="B234" s="8">
        <f t="shared" si="4"/>
        <v>1</v>
      </c>
      <c r="C234" s="8">
        <f t="shared" si="4"/>
        <v>4</v>
      </c>
      <c r="D234" s="8">
        <f t="shared" si="4"/>
        <v>0</v>
      </c>
      <c r="E234" s="8">
        <f t="shared" si="4"/>
        <v>2</v>
      </c>
      <c r="F234" s="8">
        <f t="shared" si="4"/>
        <v>5</v>
      </c>
      <c r="G234" s="8">
        <f t="shared" si="4"/>
        <v>0</v>
      </c>
      <c r="H234" s="8">
        <f t="shared" si="4"/>
        <v>12</v>
      </c>
      <c r="I234" s="9">
        <f t="shared" si="5"/>
        <v>24</v>
      </c>
    </row>
    <row r="235" spans="1:9" x14ac:dyDescent="0.2">
      <c r="A235" s="10">
        <v>22</v>
      </c>
      <c r="B235" s="11">
        <f t="shared" si="4"/>
        <v>0</v>
      </c>
      <c r="C235" s="11">
        <f t="shared" si="4"/>
        <v>2</v>
      </c>
      <c r="D235" s="11">
        <f t="shared" si="4"/>
        <v>0</v>
      </c>
      <c r="E235" s="11">
        <f t="shared" si="4"/>
        <v>1</v>
      </c>
      <c r="F235" s="11">
        <f t="shared" si="4"/>
        <v>3</v>
      </c>
      <c r="G235" s="11">
        <f t="shared" si="4"/>
        <v>1</v>
      </c>
      <c r="H235" s="11">
        <f t="shared" si="4"/>
        <v>4</v>
      </c>
      <c r="I235" s="12">
        <f t="shared" si="5"/>
        <v>11</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0</v>
      </c>
      <c r="D263" s="8">
        <f t="shared" si="6"/>
        <v>2</v>
      </c>
      <c r="E263" s="9">
        <f t="shared" ref="E263:E272" si="7">SUM(B263:D263)</f>
        <v>3</v>
      </c>
    </row>
    <row r="264" spans="1:9" x14ac:dyDescent="0.2">
      <c r="A264" s="7">
        <v>15</v>
      </c>
      <c r="B264" s="8">
        <f t="shared" si="6"/>
        <v>7</v>
      </c>
      <c r="C264" s="8">
        <f t="shared" si="6"/>
        <v>3</v>
      </c>
      <c r="D264" s="8">
        <f t="shared" si="6"/>
        <v>1</v>
      </c>
      <c r="E264" s="9">
        <f t="shared" si="7"/>
        <v>11</v>
      </c>
    </row>
    <row r="265" spans="1:9" x14ac:dyDescent="0.2">
      <c r="A265" s="7">
        <v>16</v>
      </c>
      <c r="B265" s="8">
        <f t="shared" si="6"/>
        <v>12</v>
      </c>
      <c r="C265" s="8">
        <f t="shared" si="6"/>
        <v>7</v>
      </c>
      <c r="D265" s="8">
        <f t="shared" si="6"/>
        <v>3</v>
      </c>
      <c r="E265" s="9">
        <f t="shared" si="7"/>
        <v>22</v>
      </c>
    </row>
    <row r="266" spans="1:9" x14ac:dyDescent="0.2">
      <c r="A266" s="7">
        <v>17</v>
      </c>
      <c r="B266" s="8">
        <f t="shared" si="6"/>
        <v>5</v>
      </c>
      <c r="C266" s="8">
        <f t="shared" si="6"/>
        <v>6</v>
      </c>
      <c r="D266" s="8">
        <f t="shared" si="6"/>
        <v>1</v>
      </c>
      <c r="E266" s="9">
        <f t="shared" si="7"/>
        <v>12</v>
      </c>
    </row>
    <row r="267" spans="1:9" x14ac:dyDescent="0.2">
      <c r="A267" s="7">
        <v>18</v>
      </c>
      <c r="B267" s="8">
        <f t="shared" si="6"/>
        <v>6</v>
      </c>
      <c r="C267" s="8">
        <f t="shared" si="6"/>
        <v>14</v>
      </c>
      <c r="D267" s="8">
        <f t="shared" si="6"/>
        <v>2</v>
      </c>
      <c r="E267" s="9">
        <f t="shared" si="7"/>
        <v>22</v>
      </c>
    </row>
    <row r="268" spans="1:9" x14ac:dyDescent="0.2">
      <c r="A268" s="7">
        <v>19</v>
      </c>
      <c r="B268" s="8">
        <f t="shared" si="6"/>
        <v>10</v>
      </c>
      <c r="C268" s="8">
        <f t="shared" si="6"/>
        <v>12</v>
      </c>
      <c r="D268" s="8">
        <f t="shared" si="6"/>
        <v>2</v>
      </c>
      <c r="E268" s="9">
        <f t="shared" si="7"/>
        <v>24</v>
      </c>
    </row>
    <row r="269" spans="1:9" x14ac:dyDescent="0.2">
      <c r="A269" s="7">
        <v>20</v>
      </c>
      <c r="B269" s="8">
        <f t="shared" si="6"/>
        <v>7</v>
      </c>
      <c r="C269" s="8">
        <f t="shared" si="6"/>
        <v>8</v>
      </c>
      <c r="D269" s="8">
        <f t="shared" si="6"/>
        <v>0</v>
      </c>
      <c r="E269" s="9">
        <f t="shared" si="7"/>
        <v>15</v>
      </c>
    </row>
    <row r="270" spans="1:9" x14ac:dyDescent="0.2">
      <c r="A270" s="7">
        <v>21</v>
      </c>
      <c r="B270" s="8">
        <f t="shared" si="6"/>
        <v>12</v>
      </c>
      <c r="C270" s="8">
        <f t="shared" si="6"/>
        <v>11</v>
      </c>
      <c r="D270" s="8">
        <f t="shared" si="6"/>
        <v>1</v>
      </c>
      <c r="E270" s="9">
        <f t="shared" si="7"/>
        <v>24</v>
      </c>
    </row>
    <row r="271" spans="1:9" x14ac:dyDescent="0.2">
      <c r="A271" s="7">
        <v>22</v>
      </c>
      <c r="B271" s="8">
        <f t="shared" si="6"/>
        <v>4</v>
      </c>
      <c r="C271" s="8">
        <f t="shared" si="6"/>
        <v>6</v>
      </c>
      <c r="D271" s="8">
        <f t="shared" si="6"/>
        <v>1</v>
      </c>
      <c r="E271" s="9">
        <f t="shared" si="7"/>
        <v>11</v>
      </c>
    </row>
    <row r="272" spans="1:9" x14ac:dyDescent="0.2">
      <c r="A272" s="10">
        <v>23</v>
      </c>
      <c r="B272" s="11">
        <f t="shared" si="6"/>
        <v>3</v>
      </c>
      <c r="C272" s="11">
        <f t="shared" si="6"/>
        <v>1</v>
      </c>
      <c r="D272" s="11">
        <f t="shared" si="6"/>
        <v>1</v>
      </c>
      <c r="E272" s="12">
        <f t="shared" si="7"/>
        <v>5</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D797-B568-5241-9A49-617FDBC1B1E7}">
  <dimension ref="A1:T272"/>
  <sheetViews>
    <sheetView showGridLines="0" zoomScale="110" zoomScaleNormal="110" workbookViewId="0">
      <selection activeCell="A2" sqref="A2:Q215"/>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8" t="s">
        <v>333</v>
      </c>
      <c r="B2" s="18" t="s">
        <v>18</v>
      </c>
      <c r="C2" s="18" t="s">
        <v>204</v>
      </c>
      <c r="D2" s="18" t="s">
        <v>33</v>
      </c>
      <c r="E2" s="18" t="s">
        <v>3473</v>
      </c>
      <c r="F2" s="19">
        <v>46305.007893518501</v>
      </c>
      <c r="G2" s="18" t="s">
        <v>21</v>
      </c>
      <c r="H2" s="18" t="s">
        <v>3474</v>
      </c>
      <c r="I2" s="18">
        <v>370</v>
      </c>
      <c r="J2" s="18" t="s">
        <v>22</v>
      </c>
      <c r="K2" s="18" t="s">
        <v>23</v>
      </c>
      <c r="L2" s="18">
        <v>151</v>
      </c>
      <c r="M2" s="18" t="s">
        <v>3475</v>
      </c>
      <c r="N2" s="19">
        <v>46305.017731481501</v>
      </c>
      <c r="O2" s="18">
        <v>248</v>
      </c>
      <c r="P2" s="18" t="s">
        <v>25</v>
      </c>
      <c r="Q2" s="18">
        <v>190</v>
      </c>
      <c r="R2" s="3" t="str">
        <f>IF(OR(G2="12R",G2="12L"),_xlfn.XLOOKUP(C2,Tabla42[ADEP],Tabla42[SID 12R],""),IF(OR(G2="30L",G2="30R"),_xlfn.XLOOKUP(C2,Tabla42[ADEP],Tabla42[SID 30L],""),""))</f>
        <v>TAKUX</v>
      </c>
      <c r="S2" s="3">
        <f>HOUR(F2)</f>
        <v>0</v>
      </c>
      <c r="T2" s="3" t="str">
        <f>_xlfn.XLOOKUP(C2,Tabla42[ADEP],Tabla42[Sector],"")</f>
        <v>Sector 7</v>
      </c>
    </row>
    <row r="3" spans="1:20" x14ac:dyDescent="0.2">
      <c r="A3" s="18" t="s">
        <v>17</v>
      </c>
      <c r="B3" s="18" t="s">
        <v>18</v>
      </c>
      <c r="C3" s="18" t="s">
        <v>19</v>
      </c>
      <c r="D3" s="18" t="s">
        <v>20</v>
      </c>
      <c r="E3" s="18" t="s">
        <v>710</v>
      </c>
      <c r="F3" s="19">
        <v>46305.012824074103</v>
      </c>
      <c r="G3" s="18" t="s">
        <v>21</v>
      </c>
      <c r="H3" s="18" t="s">
        <v>3476</v>
      </c>
      <c r="I3" s="18">
        <v>340</v>
      </c>
      <c r="J3" s="18" t="s">
        <v>22</v>
      </c>
      <c r="K3" s="18" t="s">
        <v>23</v>
      </c>
      <c r="L3" s="18">
        <v>860</v>
      </c>
      <c r="M3" s="18" t="s">
        <v>24</v>
      </c>
      <c r="N3" s="19">
        <v>46305.060289351903</v>
      </c>
      <c r="O3" s="18">
        <v>340</v>
      </c>
      <c r="P3" s="18" t="s">
        <v>25</v>
      </c>
      <c r="Q3" s="18">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8" t="s">
        <v>3477</v>
      </c>
      <c r="B4" s="18" t="s">
        <v>18</v>
      </c>
      <c r="C4" s="18" t="s">
        <v>206</v>
      </c>
      <c r="D4" s="18" t="s">
        <v>60</v>
      </c>
      <c r="E4" s="18" t="s">
        <v>529</v>
      </c>
      <c r="F4" s="19">
        <v>46305.022476851896</v>
      </c>
      <c r="G4" s="18" t="s">
        <v>21</v>
      </c>
      <c r="H4" s="18" t="s">
        <v>3478</v>
      </c>
      <c r="I4" s="18">
        <v>340</v>
      </c>
      <c r="J4" s="18" t="s">
        <v>22</v>
      </c>
      <c r="K4" s="18" t="s">
        <v>23</v>
      </c>
      <c r="L4" s="18">
        <v>860</v>
      </c>
      <c r="M4" s="18" t="s">
        <v>540</v>
      </c>
      <c r="N4" s="19">
        <v>46305.0690509259</v>
      </c>
      <c r="O4" s="18">
        <v>340</v>
      </c>
      <c r="P4" s="18" t="s">
        <v>25</v>
      </c>
      <c r="Q4" s="18">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8" t="s">
        <v>412</v>
      </c>
      <c r="B5" s="18" t="s">
        <v>18</v>
      </c>
      <c r="C5" s="18" t="s">
        <v>84</v>
      </c>
      <c r="D5" s="18" t="s">
        <v>85</v>
      </c>
      <c r="E5" s="18" t="s">
        <v>3479</v>
      </c>
      <c r="F5" s="19">
        <v>46305.028969907398</v>
      </c>
      <c r="G5" s="18" t="s">
        <v>21</v>
      </c>
      <c r="H5" s="18" t="s">
        <v>3480</v>
      </c>
      <c r="I5" s="18">
        <v>370</v>
      </c>
      <c r="J5" s="18" t="s">
        <v>22</v>
      </c>
      <c r="K5" s="18" t="s">
        <v>23</v>
      </c>
      <c r="L5" s="18">
        <v>134</v>
      </c>
      <c r="M5" s="18" t="s">
        <v>39</v>
      </c>
      <c r="N5" s="19">
        <v>46305.038402777798</v>
      </c>
      <c r="O5" s="18">
        <v>206</v>
      </c>
      <c r="P5" s="18" t="s">
        <v>40</v>
      </c>
      <c r="Q5" s="18">
        <v>190</v>
      </c>
      <c r="R5" s="3" t="str">
        <f>IF(OR(G5="12R",G5="12L"),_xlfn.XLOOKUP(C5,Tabla42[ADEP],Tabla42[SID 12R],""),IF(OR(G5="30L",G5="30R"),_xlfn.XLOOKUP(C5,Tabla42[ADEP],Tabla42[SID 30L],""),""))</f>
        <v>NUDAL</v>
      </c>
      <c r="S5" s="3">
        <f t="shared" si="0"/>
        <v>0</v>
      </c>
      <c r="T5" s="3" t="str">
        <f>_xlfn.XLOOKUP(C5,Tabla42[ADEP],Tabla42[Sector],"")</f>
        <v>Sector 3</v>
      </c>
    </row>
    <row r="6" spans="1:20" x14ac:dyDescent="0.2">
      <c r="A6" s="18" t="s">
        <v>31</v>
      </c>
      <c r="B6" s="18" t="s">
        <v>18</v>
      </c>
      <c r="C6" s="18" t="s">
        <v>32</v>
      </c>
      <c r="D6" s="18" t="s">
        <v>53</v>
      </c>
      <c r="E6" s="18" t="s">
        <v>674</v>
      </c>
      <c r="F6" s="19">
        <v>46305.031759259298</v>
      </c>
      <c r="G6" s="18" t="s">
        <v>21</v>
      </c>
      <c r="H6" s="18" t="s">
        <v>3481</v>
      </c>
      <c r="I6" s="18">
        <v>380</v>
      </c>
      <c r="J6" s="18" t="s">
        <v>22</v>
      </c>
      <c r="K6" s="18" t="s">
        <v>23</v>
      </c>
      <c r="L6" s="18">
        <v>877</v>
      </c>
      <c r="M6" s="18" t="s">
        <v>35</v>
      </c>
      <c r="N6" s="19">
        <v>46305.081145833297</v>
      </c>
      <c r="O6" s="18">
        <v>380</v>
      </c>
      <c r="P6" s="18" t="s">
        <v>25</v>
      </c>
      <c r="Q6" s="18">
        <v>190</v>
      </c>
      <c r="R6" s="3" t="str">
        <f>IF(OR(G6="12R",G6="12L"),_xlfn.XLOOKUP(C6,Tabla42[ADEP],Tabla42[SID 12R],""),IF(OR(G6="30L",G6="30R"),_xlfn.XLOOKUP(C6,Tabla42[ADEP],Tabla42[SID 30L],""),""))</f>
        <v>UDGUV</v>
      </c>
      <c r="S6" s="3">
        <f t="shared" si="0"/>
        <v>0</v>
      </c>
      <c r="T6" s="3" t="str">
        <f>_xlfn.XLOOKUP(C6,Tabla42[ADEP],Tabla42[Sector],"")</f>
        <v>Sector 2</v>
      </c>
    </row>
    <row r="7" spans="1:20" x14ac:dyDescent="0.2">
      <c r="A7" s="18" t="s">
        <v>46</v>
      </c>
      <c r="B7" s="18" t="s">
        <v>18</v>
      </c>
      <c r="C7" s="18" t="s">
        <v>47</v>
      </c>
      <c r="D7" s="18" t="s">
        <v>48</v>
      </c>
      <c r="E7" s="18" t="s">
        <v>3482</v>
      </c>
      <c r="F7" s="19">
        <v>46305.041736111103</v>
      </c>
      <c r="G7" s="18" t="s">
        <v>21</v>
      </c>
      <c r="H7" s="18" t="s">
        <v>3483</v>
      </c>
      <c r="I7" s="18">
        <v>350</v>
      </c>
      <c r="J7" s="18" t="s">
        <v>22</v>
      </c>
      <c r="K7" s="18" t="s">
        <v>23</v>
      </c>
      <c r="L7" s="18">
        <v>134</v>
      </c>
      <c r="M7" s="18" t="s">
        <v>39</v>
      </c>
      <c r="N7" s="19">
        <v>46305.051076388903</v>
      </c>
      <c r="O7" s="18">
        <v>229</v>
      </c>
      <c r="P7" s="18" t="s">
        <v>40</v>
      </c>
      <c r="Q7" s="18">
        <v>190</v>
      </c>
      <c r="R7" s="3" t="str">
        <f>IF(OR(G7="12R",G7="12L"),_xlfn.XLOOKUP(C7,Tabla42[ADEP],Tabla42[SID 12R],""),IF(OR(G7="30L",G7="30R"),_xlfn.XLOOKUP(C7,Tabla42[ADEP],Tabla42[SID 30L],""),""))</f>
        <v>NUDAL</v>
      </c>
      <c r="S7" s="3">
        <f t="shared" si="0"/>
        <v>1</v>
      </c>
      <c r="T7" s="3" t="str">
        <f>_xlfn.XLOOKUP(C7,Tabla42[ADEP],Tabla42[Sector],"")</f>
        <v>Sector 3</v>
      </c>
    </row>
    <row r="8" spans="1:20" x14ac:dyDescent="0.2">
      <c r="A8" s="18" t="s">
        <v>36</v>
      </c>
      <c r="B8" s="18" t="s">
        <v>18</v>
      </c>
      <c r="C8" s="18" t="s">
        <v>37</v>
      </c>
      <c r="D8" s="18" t="s">
        <v>38</v>
      </c>
      <c r="E8" s="18" t="s">
        <v>3484</v>
      </c>
      <c r="F8" s="19">
        <v>46305.043842592597</v>
      </c>
      <c r="G8" s="18" t="s">
        <v>21</v>
      </c>
      <c r="H8" s="18" t="s">
        <v>3485</v>
      </c>
      <c r="I8" s="18">
        <v>350</v>
      </c>
      <c r="J8" s="18" t="s">
        <v>22</v>
      </c>
      <c r="K8" s="18" t="s">
        <v>23</v>
      </c>
      <c r="L8" s="18">
        <v>131</v>
      </c>
      <c r="M8" s="18" t="s">
        <v>39</v>
      </c>
      <c r="N8" s="19">
        <v>46305.052951388898</v>
      </c>
      <c r="O8" s="18">
        <v>209</v>
      </c>
      <c r="P8" s="18" t="s">
        <v>40</v>
      </c>
      <c r="Q8" s="18">
        <v>190</v>
      </c>
      <c r="R8" s="3" t="str">
        <f>IF(OR(G8="12R",G8="12L"),_xlfn.XLOOKUP(C8,Tabla42[ADEP],Tabla42[SID 12R],""),IF(OR(G8="30L",G8="30R"),_xlfn.XLOOKUP(C8,Tabla42[ADEP],Tabla42[SID 30L],""),""))</f>
        <v>NUDAL</v>
      </c>
      <c r="S8" s="3">
        <f t="shared" si="0"/>
        <v>1</v>
      </c>
      <c r="T8" s="3" t="str">
        <f>_xlfn.XLOOKUP(C8,Tabla42[ADEP],Tabla42[Sector],"")</f>
        <v>Sector 3</v>
      </c>
    </row>
    <row r="9" spans="1:20" x14ac:dyDescent="0.2">
      <c r="A9" s="18" t="s">
        <v>41</v>
      </c>
      <c r="B9" s="18" t="s">
        <v>18</v>
      </c>
      <c r="C9" s="18" t="s">
        <v>42</v>
      </c>
      <c r="D9" s="18" t="s">
        <v>43</v>
      </c>
      <c r="E9" s="18" t="s">
        <v>637</v>
      </c>
      <c r="F9" s="19">
        <v>46305.053229166697</v>
      </c>
      <c r="G9" s="18" t="s">
        <v>21</v>
      </c>
      <c r="H9" s="18" t="s">
        <v>3486</v>
      </c>
      <c r="I9" s="18">
        <v>340</v>
      </c>
      <c r="J9" s="18" t="s">
        <v>22</v>
      </c>
      <c r="K9" s="18" t="s">
        <v>23</v>
      </c>
      <c r="L9" s="18">
        <v>862</v>
      </c>
      <c r="M9" s="18" t="s">
        <v>45</v>
      </c>
      <c r="N9" s="19">
        <v>46305.100023148101</v>
      </c>
      <c r="O9" s="18">
        <v>340</v>
      </c>
      <c r="P9" s="18" t="s">
        <v>25</v>
      </c>
      <c r="Q9" s="18">
        <v>190</v>
      </c>
      <c r="R9" s="3" t="str">
        <f>IF(OR(G9="12R",G9="12L"),_xlfn.XLOOKUP(C9,Tabla42[ADEP],Tabla42[SID 12R],""),IF(OR(G9="30L",G9="30R"),_xlfn.XLOOKUP(C9,Tabla42[ADEP],Tabla42[SID 30L],""),""))</f>
        <v>UDGUV</v>
      </c>
      <c r="S9" s="3">
        <f t="shared" si="0"/>
        <v>1</v>
      </c>
      <c r="T9" s="3" t="str">
        <f>_xlfn.XLOOKUP(C9,Tabla42[ADEP],Tabla42[Sector],"")</f>
        <v>Sector 2</v>
      </c>
    </row>
    <row r="10" spans="1:20" x14ac:dyDescent="0.2">
      <c r="A10" s="18" t="s">
        <v>51</v>
      </c>
      <c r="B10" s="18" t="s">
        <v>18</v>
      </c>
      <c r="C10" s="18" t="s">
        <v>52</v>
      </c>
      <c r="D10" s="18" t="s">
        <v>53</v>
      </c>
      <c r="E10" s="18" t="s">
        <v>54</v>
      </c>
      <c r="F10" s="19">
        <v>46305.059942129599</v>
      </c>
      <c r="G10" s="18" t="s">
        <v>21</v>
      </c>
      <c r="H10" s="18" t="s">
        <v>3487</v>
      </c>
      <c r="I10" s="18">
        <v>370</v>
      </c>
      <c r="J10" s="18" t="s">
        <v>22</v>
      </c>
      <c r="K10" s="18" t="s">
        <v>23</v>
      </c>
      <c r="L10" s="18">
        <v>196</v>
      </c>
      <c r="M10" s="18" t="s">
        <v>997</v>
      </c>
      <c r="N10" s="19">
        <v>46305.071759259299</v>
      </c>
      <c r="O10" s="18">
        <v>370</v>
      </c>
      <c r="P10" s="18" t="s">
        <v>25</v>
      </c>
      <c r="Q10" s="18">
        <v>190</v>
      </c>
      <c r="R10" s="3" t="str">
        <f>IF(OR(G10="12R",G10="12L"),_xlfn.XLOOKUP(C10,Tabla42[ADEP],Tabla42[SID 12R],""),IF(OR(G10="30L",G10="30R"),_xlfn.XLOOKUP(C10,Tabla42[ADEP],Tabla42[SID 30L],""),""))</f>
        <v>CZM</v>
      </c>
      <c r="S10" s="3">
        <f t="shared" si="0"/>
        <v>1</v>
      </c>
      <c r="T10" s="3" t="str">
        <f>_xlfn.XLOOKUP(C10,Tabla42[ADEP],Tabla42[Sector],"")</f>
        <v>Sector 7</v>
      </c>
    </row>
    <row r="11" spans="1:20" x14ac:dyDescent="0.2">
      <c r="A11" s="18" t="s">
        <v>61</v>
      </c>
      <c r="B11" s="18" t="s">
        <v>18</v>
      </c>
      <c r="C11" s="18" t="s">
        <v>65</v>
      </c>
      <c r="D11" s="18" t="s">
        <v>63</v>
      </c>
      <c r="E11" s="18" t="s">
        <v>3488</v>
      </c>
      <c r="F11" s="19">
        <v>46305.064664351798</v>
      </c>
      <c r="G11" s="18" t="s">
        <v>21</v>
      </c>
      <c r="H11" s="18" t="s">
        <v>3489</v>
      </c>
      <c r="I11" s="18">
        <v>240</v>
      </c>
      <c r="J11" s="18" t="s">
        <v>22</v>
      </c>
      <c r="K11" s="18" t="s">
        <v>23</v>
      </c>
      <c r="L11" s="18">
        <v>302</v>
      </c>
      <c r="M11" s="18" t="s">
        <v>65</v>
      </c>
      <c r="N11" s="19">
        <v>46305.086493055598</v>
      </c>
      <c r="O11" s="18">
        <v>0</v>
      </c>
      <c r="P11" s="18" t="s">
        <v>25</v>
      </c>
      <c r="Q11" s="18">
        <v>190</v>
      </c>
      <c r="R11" s="3" t="str">
        <f>IF(OR(G11="12R",G11="12L"),_xlfn.XLOOKUP(C11,Tabla42[ADEP],Tabla42[SID 12R],""),IF(OR(G11="30L",G11="30R"),_xlfn.XLOOKUP(C11,Tabla42[ADEP],Tabla42[SID 30L],""),""))</f>
        <v>UDGUV</v>
      </c>
      <c r="S11" s="3">
        <f t="shared" si="0"/>
        <v>1</v>
      </c>
      <c r="T11" s="3" t="str">
        <f>_xlfn.XLOOKUP(C11,Tabla42[ADEP],Tabla42[Sector],"")</f>
        <v>Sector 2</v>
      </c>
    </row>
    <row r="12" spans="1:20" x14ac:dyDescent="0.2">
      <c r="A12" s="18" t="s">
        <v>323</v>
      </c>
      <c r="B12" s="18" t="s">
        <v>18</v>
      </c>
      <c r="C12" s="18" t="s">
        <v>32</v>
      </c>
      <c r="D12" s="18" t="s">
        <v>20</v>
      </c>
      <c r="E12" s="18" t="s">
        <v>169</v>
      </c>
      <c r="F12" s="19">
        <v>46305.0765509259</v>
      </c>
      <c r="G12" s="18" t="s">
        <v>21</v>
      </c>
      <c r="H12" s="18" t="s">
        <v>3490</v>
      </c>
      <c r="I12" s="18">
        <v>340</v>
      </c>
      <c r="J12" s="18" t="s">
        <v>22</v>
      </c>
      <c r="K12" s="18" t="s">
        <v>23</v>
      </c>
      <c r="L12" s="18">
        <v>869</v>
      </c>
      <c r="M12" s="18" t="s">
        <v>35</v>
      </c>
      <c r="N12" s="19">
        <v>46305.124131944402</v>
      </c>
      <c r="O12" s="18">
        <v>340</v>
      </c>
      <c r="P12" s="18" t="s">
        <v>25</v>
      </c>
      <c r="Q12" s="18">
        <v>190</v>
      </c>
      <c r="R12" s="3" t="str">
        <f>IF(OR(G12="12R",G12="12L"),_xlfn.XLOOKUP(C12,Tabla42[ADEP],Tabla42[SID 12R],""),IF(OR(G12="30L",G12="30R"),_xlfn.XLOOKUP(C12,Tabla42[ADEP],Tabla42[SID 30L],""),""))</f>
        <v>UDGUV</v>
      </c>
      <c r="S12" s="3">
        <f t="shared" si="0"/>
        <v>1</v>
      </c>
      <c r="T12" s="3" t="str">
        <f>_xlfn.XLOOKUP(C12,Tabla42[ADEP],Tabla42[Sector],"")</f>
        <v>Sector 2</v>
      </c>
    </row>
    <row r="13" spans="1:20" x14ac:dyDescent="0.2">
      <c r="A13" s="18" t="s">
        <v>346</v>
      </c>
      <c r="B13" s="18" t="s">
        <v>18</v>
      </c>
      <c r="C13" s="18" t="s">
        <v>37</v>
      </c>
      <c r="D13" s="18" t="s">
        <v>340</v>
      </c>
      <c r="E13" s="18" t="s">
        <v>3491</v>
      </c>
      <c r="F13" s="19">
        <v>46305.077916666698</v>
      </c>
      <c r="G13" s="18" t="s">
        <v>21</v>
      </c>
      <c r="H13" s="18" t="s">
        <v>3492</v>
      </c>
      <c r="I13" s="18">
        <v>390</v>
      </c>
      <c r="J13" s="18" t="s">
        <v>22</v>
      </c>
      <c r="K13" s="18" t="s">
        <v>23</v>
      </c>
      <c r="L13" s="18">
        <v>137</v>
      </c>
      <c r="M13" s="18" t="s">
        <v>39</v>
      </c>
      <c r="N13" s="19">
        <v>46305.0871527778</v>
      </c>
      <c r="O13" s="18">
        <v>218</v>
      </c>
      <c r="P13" s="18" t="s">
        <v>40</v>
      </c>
      <c r="Q13" s="18">
        <v>190</v>
      </c>
      <c r="R13" s="3" t="str">
        <f>IF(OR(G13="12R",G13="12L"),_xlfn.XLOOKUP(C13,Tabla42[ADEP],Tabla42[SID 12R],""),IF(OR(G13="30L",G13="30R"),_xlfn.XLOOKUP(C13,Tabla42[ADEP],Tabla42[SID 30L],""),""))</f>
        <v>NUDAL</v>
      </c>
      <c r="S13" s="3">
        <f t="shared" si="0"/>
        <v>1</v>
      </c>
      <c r="T13" s="3" t="str">
        <f>_xlfn.XLOOKUP(C13,Tabla42[ADEP],Tabla42[Sector],"")</f>
        <v>Sector 3</v>
      </c>
    </row>
    <row r="14" spans="1:20" x14ac:dyDescent="0.2">
      <c r="A14" s="18" t="s">
        <v>2495</v>
      </c>
      <c r="B14" s="18" t="s">
        <v>18</v>
      </c>
      <c r="C14" s="18" t="s">
        <v>559</v>
      </c>
      <c r="D14" s="18" t="s">
        <v>226</v>
      </c>
      <c r="E14" s="18" t="s">
        <v>3493</v>
      </c>
      <c r="F14" s="19">
        <v>46305.0801041667</v>
      </c>
      <c r="G14" s="18" t="s">
        <v>21</v>
      </c>
      <c r="H14" s="18" t="s">
        <v>3494</v>
      </c>
      <c r="I14" s="18">
        <v>370</v>
      </c>
      <c r="J14" s="18" t="s">
        <v>22</v>
      </c>
      <c r="K14" s="18" t="s">
        <v>23</v>
      </c>
      <c r="L14" s="18">
        <v>219</v>
      </c>
      <c r="M14" s="18" t="s">
        <v>355</v>
      </c>
      <c r="N14" s="19">
        <v>46305.093067129601</v>
      </c>
      <c r="O14" s="18">
        <v>310</v>
      </c>
      <c r="P14" s="18" t="s">
        <v>25</v>
      </c>
      <c r="Q14" s="18">
        <v>40</v>
      </c>
      <c r="R14" s="3" t="str">
        <f>IF(OR(G14="12R",G14="12L"),_xlfn.XLOOKUP(C14,Tabla42[ADEP],Tabla42[SID 12R],""),IF(OR(G14="30L",G14="30R"),_xlfn.XLOOKUP(C14,Tabla42[ADEP],Tabla42[SID 30L],""),""))</f>
        <v>OMSUK</v>
      </c>
      <c r="S14" s="3">
        <f t="shared" si="0"/>
        <v>1</v>
      </c>
      <c r="T14" s="3" t="str">
        <f>_xlfn.XLOOKUP(C14,Tabla42[ADEP],Tabla42[Sector],"")</f>
        <v>Sector 3</v>
      </c>
    </row>
    <row r="15" spans="1:20" x14ac:dyDescent="0.2">
      <c r="A15" s="18" t="s">
        <v>56</v>
      </c>
      <c r="B15" s="18" t="s">
        <v>18</v>
      </c>
      <c r="C15" s="18" t="s">
        <v>42</v>
      </c>
      <c r="D15" s="18" t="s">
        <v>20</v>
      </c>
      <c r="E15" s="18" t="s">
        <v>2141</v>
      </c>
      <c r="F15" s="19">
        <v>46305.081145833297</v>
      </c>
      <c r="G15" s="18" t="s">
        <v>21</v>
      </c>
      <c r="H15" s="18" t="s">
        <v>3495</v>
      </c>
      <c r="I15" s="18">
        <v>360</v>
      </c>
      <c r="J15" s="18" t="s">
        <v>22</v>
      </c>
      <c r="K15" s="18" t="s">
        <v>23</v>
      </c>
      <c r="L15" s="18">
        <v>867</v>
      </c>
      <c r="M15" s="18" t="s">
        <v>540</v>
      </c>
      <c r="N15" s="19">
        <v>46305.128807870402</v>
      </c>
      <c r="O15" s="18">
        <v>360</v>
      </c>
      <c r="P15" s="18" t="s">
        <v>25</v>
      </c>
      <c r="Q15" s="18">
        <v>190</v>
      </c>
      <c r="R15" s="3" t="str">
        <f>IF(OR(G15="12R",G15="12L"),_xlfn.XLOOKUP(C15,Tabla42[ADEP],Tabla42[SID 12R],""),IF(OR(G15="30L",G15="30R"),_xlfn.XLOOKUP(C15,Tabla42[ADEP],Tabla42[SID 30L],""),""))</f>
        <v>UDGUV</v>
      </c>
      <c r="S15" s="3">
        <f t="shared" si="0"/>
        <v>1</v>
      </c>
      <c r="T15" s="3" t="str">
        <f>_xlfn.XLOOKUP(C15,Tabla42[ADEP],Tabla42[Sector],"")</f>
        <v>Sector 2</v>
      </c>
    </row>
    <row r="16" spans="1:20" x14ac:dyDescent="0.2">
      <c r="A16" s="18" t="s">
        <v>67</v>
      </c>
      <c r="B16" s="18" t="s">
        <v>18</v>
      </c>
      <c r="C16" s="18" t="s">
        <v>37</v>
      </c>
      <c r="D16" s="18" t="s">
        <v>38</v>
      </c>
      <c r="E16" s="18" t="s">
        <v>2351</v>
      </c>
      <c r="F16" s="19">
        <v>46305.097800925898</v>
      </c>
      <c r="G16" s="18" t="s">
        <v>21</v>
      </c>
      <c r="H16" s="18" t="s">
        <v>3496</v>
      </c>
      <c r="I16" s="18">
        <v>390</v>
      </c>
      <c r="J16" s="18" t="s">
        <v>22</v>
      </c>
      <c r="K16" s="18" t="s">
        <v>23</v>
      </c>
      <c r="L16" s="18">
        <v>133</v>
      </c>
      <c r="M16" s="18" t="s">
        <v>39</v>
      </c>
      <c r="N16" s="19">
        <v>46305.106828703698</v>
      </c>
      <c r="O16" s="18">
        <v>227</v>
      </c>
      <c r="P16" s="18" t="s">
        <v>40</v>
      </c>
      <c r="Q16" s="18">
        <v>190</v>
      </c>
      <c r="R16" s="3" t="str">
        <f>IF(OR(G16="12R",G16="12L"),_xlfn.XLOOKUP(C16,Tabla42[ADEP],Tabla42[SID 12R],""),IF(OR(G16="30L",G16="30R"),_xlfn.XLOOKUP(C16,Tabla42[ADEP],Tabla42[SID 30L],""),""))</f>
        <v>NUDAL</v>
      </c>
      <c r="S16" s="3">
        <f t="shared" si="0"/>
        <v>2</v>
      </c>
      <c r="T16" s="3" t="str">
        <f>_xlfn.XLOOKUP(C16,Tabla42[ADEP],Tabla42[Sector],"")</f>
        <v>Sector 3</v>
      </c>
    </row>
    <row r="17" spans="1:20" x14ac:dyDescent="0.2">
      <c r="A17" s="18" t="s">
        <v>59</v>
      </c>
      <c r="B17" s="18" t="s">
        <v>18</v>
      </c>
      <c r="C17" s="18" t="s">
        <v>27</v>
      </c>
      <c r="D17" s="18" t="s">
        <v>60</v>
      </c>
      <c r="E17" s="18" t="s">
        <v>3497</v>
      </c>
      <c r="F17" s="19">
        <v>46305.101493055598</v>
      </c>
      <c r="G17" s="18" t="s">
        <v>21</v>
      </c>
      <c r="H17" s="18" t="s">
        <v>3498</v>
      </c>
      <c r="I17" s="18">
        <v>330</v>
      </c>
      <c r="J17" s="18" t="s">
        <v>22</v>
      </c>
      <c r="K17" s="18" t="s">
        <v>23</v>
      </c>
      <c r="L17" s="18">
        <v>226</v>
      </c>
      <c r="M17" s="18" t="s">
        <v>355</v>
      </c>
      <c r="N17" s="19">
        <v>46305.115173611099</v>
      </c>
      <c r="O17" s="18">
        <v>217</v>
      </c>
      <c r="P17" s="18" t="s">
        <v>25</v>
      </c>
      <c r="Q17" s="18">
        <v>40</v>
      </c>
      <c r="R17" s="3" t="str">
        <f>IF(OR(G17="12R",G17="12L"),_xlfn.XLOOKUP(C17,Tabla42[ADEP],Tabla42[SID 12R],""),IF(OR(G17="30L",G17="30R"),_xlfn.XLOOKUP(C17,Tabla42[ADEP],Tabla42[SID 30L],""),""))</f>
        <v>OMSUK</v>
      </c>
      <c r="S17" s="3">
        <f t="shared" si="0"/>
        <v>2</v>
      </c>
      <c r="T17" s="3" t="str">
        <f>_xlfn.XLOOKUP(C17,Tabla42[ADEP],Tabla42[Sector],"")</f>
        <v>Sector 3</v>
      </c>
    </row>
    <row r="18" spans="1:20" x14ac:dyDescent="0.2">
      <c r="A18" s="18" t="s">
        <v>3499</v>
      </c>
      <c r="B18" s="18" t="s">
        <v>18</v>
      </c>
      <c r="C18" s="18" t="s">
        <v>49</v>
      </c>
      <c r="D18" s="18" t="s">
        <v>354</v>
      </c>
      <c r="E18" s="18"/>
      <c r="F18" s="19">
        <v>46305.111400463</v>
      </c>
      <c r="G18" s="18" t="s">
        <v>21</v>
      </c>
      <c r="H18" s="18" t="s">
        <v>3500</v>
      </c>
      <c r="I18" s="18">
        <v>380</v>
      </c>
      <c r="J18" s="18" t="s">
        <v>22</v>
      </c>
      <c r="K18" s="18" t="s">
        <v>50</v>
      </c>
      <c r="L18" s="18">
        <v>862</v>
      </c>
      <c r="M18" s="18" t="s">
        <v>630</v>
      </c>
      <c r="N18" s="19">
        <v>46305.161851851903</v>
      </c>
      <c r="O18" s="18">
        <v>380</v>
      </c>
      <c r="P18" s="18" t="s">
        <v>25</v>
      </c>
      <c r="Q18" s="18">
        <v>30</v>
      </c>
      <c r="R18" s="3" t="str">
        <f>IF(OR(G18="12R",G18="12L"),_xlfn.XLOOKUP(C18,Tabla42[ADEP],Tabla42[SID 12R],""),IF(OR(G18="30L",G18="30R"),_xlfn.XLOOKUP(C18,Tabla42[ADEP],Tabla42[SID 30L],""),""))</f>
        <v>UDGUV</v>
      </c>
      <c r="S18" s="3">
        <f t="shared" si="0"/>
        <v>2</v>
      </c>
      <c r="T18" s="3" t="str">
        <f>_xlfn.XLOOKUP(C18,Tabla42[ADEP],Tabla42[Sector],"")</f>
        <v>Sector 2</v>
      </c>
    </row>
    <row r="19" spans="1:20" x14ac:dyDescent="0.2">
      <c r="A19" s="18" t="s">
        <v>348</v>
      </c>
      <c r="B19" s="18" t="s">
        <v>18</v>
      </c>
      <c r="C19" s="18" t="s">
        <v>204</v>
      </c>
      <c r="D19" s="18" t="s">
        <v>33</v>
      </c>
      <c r="E19" s="18" t="s">
        <v>368</v>
      </c>
      <c r="F19" s="19">
        <v>46305.115289351903</v>
      </c>
      <c r="G19" s="18" t="s">
        <v>21</v>
      </c>
      <c r="H19" s="18" t="s">
        <v>3501</v>
      </c>
      <c r="I19" s="18">
        <v>370</v>
      </c>
      <c r="J19" s="18" t="s">
        <v>22</v>
      </c>
      <c r="K19" s="18" t="s">
        <v>23</v>
      </c>
      <c r="L19" s="18">
        <v>153</v>
      </c>
      <c r="M19" s="18" t="s">
        <v>111</v>
      </c>
      <c r="N19" s="19">
        <v>46305.125439814801</v>
      </c>
      <c r="O19" s="18">
        <v>259</v>
      </c>
      <c r="P19" s="18" t="s">
        <v>25</v>
      </c>
      <c r="Q19" s="18">
        <v>190</v>
      </c>
      <c r="R19" s="3" t="str">
        <f>IF(OR(G19="12R",G19="12L"),_xlfn.XLOOKUP(C19,Tabla42[ADEP],Tabla42[SID 12R],""),IF(OR(G19="30L",G19="30R"),_xlfn.XLOOKUP(C19,Tabla42[ADEP],Tabla42[SID 30L],""),""))</f>
        <v>TAKUX</v>
      </c>
      <c r="S19" s="3">
        <f t="shared" si="0"/>
        <v>2</v>
      </c>
      <c r="T19" s="3" t="str">
        <f>_xlfn.XLOOKUP(C19,Tabla42[ADEP],Tabla42[Sector],"")</f>
        <v>Sector 7</v>
      </c>
    </row>
    <row r="20" spans="1:20" x14ac:dyDescent="0.2">
      <c r="A20" s="18" t="s">
        <v>78</v>
      </c>
      <c r="B20" s="18" t="s">
        <v>18</v>
      </c>
      <c r="C20" s="18" t="s">
        <v>42</v>
      </c>
      <c r="D20" s="18" t="s">
        <v>20</v>
      </c>
      <c r="E20" s="18" t="s">
        <v>2940</v>
      </c>
      <c r="F20" s="19">
        <v>46305.119398148097</v>
      </c>
      <c r="G20" s="18" t="s">
        <v>21</v>
      </c>
      <c r="H20" s="18" t="s">
        <v>3502</v>
      </c>
      <c r="I20" s="18">
        <v>360</v>
      </c>
      <c r="J20" s="18" t="s">
        <v>22</v>
      </c>
      <c r="K20" s="18" t="s">
        <v>23</v>
      </c>
      <c r="L20" s="18">
        <v>874</v>
      </c>
      <c r="M20" s="18" t="s">
        <v>3503</v>
      </c>
      <c r="N20" s="19">
        <v>46305.166840277801</v>
      </c>
      <c r="O20" s="18">
        <v>360</v>
      </c>
      <c r="P20" s="18" t="s">
        <v>25</v>
      </c>
      <c r="Q20" s="18">
        <v>190</v>
      </c>
      <c r="R20" s="3" t="str">
        <f>IF(OR(G20="12R",G20="12L"),_xlfn.XLOOKUP(C20,Tabla42[ADEP],Tabla42[SID 12R],""),IF(OR(G20="30L",G20="30R"),_xlfn.XLOOKUP(C20,Tabla42[ADEP],Tabla42[SID 30L],""),""))</f>
        <v>UDGUV</v>
      </c>
      <c r="S20" s="3">
        <f t="shared" si="0"/>
        <v>2</v>
      </c>
      <c r="T20" s="3" t="str">
        <f>_xlfn.XLOOKUP(C20,Tabla42[ADEP],Tabla42[Sector],"")</f>
        <v>Sector 2</v>
      </c>
    </row>
    <row r="21" spans="1:20" x14ac:dyDescent="0.2">
      <c r="A21" s="18" t="s">
        <v>504</v>
      </c>
      <c r="B21" s="18" t="s">
        <v>18</v>
      </c>
      <c r="C21" s="18" t="s">
        <v>96</v>
      </c>
      <c r="D21" s="18" t="s">
        <v>53</v>
      </c>
      <c r="E21" s="18" t="s">
        <v>1613</v>
      </c>
      <c r="F21" s="19">
        <v>46305.121608796297</v>
      </c>
      <c r="G21" s="18" t="s">
        <v>21</v>
      </c>
      <c r="H21" s="18" t="s">
        <v>3504</v>
      </c>
      <c r="I21" s="18">
        <v>360</v>
      </c>
      <c r="J21" s="18" t="s">
        <v>22</v>
      </c>
      <c r="K21" s="18" t="s">
        <v>23</v>
      </c>
      <c r="L21" s="18">
        <v>867</v>
      </c>
      <c r="M21" s="18" t="s">
        <v>2035</v>
      </c>
      <c r="N21" s="19">
        <v>46305.169270833299</v>
      </c>
      <c r="O21" s="18">
        <v>360</v>
      </c>
      <c r="P21" s="18" t="s">
        <v>25</v>
      </c>
      <c r="Q21" s="18">
        <v>190</v>
      </c>
      <c r="R21" s="3" t="str">
        <f>IF(OR(G21="12R",G21="12L"),_xlfn.XLOOKUP(C21,Tabla42[ADEP],Tabla42[SID 12R],""),IF(OR(G21="30L",G21="30R"),_xlfn.XLOOKUP(C21,Tabla42[ADEP],Tabla42[SID 30L],""),""))</f>
        <v>UDGUV</v>
      </c>
      <c r="S21" s="3">
        <f t="shared" si="0"/>
        <v>2</v>
      </c>
      <c r="T21" s="3" t="str">
        <f>_xlfn.XLOOKUP(C21,Tabla42[ADEP],Tabla42[Sector],"")</f>
        <v>Sector 2</v>
      </c>
    </row>
    <row r="22" spans="1:20" x14ac:dyDescent="0.2">
      <c r="A22" s="18" t="s">
        <v>69</v>
      </c>
      <c r="B22" s="18" t="s">
        <v>18</v>
      </c>
      <c r="C22" s="18" t="s">
        <v>42</v>
      </c>
      <c r="D22" s="18" t="s">
        <v>33</v>
      </c>
      <c r="E22" s="18" t="s">
        <v>3296</v>
      </c>
      <c r="F22" s="19">
        <v>46305.125034722201</v>
      </c>
      <c r="G22" s="18" t="s">
        <v>21</v>
      </c>
      <c r="H22" s="18" t="s">
        <v>3505</v>
      </c>
      <c r="I22" s="18">
        <v>360</v>
      </c>
      <c r="J22" s="18" t="s">
        <v>22</v>
      </c>
      <c r="K22" s="18" t="s">
        <v>23</v>
      </c>
      <c r="L22" s="18">
        <v>878</v>
      </c>
      <c r="M22" s="18" t="s">
        <v>3503</v>
      </c>
      <c r="N22" s="19">
        <v>46305.171817129602</v>
      </c>
      <c r="O22" s="18">
        <v>360</v>
      </c>
      <c r="P22" s="18" t="s">
        <v>25</v>
      </c>
      <c r="Q22" s="18">
        <v>190</v>
      </c>
      <c r="R22" s="3" t="str">
        <f>IF(OR(G22="12R",G22="12L"),_xlfn.XLOOKUP(C22,Tabla42[ADEP],Tabla42[SID 12R],""),IF(OR(G22="30L",G22="30R"),_xlfn.XLOOKUP(C22,Tabla42[ADEP],Tabla42[SID 30L],""),""))</f>
        <v>UDGUV</v>
      </c>
      <c r="S22" s="3">
        <f t="shared" si="0"/>
        <v>3</v>
      </c>
      <c r="T22" s="3" t="str">
        <f>_xlfn.XLOOKUP(C22,Tabla42[ADEP],Tabla42[Sector],"")</f>
        <v>Sector 2</v>
      </c>
    </row>
    <row r="23" spans="1:20" x14ac:dyDescent="0.2">
      <c r="A23" s="18" t="s">
        <v>81</v>
      </c>
      <c r="B23" s="18" t="s">
        <v>18</v>
      </c>
      <c r="C23" s="18" t="s">
        <v>49</v>
      </c>
      <c r="D23" s="18" t="s">
        <v>33</v>
      </c>
      <c r="E23" s="18" t="s">
        <v>532</v>
      </c>
      <c r="F23" s="19">
        <v>46305.126828703702</v>
      </c>
      <c r="G23" s="18" t="s">
        <v>21</v>
      </c>
      <c r="H23" s="18" t="s">
        <v>3506</v>
      </c>
      <c r="I23" s="18">
        <v>360</v>
      </c>
      <c r="J23" s="18" t="s">
        <v>22</v>
      </c>
      <c r="K23" s="18" t="s">
        <v>23</v>
      </c>
      <c r="L23" s="18">
        <v>872</v>
      </c>
      <c r="M23" s="18" t="s">
        <v>83</v>
      </c>
      <c r="N23" s="19">
        <v>46305.174791666701</v>
      </c>
      <c r="O23" s="18">
        <v>360</v>
      </c>
      <c r="P23" s="18" t="s">
        <v>25</v>
      </c>
      <c r="Q23" s="18">
        <v>190</v>
      </c>
      <c r="R23" s="3" t="str">
        <f>IF(OR(G23="12R",G23="12L"),_xlfn.XLOOKUP(C23,Tabla42[ADEP],Tabla42[SID 12R],""),IF(OR(G23="30L",G23="30R"),_xlfn.XLOOKUP(C23,Tabla42[ADEP],Tabla42[SID 30L],""),""))</f>
        <v>UDGUV</v>
      </c>
      <c r="S23" s="3">
        <f t="shared" si="0"/>
        <v>3</v>
      </c>
      <c r="T23" s="3" t="str">
        <f>_xlfn.XLOOKUP(C23,Tabla42[ADEP],Tabla42[Sector],"")</f>
        <v>Sector 2</v>
      </c>
    </row>
    <row r="24" spans="1:20" x14ac:dyDescent="0.2">
      <c r="A24" s="18" t="s">
        <v>3507</v>
      </c>
      <c r="B24" s="18" t="s">
        <v>18</v>
      </c>
      <c r="C24" s="18" t="s">
        <v>3508</v>
      </c>
      <c r="D24" s="18" t="s">
        <v>3509</v>
      </c>
      <c r="E24" s="18" t="s">
        <v>3510</v>
      </c>
      <c r="F24" s="19">
        <v>46305.155810185199</v>
      </c>
      <c r="G24" s="18" t="s">
        <v>21</v>
      </c>
      <c r="H24" s="18" t="s">
        <v>3511</v>
      </c>
      <c r="I24" s="18">
        <v>210</v>
      </c>
      <c r="J24" s="18" t="s">
        <v>22</v>
      </c>
      <c r="K24" s="18" t="s">
        <v>23</v>
      </c>
      <c r="L24" s="18">
        <v>141</v>
      </c>
      <c r="M24" s="18" t="s">
        <v>39</v>
      </c>
      <c r="N24" s="19">
        <v>46305.1713310185</v>
      </c>
      <c r="O24" s="18">
        <v>156</v>
      </c>
      <c r="P24" s="18" t="s">
        <v>25</v>
      </c>
      <c r="Q24" s="18">
        <v>190</v>
      </c>
      <c r="R24" s="3" t="str">
        <f>IF(OR(G24="12R",G24="12L"),_xlfn.XLOOKUP(C24,Tabla42[ADEP],Tabla42[SID 12R],""),IF(OR(G24="30L",G24="30R"),_xlfn.XLOOKUP(C24,Tabla42[ADEP],Tabla42[SID 30L],""),""))</f>
        <v/>
      </c>
      <c r="S24" s="3">
        <f t="shared" si="0"/>
        <v>3</v>
      </c>
      <c r="T24" s="3" t="str">
        <f>_xlfn.XLOOKUP(C24,Tabla42[ADEP],Tabla42[Sector],"")</f>
        <v/>
      </c>
    </row>
    <row r="25" spans="1:20" x14ac:dyDescent="0.2">
      <c r="A25" s="18" t="s">
        <v>311</v>
      </c>
      <c r="B25" s="18" t="s">
        <v>18</v>
      </c>
      <c r="C25" s="18" t="s">
        <v>109</v>
      </c>
      <c r="D25" s="18" t="s">
        <v>122</v>
      </c>
      <c r="E25" s="18" t="s">
        <v>3512</v>
      </c>
      <c r="F25" s="19">
        <v>46305.159456018497</v>
      </c>
      <c r="G25" s="18" t="s">
        <v>21</v>
      </c>
      <c r="H25" s="18" t="s">
        <v>2297</v>
      </c>
      <c r="I25" s="18">
        <v>370</v>
      </c>
      <c r="J25" s="18" t="s">
        <v>22</v>
      </c>
      <c r="K25" s="18" t="s">
        <v>23</v>
      </c>
      <c r="L25" s="18">
        <v>153</v>
      </c>
      <c r="M25" s="18" t="s">
        <v>111</v>
      </c>
      <c r="N25" s="19">
        <v>46305.1697569444</v>
      </c>
      <c r="O25" s="18">
        <v>315</v>
      </c>
      <c r="P25" s="18" t="s">
        <v>25</v>
      </c>
      <c r="Q25" s="18">
        <v>190</v>
      </c>
      <c r="R25" s="3" t="str">
        <f>IF(OR(G25="12R",G25="12L"),_xlfn.XLOOKUP(C25,Tabla42[ADEP],Tabla42[SID 12R],""),IF(OR(G25="30L",G25="30R"),_xlfn.XLOOKUP(C25,Tabla42[ADEP],Tabla42[SID 30L],""),""))</f>
        <v>TAKUX</v>
      </c>
      <c r="S25" s="3">
        <f t="shared" si="0"/>
        <v>3</v>
      </c>
      <c r="T25" s="3" t="str">
        <f>_xlfn.XLOOKUP(C25,Tabla42[ADEP],Tabla42[Sector],"")</f>
        <v>Sector 7</v>
      </c>
    </row>
    <row r="26" spans="1:20" x14ac:dyDescent="0.2">
      <c r="A26" s="18" t="s">
        <v>86</v>
      </c>
      <c r="B26" s="18" t="s">
        <v>18</v>
      </c>
      <c r="C26" s="18" t="s">
        <v>42</v>
      </c>
      <c r="D26" s="18" t="s">
        <v>20</v>
      </c>
      <c r="E26" s="18" t="s">
        <v>2938</v>
      </c>
      <c r="F26" s="19">
        <v>46305.175474536998</v>
      </c>
      <c r="G26" s="18" t="s">
        <v>21</v>
      </c>
      <c r="H26" s="18" t="s">
        <v>3513</v>
      </c>
      <c r="I26" s="18">
        <v>360</v>
      </c>
      <c r="J26" s="18" t="s">
        <v>22</v>
      </c>
      <c r="K26" s="18" t="s">
        <v>23</v>
      </c>
      <c r="L26" s="18">
        <v>872</v>
      </c>
      <c r="M26" s="18" t="s">
        <v>2915</v>
      </c>
      <c r="N26" s="19">
        <v>46305.222025463001</v>
      </c>
      <c r="O26" s="18">
        <v>360</v>
      </c>
      <c r="P26" s="18" t="s">
        <v>25</v>
      </c>
      <c r="Q26" s="18">
        <v>190</v>
      </c>
      <c r="R26" s="3" t="str">
        <f>IF(OR(G26="12R",G26="12L"),_xlfn.XLOOKUP(C26,Tabla42[ADEP],Tabla42[SID 12R],""),IF(OR(G26="30L",G26="30R"),_xlfn.XLOOKUP(C26,Tabla42[ADEP],Tabla42[SID 30L],""),""))</f>
        <v>UDGUV</v>
      </c>
      <c r="S26" s="3">
        <f t="shared" si="0"/>
        <v>4</v>
      </c>
      <c r="T26" s="3" t="str">
        <f>_xlfn.XLOOKUP(C26,Tabla42[ADEP],Tabla42[Sector],"")</f>
        <v>Sector 2</v>
      </c>
    </row>
    <row r="27" spans="1:20" x14ac:dyDescent="0.2">
      <c r="A27" s="18" t="s">
        <v>75</v>
      </c>
      <c r="B27" s="18" t="s">
        <v>18</v>
      </c>
      <c r="C27" s="18" t="s">
        <v>19</v>
      </c>
      <c r="D27" s="18" t="s">
        <v>20</v>
      </c>
      <c r="E27" s="18" t="s">
        <v>76</v>
      </c>
      <c r="F27" s="19">
        <v>46305.187604166698</v>
      </c>
      <c r="G27" s="18" t="s">
        <v>21</v>
      </c>
      <c r="H27" s="18" t="s">
        <v>3514</v>
      </c>
      <c r="I27" s="18">
        <v>340</v>
      </c>
      <c r="J27" s="18" t="s">
        <v>22</v>
      </c>
      <c r="K27" s="18" t="s">
        <v>23</v>
      </c>
      <c r="L27" s="18">
        <v>869</v>
      </c>
      <c r="M27" s="18" t="s">
        <v>2828</v>
      </c>
      <c r="N27" s="19">
        <v>46305.232557870397</v>
      </c>
      <c r="O27" s="18">
        <v>340</v>
      </c>
      <c r="P27" s="18" t="s">
        <v>25</v>
      </c>
      <c r="Q27" s="18">
        <v>190</v>
      </c>
      <c r="R27" s="3" t="str">
        <f>IF(OR(G27="12R",G27="12L"),_xlfn.XLOOKUP(C27,Tabla42[ADEP],Tabla42[SID 12R],""),IF(OR(G27="30L",G27="30R"),_xlfn.XLOOKUP(C27,Tabla42[ADEP],Tabla42[SID 30L],""),""))</f>
        <v>UDGUV</v>
      </c>
      <c r="S27" s="3">
        <f t="shared" si="0"/>
        <v>4</v>
      </c>
      <c r="T27" s="3" t="str">
        <f>_xlfn.XLOOKUP(C27,Tabla42[ADEP],Tabla42[Sector],"")</f>
        <v>Sector 2</v>
      </c>
    </row>
    <row r="28" spans="1:20" x14ac:dyDescent="0.2">
      <c r="A28" s="18" t="s">
        <v>90</v>
      </c>
      <c r="B28" s="18" t="s">
        <v>18</v>
      </c>
      <c r="C28" s="18" t="s">
        <v>42</v>
      </c>
      <c r="D28" s="18" t="s">
        <v>33</v>
      </c>
      <c r="E28" s="18" t="s">
        <v>955</v>
      </c>
      <c r="F28" s="19">
        <v>46305.432534722197</v>
      </c>
      <c r="G28" s="18" t="s">
        <v>21</v>
      </c>
      <c r="H28" s="18" t="s">
        <v>3515</v>
      </c>
      <c r="I28" s="18">
        <v>360</v>
      </c>
      <c r="J28" s="18" t="s">
        <v>22</v>
      </c>
      <c r="K28" s="18" t="s">
        <v>23</v>
      </c>
      <c r="L28" s="18">
        <v>862</v>
      </c>
      <c r="M28" s="18" t="s">
        <v>2712</v>
      </c>
      <c r="N28" s="19">
        <v>46305.479270833297</v>
      </c>
      <c r="O28" s="18">
        <v>360</v>
      </c>
      <c r="P28" s="18" t="s">
        <v>25</v>
      </c>
      <c r="Q28" s="18">
        <v>190</v>
      </c>
      <c r="R28" s="3" t="str">
        <f>IF(OR(G28="12R",G28="12L"),_xlfn.XLOOKUP(C28,Tabla42[ADEP],Tabla42[SID 12R],""),IF(OR(G28="30L",G28="30R"),_xlfn.XLOOKUP(C28,Tabla42[ADEP],Tabla42[SID 30L],""),""))</f>
        <v>UDGUV</v>
      </c>
      <c r="S28" s="3">
        <f t="shared" si="0"/>
        <v>10</v>
      </c>
      <c r="T28" s="3" t="str">
        <f>_xlfn.XLOOKUP(C28,Tabla42[ADEP],Tabla42[Sector],"")</f>
        <v>Sector 2</v>
      </c>
    </row>
    <row r="29" spans="1:20" x14ac:dyDescent="0.2">
      <c r="A29" s="18" t="s">
        <v>100</v>
      </c>
      <c r="B29" s="18" t="s">
        <v>18</v>
      </c>
      <c r="C29" s="18" t="s">
        <v>42</v>
      </c>
      <c r="D29" s="18" t="s">
        <v>60</v>
      </c>
      <c r="E29" s="18" t="s">
        <v>2841</v>
      </c>
      <c r="F29" s="19">
        <v>46305.450173611098</v>
      </c>
      <c r="G29" s="18" t="s">
        <v>21</v>
      </c>
      <c r="H29" s="18" t="s">
        <v>3516</v>
      </c>
      <c r="I29" s="18">
        <v>360</v>
      </c>
      <c r="J29" s="18" t="s">
        <v>22</v>
      </c>
      <c r="K29" s="18" t="s">
        <v>23</v>
      </c>
      <c r="L29" s="18">
        <v>857</v>
      </c>
      <c r="M29" s="18" t="s">
        <v>45</v>
      </c>
      <c r="N29" s="19">
        <v>46305.496481481503</v>
      </c>
      <c r="O29" s="18">
        <v>360</v>
      </c>
      <c r="P29" s="18" t="s">
        <v>25</v>
      </c>
      <c r="Q29" s="18">
        <v>190</v>
      </c>
      <c r="R29" s="3" t="str">
        <f>IF(OR(G29="12R",G29="12L"),_xlfn.XLOOKUP(C29,Tabla42[ADEP],Tabla42[SID 12R],""),IF(OR(G29="30L",G29="30R"),_xlfn.XLOOKUP(C29,Tabla42[ADEP],Tabla42[SID 30L],""),""))</f>
        <v>UDGUV</v>
      </c>
      <c r="S29" s="3">
        <f t="shared" si="0"/>
        <v>10</v>
      </c>
      <c r="T29" s="3" t="str">
        <f>_xlfn.XLOOKUP(C29,Tabla42[ADEP],Tabla42[Sector],"")</f>
        <v>Sector 2</v>
      </c>
    </row>
    <row r="30" spans="1:20" x14ac:dyDescent="0.2">
      <c r="A30" s="18" t="s">
        <v>92</v>
      </c>
      <c r="B30" s="18" t="s">
        <v>18</v>
      </c>
      <c r="C30" s="18" t="s">
        <v>93</v>
      </c>
      <c r="D30" s="18" t="s">
        <v>53</v>
      </c>
      <c r="E30" s="18" t="s">
        <v>106</v>
      </c>
      <c r="F30" s="19">
        <v>46305.4605787037</v>
      </c>
      <c r="G30" s="18" t="s">
        <v>21</v>
      </c>
      <c r="H30" s="18" t="s">
        <v>508</v>
      </c>
      <c r="I30" s="18">
        <v>360</v>
      </c>
      <c r="J30" s="18" t="s">
        <v>22</v>
      </c>
      <c r="K30" s="18" t="s">
        <v>23</v>
      </c>
      <c r="L30" s="18">
        <v>876</v>
      </c>
      <c r="M30" s="18" t="s">
        <v>94</v>
      </c>
      <c r="N30" s="19">
        <v>46305.5072685185</v>
      </c>
      <c r="O30" s="18">
        <v>200</v>
      </c>
      <c r="P30" s="18" t="s">
        <v>25</v>
      </c>
      <c r="Q30" s="18">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8" t="s">
        <v>95</v>
      </c>
      <c r="B31" s="18" t="s">
        <v>18</v>
      </c>
      <c r="C31" s="18" t="s">
        <v>96</v>
      </c>
      <c r="D31" s="18" t="s">
        <v>20</v>
      </c>
      <c r="E31" s="18" t="s">
        <v>2141</v>
      </c>
      <c r="F31" s="19">
        <v>46305.465474536999</v>
      </c>
      <c r="G31" s="18" t="s">
        <v>21</v>
      </c>
      <c r="H31" s="18" t="s">
        <v>3517</v>
      </c>
      <c r="I31" s="18">
        <v>340</v>
      </c>
      <c r="J31" s="18" t="s">
        <v>22</v>
      </c>
      <c r="K31" s="18" t="s">
        <v>23</v>
      </c>
      <c r="L31" s="18">
        <v>860</v>
      </c>
      <c r="M31" s="18" t="s">
        <v>540</v>
      </c>
      <c r="N31" s="19">
        <v>46305.511261574102</v>
      </c>
      <c r="O31" s="18">
        <v>340</v>
      </c>
      <c r="P31" s="18" t="s">
        <v>25</v>
      </c>
      <c r="Q31" s="18">
        <v>190</v>
      </c>
      <c r="R31" s="3" t="str">
        <f>IF(OR(G31="12R",G31="12L"),_xlfn.XLOOKUP(C31,Tabla42[ADEP],Tabla42[SID 12R],""),IF(OR(G31="30L",G31="30R"),_xlfn.XLOOKUP(C31,Tabla42[ADEP],Tabla42[SID 30L],""),""))</f>
        <v>UDGUV</v>
      </c>
      <c r="S31" s="3">
        <f t="shared" si="0"/>
        <v>11</v>
      </c>
      <c r="T31" s="3" t="str">
        <f>_xlfn.XLOOKUP(C31,Tabla42[ADEP],Tabla42[Sector],"")</f>
        <v>Sector 2</v>
      </c>
    </row>
    <row r="32" spans="1:20" x14ac:dyDescent="0.2">
      <c r="A32" s="18" t="s">
        <v>98</v>
      </c>
      <c r="B32" s="18" t="s">
        <v>18</v>
      </c>
      <c r="C32" s="18" t="s">
        <v>42</v>
      </c>
      <c r="D32" s="18" t="s">
        <v>43</v>
      </c>
      <c r="E32" s="18" t="s">
        <v>527</v>
      </c>
      <c r="F32" s="19">
        <v>46305.470312500001</v>
      </c>
      <c r="G32" s="18" t="s">
        <v>21</v>
      </c>
      <c r="H32" s="18" t="s">
        <v>3518</v>
      </c>
      <c r="I32" s="18">
        <v>360</v>
      </c>
      <c r="J32" s="18" t="s">
        <v>22</v>
      </c>
      <c r="K32" s="18" t="s">
        <v>23</v>
      </c>
      <c r="L32" s="18">
        <v>859</v>
      </c>
      <c r="M32" s="18" t="s">
        <v>45</v>
      </c>
      <c r="N32" s="19">
        <v>46305.517256944397</v>
      </c>
      <c r="O32" s="18">
        <v>360</v>
      </c>
      <c r="P32" s="18" t="s">
        <v>25</v>
      </c>
      <c r="Q32" s="18">
        <v>190</v>
      </c>
      <c r="R32" s="3" t="str">
        <f>IF(OR(G32="12R",G32="12L"),_xlfn.XLOOKUP(C32,Tabla42[ADEP],Tabla42[SID 12R],""),IF(OR(G32="30L",G32="30R"),_xlfn.XLOOKUP(C32,Tabla42[ADEP],Tabla42[SID 30L],""),""))</f>
        <v>UDGUV</v>
      </c>
      <c r="S32" s="3">
        <f t="shared" si="0"/>
        <v>11</v>
      </c>
      <c r="T32" s="3" t="str">
        <f>_xlfn.XLOOKUP(C32,Tabla42[ADEP],Tabla42[Sector],"")</f>
        <v>Sector 2</v>
      </c>
    </row>
    <row r="33" spans="1:20" x14ac:dyDescent="0.2">
      <c r="A33" s="18" t="s">
        <v>101</v>
      </c>
      <c r="B33" s="18" t="s">
        <v>18</v>
      </c>
      <c r="C33" s="18" t="s">
        <v>102</v>
      </c>
      <c r="D33" s="18" t="s">
        <v>53</v>
      </c>
      <c r="E33" s="18" t="s">
        <v>393</v>
      </c>
      <c r="F33" s="19">
        <v>46305.496608796297</v>
      </c>
      <c r="G33" s="18" t="s">
        <v>21</v>
      </c>
      <c r="H33" s="18" t="s">
        <v>2950</v>
      </c>
      <c r="I33" s="18">
        <v>290</v>
      </c>
      <c r="J33" s="18" t="s">
        <v>22</v>
      </c>
      <c r="K33" s="18" t="s">
        <v>23</v>
      </c>
      <c r="L33" s="18">
        <v>131</v>
      </c>
      <c r="M33" s="18" t="s">
        <v>39</v>
      </c>
      <c r="N33" s="19">
        <v>46305.506041666697</v>
      </c>
      <c r="O33" s="18">
        <v>252</v>
      </c>
      <c r="P33" s="18" t="s">
        <v>25</v>
      </c>
      <c r="Q33" s="18">
        <v>190</v>
      </c>
      <c r="R33" s="3" t="str">
        <f>IF(OR(G33="12R",G33="12L"),_xlfn.XLOOKUP(C33,Tabla42[ADEP],Tabla42[SID 12R],""),IF(OR(G33="30L",G33="30R"),_xlfn.XLOOKUP(C33,Tabla42[ADEP],Tabla42[SID 30L],""),""))</f>
        <v>NUDAL</v>
      </c>
      <c r="S33" s="3">
        <f t="shared" si="0"/>
        <v>11</v>
      </c>
      <c r="T33" s="3" t="str">
        <f>_xlfn.XLOOKUP(C33,Tabla42[ADEP],Tabla42[Sector],"")</f>
        <v>Sector 3</v>
      </c>
    </row>
    <row r="34" spans="1:20" x14ac:dyDescent="0.2">
      <c r="A34" s="18" t="s">
        <v>105</v>
      </c>
      <c r="B34" s="18" t="s">
        <v>18</v>
      </c>
      <c r="C34" s="18" t="s">
        <v>32</v>
      </c>
      <c r="D34" s="18" t="s">
        <v>60</v>
      </c>
      <c r="E34" s="18" t="s">
        <v>529</v>
      </c>
      <c r="F34" s="19">
        <v>46305.498437499999</v>
      </c>
      <c r="G34" s="18" t="s">
        <v>21</v>
      </c>
      <c r="H34" s="18" t="s">
        <v>352</v>
      </c>
      <c r="I34" s="18">
        <v>340</v>
      </c>
      <c r="J34" s="18" t="s">
        <v>22</v>
      </c>
      <c r="K34" s="18" t="s">
        <v>23</v>
      </c>
      <c r="L34" s="18">
        <v>878</v>
      </c>
      <c r="M34" s="18" t="s">
        <v>35</v>
      </c>
      <c r="N34" s="19">
        <v>46305.545856481498</v>
      </c>
      <c r="O34" s="18">
        <v>340</v>
      </c>
      <c r="P34" s="18" t="s">
        <v>25</v>
      </c>
      <c r="Q34" s="18">
        <v>190</v>
      </c>
      <c r="R34" s="3" t="str">
        <f>IF(OR(G34="12R",G34="12L"),_xlfn.XLOOKUP(C34,Tabla42[ADEP],Tabla42[SID 12R],""),IF(OR(G34="30L",G34="30R"),_xlfn.XLOOKUP(C34,Tabla42[ADEP],Tabla42[SID 30L],""),""))</f>
        <v>UDGUV</v>
      </c>
      <c r="S34" s="3">
        <f t="shared" si="0"/>
        <v>11</v>
      </c>
      <c r="T34" s="3" t="str">
        <f>_xlfn.XLOOKUP(C34,Tabla42[ADEP],Tabla42[Sector],"")</f>
        <v>Sector 2</v>
      </c>
    </row>
    <row r="35" spans="1:20" x14ac:dyDescent="0.2">
      <c r="A35" s="18" t="s">
        <v>107</v>
      </c>
      <c r="B35" s="18" t="s">
        <v>18</v>
      </c>
      <c r="C35" s="18" t="s">
        <v>42</v>
      </c>
      <c r="D35" s="18" t="s">
        <v>122</v>
      </c>
      <c r="E35" s="18" t="s">
        <v>3519</v>
      </c>
      <c r="F35" s="19">
        <v>46305.506979166697</v>
      </c>
      <c r="G35" s="18" t="s">
        <v>21</v>
      </c>
      <c r="H35" s="18" t="s">
        <v>771</v>
      </c>
      <c r="I35" s="18">
        <v>360</v>
      </c>
      <c r="J35" s="18" t="s">
        <v>22</v>
      </c>
      <c r="K35" s="18" t="s">
        <v>23</v>
      </c>
      <c r="L35" s="18">
        <v>859</v>
      </c>
      <c r="M35" s="18" t="s">
        <v>45</v>
      </c>
      <c r="N35" s="19">
        <v>46305.554907407401</v>
      </c>
      <c r="O35" s="18">
        <v>360</v>
      </c>
      <c r="P35" s="18" t="s">
        <v>25</v>
      </c>
      <c r="Q35" s="18">
        <v>190</v>
      </c>
      <c r="R35" s="3" t="str">
        <f>IF(OR(G35="12R",G35="12L"),_xlfn.XLOOKUP(C35,Tabla42[ADEP],Tabla42[SID 12R],""),IF(OR(G35="30L",G35="30R"),_xlfn.XLOOKUP(C35,Tabla42[ADEP],Tabla42[SID 30L],""),""))</f>
        <v>UDGUV</v>
      </c>
      <c r="S35" s="3">
        <f t="shared" si="0"/>
        <v>12</v>
      </c>
      <c r="T35" s="3" t="str">
        <f>_xlfn.XLOOKUP(C35,Tabla42[ADEP],Tabla42[Sector],"")</f>
        <v>Sector 2</v>
      </c>
    </row>
    <row r="36" spans="1:20" x14ac:dyDescent="0.2">
      <c r="A36" s="18" t="s">
        <v>2381</v>
      </c>
      <c r="B36" s="18" t="s">
        <v>18</v>
      </c>
      <c r="C36" s="18" t="s">
        <v>121</v>
      </c>
      <c r="D36" s="18" t="s">
        <v>122</v>
      </c>
      <c r="E36" s="18" t="s">
        <v>3520</v>
      </c>
      <c r="F36" s="19">
        <v>46305.518553240698</v>
      </c>
      <c r="G36" s="18" t="s">
        <v>21</v>
      </c>
      <c r="H36" s="18" t="s">
        <v>3521</v>
      </c>
      <c r="I36" s="18">
        <v>360</v>
      </c>
      <c r="J36" s="18" t="s">
        <v>22</v>
      </c>
      <c r="K36" s="18" t="s">
        <v>23</v>
      </c>
      <c r="L36" s="18">
        <v>521</v>
      </c>
      <c r="M36" s="18" t="s">
        <v>123</v>
      </c>
      <c r="N36" s="19">
        <v>46305.547881944403</v>
      </c>
      <c r="O36" s="18">
        <v>360</v>
      </c>
      <c r="P36" s="18" t="s">
        <v>25</v>
      </c>
      <c r="Q36" s="18">
        <v>40</v>
      </c>
      <c r="R36" s="3" t="str">
        <f>IF(OR(G36="12R",G36="12L"),_xlfn.XLOOKUP(C36,Tabla42[ADEP],Tabla42[SID 12R],""),IF(OR(G36="30L",G36="30R"),_xlfn.XLOOKUP(C36,Tabla42[ADEP],Tabla42[SID 30L],""),""))</f>
        <v>ENEBA</v>
      </c>
      <c r="S36" s="3">
        <f t="shared" si="0"/>
        <v>12</v>
      </c>
      <c r="T36" s="3" t="str">
        <f>_xlfn.XLOOKUP(C36,Tabla42[ADEP],Tabla42[Sector],"")</f>
        <v>Sector 3</v>
      </c>
    </row>
    <row r="37" spans="1:20" x14ac:dyDescent="0.2">
      <c r="A37" s="18" t="s">
        <v>3522</v>
      </c>
      <c r="B37" s="18" t="s">
        <v>18</v>
      </c>
      <c r="C37" s="18" t="s">
        <v>698</v>
      </c>
      <c r="D37" s="18" t="s">
        <v>492</v>
      </c>
      <c r="E37" s="18" t="s">
        <v>3522</v>
      </c>
      <c r="F37" s="19">
        <v>46305.529247685197</v>
      </c>
      <c r="G37" s="18" t="s">
        <v>21</v>
      </c>
      <c r="H37" s="18" t="s">
        <v>3523</v>
      </c>
      <c r="I37" s="18">
        <v>410</v>
      </c>
      <c r="J37" s="18" t="s">
        <v>22</v>
      </c>
      <c r="K37" s="18" t="s">
        <v>50</v>
      </c>
      <c r="L37" s="18">
        <v>204</v>
      </c>
      <c r="M37" s="18" t="s">
        <v>355</v>
      </c>
      <c r="N37" s="19">
        <v>46305.542094907403</v>
      </c>
      <c r="O37" s="18">
        <v>332</v>
      </c>
      <c r="P37" s="18" t="s">
        <v>25</v>
      </c>
      <c r="Q37" s="18">
        <v>40</v>
      </c>
      <c r="R37" s="3" t="str">
        <f>IF(OR(G37="12R",G37="12L"),_xlfn.XLOOKUP(C37,Tabla42[ADEP],Tabla42[SID 12R],""),IF(OR(G37="30L",G37="30R"),_xlfn.XLOOKUP(C37,Tabla42[ADEP],Tabla42[SID 30L],""),""))</f>
        <v>NUDAL</v>
      </c>
      <c r="S37" s="3">
        <f t="shared" si="0"/>
        <v>12</v>
      </c>
      <c r="T37" s="3" t="str">
        <f>_xlfn.XLOOKUP(C37,Tabla42[ADEP],Tabla42[Sector],"")</f>
        <v>Sector 3</v>
      </c>
    </row>
    <row r="38" spans="1:20" x14ac:dyDescent="0.2">
      <c r="A38" s="18" t="s">
        <v>3029</v>
      </c>
      <c r="B38" s="18" t="s">
        <v>18</v>
      </c>
      <c r="C38" s="18" t="s">
        <v>353</v>
      </c>
      <c r="D38" s="18" t="s">
        <v>124</v>
      </c>
      <c r="E38" s="18"/>
      <c r="F38" s="19">
        <v>46305.541782407403</v>
      </c>
      <c r="G38" s="18" t="s">
        <v>21</v>
      </c>
      <c r="H38" s="18" t="s">
        <v>3524</v>
      </c>
      <c r="I38" s="18">
        <v>370</v>
      </c>
      <c r="J38" s="18" t="s">
        <v>22</v>
      </c>
      <c r="K38" s="18" t="s">
        <v>50</v>
      </c>
      <c r="L38" s="18">
        <v>197</v>
      </c>
      <c r="M38" s="18" t="s">
        <v>3525</v>
      </c>
      <c r="N38" s="19">
        <v>46305.5558101852</v>
      </c>
      <c r="O38" s="18">
        <v>324</v>
      </c>
      <c r="P38" s="18" t="s">
        <v>25</v>
      </c>
      <c r="Q38" s="18">
        <v>30</v>
      </c>
      <c r="R38" s="3" t="str">
        <f>IF(OR(G38="12R",G38="12L"),_xlfn.XLOOKUP(C38,Tabla42[ADEP],Tabla42[SID 12R],""),IF(OR(G38="30L",G38="30R"),_xlfn.XLOOKUP(C38,Tabla42[ADEP],Tabla42[SID 30L],""),""))</f>
        <v>OMSUK</v>
      </c>
      <c r="S38" s="3">
        <f t="shared" si="0"/>
        <v>13</v>
      </c>
      <c r="T38" s="3" t="str">
        <f>_xlfn.XLOOKUP(C38,Tabla42[ADEP],Tabla42[Sector],"")</f>
        <v>Sector 3</v>
      </c>
    </row>
    <row r="39" spans="1:20" x14ac:dyDescent="0.2">
      <c r="A39" s="18" t="s">
        <v>125</v>
      </c>
      <c r="B39" s="18" t="s">
        <v>18</v>
      </c>
      <c r="C39" s="18" t="s">
        <v>126</v>
      </c>
      <c r="D39" s="18" t="s">
        <v>122</v>
      </c>
      <c r="E39" s="18" t="s">
        <v>2958</v>
      </c>
      <c r="F39" s="19">
        <v>46305.543437499997</v>
      </c>
      <c r="G39" s="18" t="s">
        <v>21</v>
      </c>
      <c r="H39" s="18" t="s">
        <v>3526</v>
      </c>
      <c r="I39" s="18">
        <v>360</v>
      </c>
      <c r="J39" s="18" t="s">
        <v>22</v>
      </c>
      <c r="K39" s="18" t="s">
        <v>23</v>
      </c>
      <c r="L39" s="18">
        <v>440</v>
      </c>
      <c r="M39" s="18" t="s">
        <v>189</v>
      </c>
      <c r="N39" s="19">
        <v>46305.567395833299</v>
      </c>
      <c r="O39" s="18">
        <v>360</v>
      </c>
      <c r="P39" s="18" t="s">
        <v>25</v>
      </c>
      <c r="Q39" s="18">
        <v>40</v>
      </c>
      <c r="R39" s="3" t="str">
        <f>IF(OR(G39="12R",G39="12L"),_xlfn.XLOOKUP(C39,Tabla42[ADEP],Tabla42[SID 12R],""),IF(OR(G39="30L",G39="30R"),_xlfn.XLOOKUP(C39,Tabla42[ADEP],Tabla42[SID 30L],""),""))</f>
        <v>ENEBA</v>
      </c>
      <c r="S39" s="3">
        <f t="shared" si="0"/>
        <v>13</v>
      </c>
      <c r="T39" s="3" t="str">
        <f>_xlfn.XLOOKUP(C39,Tabla42[ADEP],Tabla42[Sector],"")</f>
        <v>Sector 3</v>
      </c>
    </row>
    <row r="40" spans="1:20" x14ac:dyDescent="0.2">
      <c r="A40" s="18" t="s">
        <v>112</v>
      </c>
      <c r="B40" s="18" t="s">
        <v>18</v>
      </c>
      <c r="C40" s="18" t="s">
        <v>113</v>
      </c>
      <c r="D40" s="18" t="s">
        <v>33</v>
      </c>
      <c r="E40" s="18" t="s">
        <v>368</v>
      </c>
      <c r="F40" s="19">
        <v>46305.546643518501</v>
      </c>
      <c r="G40" s="18" t="s">
        <v>21</v>
      </c>
      <c r="H40" s="18" t="s">
        <v>3527</v>
      </c>
      <c r="I40" s="18">
        <v>360</v>
      </c>
      <c r="J40" s="18" t="s">
        <v>22</v>
      </c>
      <c r="K40" s="18" t="s">
        <v>23</v>
      </c>
      <c r="L40" s="18">
        <v>878</v>
      </c>
      <c r="M40" s="18" t="s">
        <v>35</v>
      </c>
      <c r="N40" s="19">
        <v>46305.594722222202</v>
      </c>
      <c r="O40" s="18">
        <v>340</v>
      </c>
      <c r="P40" s="18" t="s">
        <v>25</v>
      </c>
      <c r="Q40" s="18">
        <v>190</v>
      </c>
      <c r="R40" s="3" t="str">
        <f>IF(OR(G40="12R",G40="12L"),_xlfn.XLOOKUP(C40,Tabla42[ADEP],Tabla42[SID 12R],""),IF(OR(G40="30L",G40="30R"),_xlfn.XLOOKUP(C40,Tabla42[ADEP],Tabla42[SID 30L],""),""))</f>
        <v>UDGUV</v>
      </c>
      <c r="S40" s="3">
        <f t="shared" si="0"/>
        <v>13</v>
      </c>
      <c r="T40" s="3" t="str">
        <f>_xlfn.XLOOKUP(C40,Tabla42[ADEP],Tabla42[Sector],"")</f>
        <v>Sector 2</v>
      </c>
    </row>
    <row r="41" spans="1:20" x14ac:dyDescent="0.2">
      <c r="A41" s="18" t="s">
        <v>115</v>
      </c>
      <c r="B41" s="18" t="s">
        <v>18</v>
      </c>
      <c r="C41" s="18" t="s">
        <v>116</v>
      </c>
      <c r="D41" s="18" t="s">
        <v>117</v>
      </c>
      <c r="E41" s="18" t="s">
        <v>3528</v>
      </c>
      <c r="F41" s="19">
        <v>46305.547719907401</v>
      </c>
      <c r="G41" s="18" t="s">
        <v>21</v>
      </c>
      <c r="H41" s="18" t="s">
        <v>3529</v>
      </c>
      <c r="I41" s="18">
        <v>340</v>
      </c>
      <c r="J41" s="18" t="s">
        <v>22</v>
      </c>
      <c r="K41" s="18" t="s">
        <v>23</v>
      </c>
      <c r="L41" s="18">
        <v>541</v>
      </c>
      <c r="M41" s="18" t="s">
        <v>123</v>
      </c>
      <c r="N41" s="19">
        <v>46305.577523148102</v>
      </c>
      <c r="O41" s="18">
        <v>340</v>
      </c>
      <c r="P41" s="18" t="s">
        <v>25</v>
      </c>
      <c r="Q41" s="18">
        <v>40</v>
      </c>
      <c r="R41" s="3" t="str">
        <f>IF(OR(G41="12R",G41="12L"),_xlfn.XLOOKUP(C41,Tabla42[ADEP],Tabla42[SID 12R],""),IF(OR(G41="30L",G41="30R"),_xlfn.XLOOKUP(C41,Tabla42[ADEP],Tabla42[SID 30L],""),""))</f>
        <v>ENEBA</v>
      </c>
      <c r="S41" s="3">
        <f t="shared" si="0"/>
        <v>13</v>
      </c>
      <c r="T41" s="3" t="str">
        <f>_xlfn.XLOOKUP(C41,Tabla42[ADEP],Tabla42[Sector],"")</f>
        <v>Sector 3</v>
      </c>
    </row>
    <row r="42" spans="1:20" x14ac:dyDescent="0.2">
      <c r="A42" s="18" t="s">
        <v>119</v>
      </c>
      <c r="B42" s="18" t="s">
        <v>18</v>
      </c>
      <c r="C42" s="18" t="s">
        <v>42</v>
      </c>
      <c r="D42" s="18" t="s">
        <v>43</v>
      </c>
      <c r="E42" s="18" t="s">
        <v>269</v>
      </c>
      <c r="F42" s="19">
        <v>46305.549097222203</v>
      </c>
      <c r="G42" s="18" t="s">
        <v>21</v>
      </c>
      <c r="H42" s="18" t="s">
        <v>3530</v>
      </c>
      <c r="I42" s="18">
        <v>360</v>
      </c>
      <c r="J42" s="18" t="s">
        <v>22</v>
      </c>
      <c r="K42" s="18" t="s">
        <v>23</v>
      </c>
      <c r="L42" s="18">
        <v>859</v>
      </c>
      <c r="M42" s="18" t="s">
        <v>45</v>
      </c>
      <c r="N42" s="19">
        <v>46305.596203703702</v>
      </c>
      <c r="O42" s="18">
        <v>360</v>
      </c>
      <c r="P42" s="18" t="s">
        <v>25</v>
      </c>
      <c r="Q42" s="18">
        <v>190</v>
      </c>
      <c r="R42" s="3" t="str">
        <f>IF(OR(G42="12R",G42="12L"),_xlfn.XLOOKUP(C42,Tabla42[ADEP],Tabla42[SID 12R],""),IF(OR(G42="30L",G42="30R"),_xlfn.XLOOKUP(C42,Tabla42[ADEP],Tabla42[SID 30L],""),""))</f>
        <v>UDGUV</v>
      </c>
      <c r="S42" s="3">
        <f t="shared" si="0"/>
        <v>13</v>
      </c>
      <c r="T42" s="3" t="str">
        <f>_xlfn.XLOOKUP(C42,Tabla42[ADEP],Tabla42[Sector],"")</f>
        <v>Sector 2</v>
      </c>
    </row>
    <row r="43" spans="1:20" x14ac:dyDescent="0.2">
      <c r="A43" s="18" t="s">
        <v>108</v>
      </c>
      <c r="B43" s="18" t="s">
        <v>18</v>
      </c>
      <c r="C43" s="18" t="s">
        <v>109</v>
      </c>
      <c r="D43" s="18" t="s">
        <v>122</v>
      </c>
      <c r="E43" s="18" t="s">
        <v>3531</v>
      </c>
      <c r="F43" s="19">
        <v>46305.563125000001</v>
      </c>
      <c r="G43" s="18" t="s">
        <v>21</v>
      </c>
      <c r="H43" s="18" t="s">
        <v>3532</v>
      </c>
      <c r="I43" s="18">
        <v>370</v>
      </c>
      <c r="J43" s="18" t="s">
        <v>22</v>
      </c>
      <c r="K43" s="18" t="s">
        <v>23</v>
      </c>
      <c r="L43" s="18">
        <v>155</v>
      </c>
      <c r="M43" s="18" t="s">
        <v>2501</v>
      </c>
      <c r="N43" s="19">
        <v>46305.572789351798</v>
      </c>
      <c r="O43" s="18">
        <v>290</v>
      </c>
      <c r="P43" s="18" t="s">
        <v>25</v>
      </c>
      <c r="Q43" s="18">
        <v>190</v>
      </c>
      <c r="R43" s="3" t="str">
        <f>IF(OR(G43="12R",G43="12L"),_xlfn.XLOOKUP(C43,Tabla42[ADEP],Tabla42[SID 12R],""),IF(OR(G43="30L",G43="30R"),_xlfn.XLOOKUP(C43,Tabla42[ADEP],Tabla42[SID 30L],""),""))</f>
        <v>TAKUX</v>
      </c>
      <c r="S43" s="3">
        <f t="shared" si="0"/>
        <v>13</v>
      </c>
      <c r="T43" s="3" t="str">
        <f>_xlfn.XLOOKUP(C43,Tabla42[ADEP],Tabla42[Sector],"")</f>
        <v>Sector 7</v>
      </c>
    </row>
    <row r="44" spans="1:20" x14ac:dyDescent="0.2">
      <c r="A44" s="18" t="s">
        <v>127</v>
      </c>
      <c r="B44" s="18" t="s">
        <v>18</v>
      </c>
      <c r="C44" s="18" t="s">
        <v>128</v>
      </c>
      <c r="D44" s="18" t="s">
        <v>43</v>
      </c>
      <c r="E44" s="18" t="s">
        <v>3533</v>
      </c>
      <c r="F44" s="19">
        <v>46305.578333333302</v>
      </c>
      <c r="G44" s="18" t="s">
        <v>21</v>
      </c>
      <c r="H44" s="18" t="s">
        <v>3534</v>
      </c>
      <c r="I44" s="18">
        <v>330</v>
      </c>
      <c r="J44" s="18" t="s">
        <v>22</v>
      </c>
      <c r="K44" s="18" t="s">
        <v>23</v>
      </c>
      <c r="L44" s="18">
        <v>136</v>
      </c>
      <c r="M44" s="18" t="s">
        <v>39</v>
      </c>
      <c r="N44" s="19">
        <v>46305.587997685201</v>
      </c>
      <c r="O44" s="18">
        <v>235</v>
      </c>
      <c r="P44" s="18" t="s">
        <v>25</v>
      </c>
      <c r="Q44" s="18">
        <v>190</v>
      </c>
      <c r="R44" s="3" t="str">
        <f>IF(OR(G44="12R",G44="12L"),_xlfn.XLOOKUP(C44,Tabla42[ADEP],Tabla42[SID 12R],""),IF(OR(G44="30L",G44="30R"),_xlfn.XLOOKUP(C44,Tabla42[ADEP],Tabla42[SID 30L],""),""))</f>
        <v>OMSUK</v>
      </c>
      <c r="S44" s="3">
        <f t="shared" si="0"/>
        <v>13</v>
      </c>
      <c r="T44" s="3" t="str">
        <f>_xlfn.XLOOKUP(C44,Tabla42[ADEP],Tabla42[Sector],"")</f>
        <v>Sector 3</v>
      </c>
    </row>
    <row r="45" spans="1:20" x14ac:dyDescent="0.2">
      <c r="A45" s="18" t="s">
        <v>495</v>
      </c>
      <c r="B45" s="18" t="s">
        <v>18</v>
      </c>
      <c r="C45" s="18" t="s">
        <v>798</v>
      </c>
      <c r="D45" s="18" t="s">
        <v>458</v>
      </c>
      <c r="E45" s="18"/>
      <c r="F45" s="19">
        <v>46305.590821759302</v>
      </c>
      <c r="G45" s="18" t="s">
        <v>21</v>
      </c>
      <c r="H45" s="18" t="s">
        <v>155</v>
      </c>
      <c r="I45" s="18">
        <v>45</v>
      </c>
      <c r="J45" s="18" t="s">
        <v>130</v>
      </c>
      <c r="K45" s="18" t="s">
        <v>50</v>
      </c>
      <c r="L45" s="18">
        <v>168</v>
      </c>
      <c r="M45" s="18" t="s">
        <v>798</v>
      </c>
      <c r="N45" s="19">
        <v>46305.620578703703</v>
      </c>
      <c r="O45" s="18">
        <v>0</v>
      </c>
      <c r="P45" s="18" t="s">
        <v>129</v>
      </c>
      <c r="Q45" s="18">
        <v>15</v>
      </c>
      <c r="R45" s="3" t="str">
        <f>IF(OR(G45="12R",G45="12L"),_xlfn.XLOOKUP(C45,Tabla42[ADEP],Tabla42[SID 12R],""),IF(OR(G45="30L",G45="30R"),_xlfn.XLOOKUP(C45,Tabla42[ADEP],Tabla42[SID 30L],""),""))</f>
        <v/>
      </c>
      <c r="S45" s="3">
        <f t="shared" si="0"/>
        <v>14</v>
      </c>
      <c r="T45" s="3" t="str">
        <f>_xlfn.XLOOKUP(C45,Tabla42[ADEP],Tabla42[Sector],"")</f>
        <v/>
      </c>
    </row>
    <row r="46" spans="1:20" x14ac:dyDescent="0.2">
      <c r="A46" s="18" t="s">
        <v>3535</v>
      </c>
      <c r="B46" s="18" t="s">
        <v>18</v>
      </c>
      <c r="C46" s="18" t="s">
        <v>190</v>
      </c>
      <c r="D46" s="18" t="s">
        <v>124</v>
      </c>
      <c r="E46" s="18"/>
      <c r="F46" s="19">
        <v>46305.592569444401</v>
      </c>
      <c r="G46" s="18" t="s">
        <v>21</v>
      </c>
      <c r="H46" s="18" t="s">
        <v>3536</v>
      </c>
      <c r="I46" s="18">
        <v>270</v>
      </c>
      <c r="J46" s="18" t="s">
        <v>22</v>
      </c>
      <c r="K46" s="18" t="s">
        <v>50</v>
      </c>
      <c r="L46" s="18">
        <v>215</v>
      </c>
      <c r="M46" s="18" t="s">
        <v>355</v>
      </c>
      <c r="N46" s="19">
        <v>46305.607662037</v>
      </c>
      <c r="O46" s="18">
        <v>270</v>
      </c>
      <c r="P46" s="18" t="s">
        <v>25</v>
      </c>
      <c r="Q46" s="18">
        <v>40</v>
      </c>
      <c r="R46" s="3" t="str">
        <f>IF(OR(G46="12R",G46="12L"),_xlfn.XLOOKUP(C46,Tabla42[ADEP],Tabla42[SID 12R],""),IF(OR(G46="30L",G46="30R"),_xlfn.XLOOKUP(C46,Tabla42[ADEP],Tabla42[SID 30L],""),""))</f>
        <v>NUDAL</v>
      </c>
      <c r="S46" s="3">
        <f t="shared" si="0"/>
        <v>14</v>
      </c>
      <c r="T46" s="3" t="str">
        <f>_xlfn.XLOOKUP(C46,Tabla42[ADEP],Tabla42[Sector],"")</f>
        <v>Sector 3</v>
      </c>
    </row>
    <row r="47" spans="1:20" x14ac:dyDescent="0.2">
      <c r="A47" s="18" t="s">
        <v>457</v>
      </c>
      <c r="B47" s="18" t="s">
        <v>18</v>
      </c>
      <c r="C47" s="18" t="s">
        <v>798</v>
      </c>
      <c r="D47" s="18" t="s">
        <v>458</v>
      </c>
      <c r="E47" s="18"/>
      <c r="F47" s="19">
        <v>46305.596122685201</v>
      </c>
      <c r="G47" s="18" t="s">
        <v>21</v>
      </c>
      <c r="H47" s="18" t="s">
        <v>155</v>
      </c>
      <c r="I47" s="18">
        <v>45</v>
      </c>
      <c r="J47" s="18" t="s">
        <v>130</v>
      </c>
      <c r="K47" s="18" t="s">
        <v>50</v>
      </c>
      <c r="L47" s="18">
        <v>168</v>
      </c>
      <c r="M47" s="18" t="s">
        <v>798</v>
      </c>
      <c r="N47" s="19">
        <v>46305.627905092602</v>
      </c>
      <c r="O47" s="18">
        <v>0</v>
      </c>
      <c r="P47" s="18" t="s">
        <v>129</v>
      </c>
      <c r="Q47" s="18">
        <v>15</v>
      </c>
      <c r="R47" s="3" t="str">
        <f>IF(OR(G47="12R",G47="12L"),_xlfn.XLOOKUP(C47,Tabla42[ADEP],Tabla42[SID 12R],""),IF(OR(G47="30L",G47="30R"),_xlfn.XLOOKUP(C47,Tabla42[ADEP],Tabla42[SID 30L],""),""))</f>
        <v/>
      </c>
      <c r="S47" s="3">
        <f t="shared" si="0"/>
        <v>14</v>
      </c>
      <c r="T47" s="3" t="str">
        <f>_xlfn.XLOOKUP(C47,Tabla42[ADEP],Tabla42[Sector],"")</f>
        <v/>
      </c>
    </row>
    <row r="48" spans="1:20" x14ac:dyDescent="0.2">
      <c r="A48" s="18" t="s">
        <v>131</v>
      </c>
      <c r="B48" s="18" t="s">
        <v>18</v>
      </c>
      <c r="C48" s="18" t="s">
        <v>42</v>
      </c>
      <c r="D48" s="18" t="s">
        <v>43</v>
      </c>
      <c r="E48" s="18" t="s">
        <v>44</v>
      </c>
      <c r="F48" s="19">
        <v>46305.601585648103</v>
      </c>
      <c r="G48" s="18" t="s">
        <v>21</v>
      </c>
      <c r="H48" s="18" t="s">
        <v>3537</v>
      </c>
      <c r="I48" s="18">
        <v>360</v>
      </c>
      <c r="J48" s="18" t="s">
        <v>22</v>
      </c>
      <c r="K48" s="18" t="s">
        <v>23</v>
      </c>
      <c r="L48" s="18">
        <v>859</v>
      </c>
      <c r="M48" s="18" t="s">
        <v>45</v>
      </c>
      <c r="N48" s="19">
        <v>46305.6484375</v>
      </c>
      <c r="O48" s="18">
        <v>360</v>
      </c>
      <c r="P48" s="18" t="s">
        <v>25</v>
      </c>
      <c r="Q48" s="18">
        <v>190</v>
      </c>
      <c r="R48" s="3" t="str">
        <f>IF(OR(G48="12R",G48="12L"),_xlfn.XLOOKUP(C48,Tabla42[ADEP],Tabla42[SID 12R],""),IF(OR(G48="30L",G48="30R"),_xlfn.XLOOKUP(C48,Tabla42[ADEP],Tabla42[SID 30L],""),""))</f>
        <v>UDGUV</v>
      </c>
      <c r="S48" s="3">
        <f t="shared" si="0"/>
        <v>14</v>
      </c>
      <c r="T48" s="3" t="str">
        <f>_xlfn.XLOOKUP(C48,Tabla42[ADEP],Tabla42[Sector],"")</f>
        <v>Sector 2</v>
      </c>
    </row>
    <row r="49" spans="1:20" x14ac:dyDescent="0.2">
      <c r="A49" s="18" t="s">
        <v>2076</v>
      </c>
      <c r="B49" s="18" t="s">
        <v>18</v>
      </c>
      <c r="C49" s="18" t="s">
        <v>18</v>
      </c>
      <c r="D49" s="18" t="s">
        <v>2077</v>
      </c>
      <c r="E49" s="18"/>
      <c r="F49" s="19">
        <v>46305.614861111098</v>
      </c>
      <c r="G49" s="18" t="s">
        <v>21</v>
      </c>
      <c r="H49" s="18" t="s">
        <v>3538</v>
      </c>
      <c r="I49" s="18">
        <v>15</v>
      </c>
      <c r="J49" s="18" t="s">
        <v>130</v>
      </c>
      <c r="K49" s="18" t="s">
        <v>50</v>
      </c>
      <c r="L49" s="18">
        <v>138</v>
      </c>
      <c r="M49" s="18" t="s">
        <v>18</v>
      </c>
      <c r="N49" s="19">
        <v>46305.6549884259</v>
      </c>
      <c r="O49" s="18">
        <v>0</v>
      </c>
      <c r="P49" s="18" t="s">
        <v>129</v>
      </c>
      <c r="Q49" s="18">
        <v>15</v>
      </c>
      <c r="R49" s="3" t="str">
        <f>IF(OR(G49="12R",G49="12L"),_xlfn.XLOOKUP(C49,Tabla42[ADEP],Tabla42[SID 12R],""),IF(OR(G49="30L",G49="30R"),_xlfn.XLOOKUP(C49,Tabla42[ADEP],Tabla42[SID 30L],""),""))</f>
        <v/>
      </c>
      <c r="S49" s="3">
        <f t="shared" si="0"/>
        <v>14</v>
      </c>
      <c r="T49" s="3" t="str">
        <f>_xlfn.XLOOKUP(C49,Tabla42[ADEP],Tabla42[Sector],"")</f>
        <v/>
      </c>
    </row>
    <row r="50" spans="1:20" x14ac:dyDescent="0.2">
      <c r="A50" s="18" t="s">
        <v>135</v>
      </c>
      <c r="B50" s="18" t="s">
        <v>18</v>
      </c>
      <c r="C50" s="18" t="s">
        <v>32</v>
      </c>
      <c r="D50" s="18" t="s">
        <v>53</v>
      </c>
      <c r="E50" s="18" t="s">
        <v>674</v>
      </c>
      <c r="F50" s="19">
        <v>46305.626273148097</v>
      </c>
      <c r="G50" s="18" t="s">
        <v>21</v>
      </c>
      <c r="H50" s="18" t="s">
        <v>3539</v>
      </c>
      <c r="I50" s="18">
        <v>380</v>
      </c>
      <c r="J50" s="18" t="s">
        <v>22</v>
      </c>
      <c r="K50" s="18" t="s">
        <v>23</v>
      </c>
      <c r="L50" s="18">
        <v>875</v>
      </c>
      <c r="M50" s="18" t="s">
        <v>35</v>
      </c>
      <c r="N50" s="19">
        <v>46305.675532407397</v>
      </c>
      <c r="O50" s="18">
        <v>380</v>
      </c>
      <c r="P50" s="18" t="s">
        <v>25</v>
      </c>
      <c r="Q50" s="18">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8" t="s">
        <v>3540</v>
      </c>
      <c r="B51" s="18" t="s">
        <v>18</v>
      </c>
      <c r="C51" s="18" t="s">
        <v>49</v>
      </c>
      <c r="D51" s="18" t="s">
        <v>53</v>
      </c>
      <c r="E51" s="18" t="s">
        <v>3541</v>
      </c>
      <c r="F51" s="19">
        <v>46305.648414351897</v>
      </c>
      <c r="G51" s="18" t="s">
        <v>21</v>
      </c>
      <c r="H51" s="18" t="s">
        <v>3542</v>
      </c>
      <c r="I51" s="18">
        <v>380</v>
      </c>
      <c r="J51" s="18" t="s">
        <v>22</v>
      </c>
      <c r="K51" s="18" t="s">
        <v>23</v>
      </c>
      <c r="L51" s="18">
        <v>863</v>
      </c>
      <c r="M51" s="18" t="s">
        <v>83</v>
      </c>
      <c r="N51" s="19">
        <v>46305.694571759297</v>
      </c>
      <c r="O51" s="18">
        <v>380</v>
      </c>
      <c r="P51" s="18" t="s">
        <v>25</v>
      </c>
      <c r="Q51" s="18">
        <v>190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18" t="s">
        <v>142</v>
      </c>
      <c r="B52" s="18" t="s">
        <v>18</v>
      </c>
      <c r="C52" s="18" t="s">
        <v>42</v>
      </c>
      <c r="D52" s="18" t="s">
        <v>33</v>
      </c>
      <c r="E52" s="18" t="s">
        <v>726</v>
      </c>
      <c r="F52" s="19">
        <v>46305.650231481501</v>
      </c>
      <c r="G52" s="18" t="s">
        <v>21</v>
      </c>
      <c r="H52" s="18" t="s">
        <v>3543</v>
      </c>
      <c r="I52" s="18">
        <v>360</v>
      </c>
      <c r="J52" s="18" t="s">
        <v>22</v>
      </c>
      <c r="K52" s="18" t="s">
        <v>23</v>
      </c>
      <c r="L52" s="18">
        <v>859</v>
      </c>
      <c r="M52" s="18" t="s">
        <v>2035</v>
      </c>
      <c r="N52" s="19">
        <v>46305.696006944403</v>
      </c>
      <c r="O52" s="18">
        <v>360</v>
      </c>
      <c r="P52" s="18" t="s">
        <v>25</v>
      </c>
      <c r="Q52" s="18">
        <v>190</v>
      </c>
      <c r="R52" s="3" t="str">
        <f>IF(OR(G52="12R",G52="12L"),_xlfn.XLOOKUP(C52,Tabla42[ADEP],Tabla42[SID 12R],""),IF(OR(G52="30L",G52="30R"),_xlfn.XLOOKUP(C52,Tabla42[ADEP],Tabla42[SID 30L],""),""))</f>
        <v>UDGUV</v>
      </c>
      <c r="S52" s="3">
        <f t="shared" si="0"/>
        <v>15</v>
      </c>
      <c r="T52" s="3" t="str">
        <f>_xlfn.XLOOKUP(C52,Tabla42[ADEP],Tabla42[Sector],"")</f>
        <v>Sector 2</v>
      </c>
    </row>
    <row r="53" spans="1:20" x14ac:dyDescent="0.2">
      <c r="A53" s="18" t="s">
        <v>151</v>
      </c>
      <c r="B53" s="18" t="s">
        <v>18</v>
      </c>
      <c r="C53" s="18" t="s">
        <v>96</v>
      </c>
      <c r="D53" s="18" t="s">
        <v>122</v>
      </c>
      <c r="E53" s="18" t="s">
        <v>3544</v>
      </c>
      <c r="F53" s="19">
        <v>46305.653391203698</v>
      </c>
      <c r="G53" s="18" t="s">
        <v>21</v>
      </c>
      <c r="H53" s="18" t="s">
        <v>3545</v>
      </c>
      <c r="I53" s="18">
        <v>380</v>
      </c>
      <c r="J53" s="18" t="s">
        <v>22</v>
      </c>
      <c r="K53" s="18" t="s">
        <v>23</v>
      </c>
      <c r="L53" s="18">
        <v>858</v>
      </c>
      <c r="M53" s="18" t="s">
        <v>45</v>
      </c>
      <c r="N53" s="19">
        <v>46305.700706018499</v>
      </c>
      <c r="O53" s="18">
        <v>380</v>
      </c>
      <c r="P53" s="18" t="s">
        <v>25</v>
      </c>
      <c r="Q53" s="18">
        <v>190</v>
      </c>
      <c r="R53" s="3" t="str">
        <f>IF(OR(G53="12R",G53="12L"),_xlfn.XLOOKUP(C53,Tabla42[ADEP],Tabla42[SID 12R],""),IF(OR(G53="30L",G53="30R"),_xlfn.XLOOKUP(C53,Tabla42[ADEP],Tabla42[SID 30L],""),""))</f>
        <v>UDGUV</v>
      </c>
      <c r="S53" s="3">
        <f t="shared" si="0"/>
        <v>15</v>
      </c>
      <c r="T53" s="3" t="str">
        <f>_xlfn.XLOOKUP(C53,Tabla42[ADEP],Tabla42[Sector],"")</f>
        <v>Sector 2</v>
      </c>
    </row>
    <row r="54" spans="1:20" x14ac:dyDescent="0.2">
      <c r="A54" s="18" t="s">
        <v>145</v>
      </c>
      <c r="B54" s="18" t="s">
        <v>18</v>
      </c>
      <c r="C54" s="18" t="s">
        <v>19</v>
      </c>
      <c r="D54" s="18" t="s">
        <v>53</v>
      </c>
      <c r="E54" s="18" t="s">
        <v>2900</v>
      </c>
      <c r="F54" s="19">
        <v>46305.655717592599</v>
      </c>
      <c r="G54" s="18" t="s">
        <v>21</v>
      </c>
      <c r="H54" s="18" t="s">
        <v>3546</v>
      </c>
      <c r="I54" s="18">
        <v>380</v>
      </c>
      <c r="J54" s="18" t="s">
        <v>22</v>
      </c>
      <c r="K54" s="18" t="s">
        <v>23</v>
      </c>
      <c r="L54" s="18">
        <v>863</v>
      </c>
      <c r="M54" s="18" t="s">
        <v>83</v>
      </c>
      <c r="N54" s="19">
        <v>46305.702777777798</v>
      </c>
      <c r="O54" s="18">
        <v>380</v>
      </c>
      <c r="P54" s="18" t="s">
        <v>25</v>
      </c>
      <c r="Q54" s="18">
        <v>190</v>
      </c>
      <c r="R54" s="3" t="str">
        <f>IF(OR(G54="12R",G54="12L"),_xlfn.XLOOKUP(C54,Tabla42[ADEP],Tabla42[SID 12R],""),IF(OR(G54="30L",G54="30R"),_xlfn.XLOOKUP(C54,Tabla42[ADEP],Tabla42[SID 30L],""),""))</f>
        <v>UDGUV</v>
      </c>
      <c r="S54" s="3">
        <f t="shared" si="0"/>
        <v>15</v>
      </c>
      <c r="T54" s="3" t="str">
        <f>_xlfn.XLOOKUP(C54,Tabla42[ADEP],Tabla42[Sector],"")</f>
        <v>Sector 2</v>
      </c>
    </row>
    <row r="55" spans="1:20" x14ac:dyDescent="0.2">
      <c r="A55" s="18" t="s">
        <v>143</v>
      </c>
      <c r="B55" s="18" t="s">
        <v>18</v>
      </c>
      <c r="C55" s="18" t="s">
        <v>32</v>
      </c>
      <c r="D55" s="18" t="s">
        <v>60</v>
      </c>
      <c r="E55" s="18" t="s">
        <v>383</v>
      </c>
      <c r="F55" s="19">
        <v>46305.660208333298</v>
      </c>
      <c r="G55" s="18" t="s">
        <v>21</v>
      </c>
      <c r="H55" s="18" t="s">
        <v>3547</v>
      </c>
      <c r="I55" s="18">
        <v>340</v>
      </c>
      <c r="J55" s="18" t="s">
        <v>22</v>
      </c>
      <c r="K55" s="18" t="s">
        <v>23</v>
      </c>
      <c r="L55" s="18">
        <v>872</v>
      </c>
      <c r="M55" s="18" t="s">
        <v>35</v>
      </c>
      <c r="N55" s="19">
        <v>46305.707280092603</v>
      </c>
      <c r="O55" s="18">
        <v>340</v>
      </c>
      <c r="P55" s="18" t="s">
        <v>25</v>
      </c>
      <c r="Q55" s="18">
        <v>190</v>
      </c>
      <c r="R55" s="3" t="str">
        <f>IF(OR(G55="12R",G55="12L"),_xlfn.XLOOKUP(C55,Tabla42[ADEP],Tabla42[SID 12R],""),IF(OR(G55="30L",G55="30R"),_xlfn.XLOOKUP(C55,Tabla42[ADEP],Tabla42[SID 30L],""),""))</f>
        <v>UDGUV</v>
      </c>
      <c r="S55" s="3">
        <f t="shared" si="0"/>
        <v>15</v>
      </c>
      <c r="T55" s="3" t="str">
        <f>_xlfn.XLOOKUP(C55,Tabla42[ADEP],Tabla42[Sector],"")</f>
        <v>Sector 2</v>
      </c>
    </row>
    <row r="56" spans="1:20" x14ac:dyDescent="0.2">
      <c r="A56" s="18" t="s">
        <v>3548</v>
      </c>
      <c r="B56" s="18" t="s">
        <v>18</v>
      </c>
      <c r="C56" s="18" t="s">
        <v>536</v>
      </c>
      <c r="D56" s="18" t="s">
        <v>2476</v>
      </c>
      <c r="E56" s="18"/>
      <c r="F56" s="19">
        <v>46305.661307870403</v>
      </c>
      <c r="G56" s="18" t="s">
        <v>21</v>
      </c>
      <c r="H56" s="18" t="s">
        <v>3549</v>
      </c>
      <c r="I56" s="18">
        <v>400</v>
      </c>
      <c r="J56" s="18" t="s">
        <v>22</v>
      </c>
      <c r="K56" s="18" t="s">
        <v>50</v>
      </c>
      <c r="L56" s="18">
        <v>863</v>
      </c>
      <c r="M56" s="18" t="s">
        <v>35</v>
      </c>
      <c r="N56" s="19">
        <v>46305.718564814801</v>
      </c>
      <c r="O56" s="18">
        <v>400</v>
      </c>
      <c r="P56" s="18" t="s">
        <v>129</v>
      </c>
      <c r="Q56" s="18">
        <v>30</v>
      </c>
      <c r="R56" s="3" t="str">
        <f>IF(OR(G56="12R",G56="12L"),_xlfn.XLOOKUP(C56,Tabla42[ADEP],Tabla42[SID 12R],""),IF(OR(G56="30L",G56="30R"),_xlfn.XLOOKUP(C56,Tabla42[ADEP],Tabla42[SID 30L],""),""))</f>
        <v>ENEBA</v>
      </c>
      <c r="S56" s="3">
        <f t="shared" si="0"/>
        <v>15</v>
      </c>
      <c r="T56" s="3" t="str">
        <f>_xlfn.XLOOKUP(C56,Tabla42[ADEP],Tabla42[Sector],"")</f>
        <v>Sector 3</v>
      </c>
    </row>
    <row r="57" spans="1:20" x14ac:dyDescent="0.2">
      <c r="A57" s="18" t="s">
        <v>2694</v>
      </c>
      <c r="B57" s="18" t="s">
        <v>18</v>
      </c>
      <c r="C57" s="18" t="s">
        <v>359</v>
      </c>
      <c r="D57" s="18" t="s">
        <v>1041</v>
      </c>
      <c r="E57" s="18" t="s">
        <v>2695</v>
      </c>
      <c r="F57" s="19">
        <v>46305.662025463003</v>
      </c>
      <c r="G57" s="18" t="s">
        <v>21</v>
      </c>
      <c r="H57" s="18" t="s">
        <v>3550</v>
      </c>
      <c r="I57" s="18">
        <v>410</v>
      </c>
      <c r="J57" s="18" t="s">
        <v>22</v>
      </c>
      <c r="K57" s="18" t="s">
        <v>50</v>
      </c>
      <c r="L57" s="18">
        <v>234</v>
      </c>
      <c r="M57" s="18" t="s">
        <v>355</v>
      </c>
      <c r="N57" s="19">
        <v>46305.674942129597</v>
      </c>
      <c r="O57" s="18">
        <v>330</v>
      </c>
      <c r="P57" s="18" t="s">
        <v>25</v>
      </c>
      <c r="Q57" s="18">
        <v>40</v>
      </c>
      <c r="R57" s="3" t="str">
        <f>IF(OR(G57="12R",G57="12L"),_xlfn.XLOOKUP(C57,Tabla42[ADEP],Tabla42[SID 12R],""),IF(OR(G57="30L",G57="30R"),_xlfn.XLOOKUP(C57,Tabla42[ADEP],Tabla42[SID 30L],""),""))</f>
        <v>OMSUK</v>
      </c>
      <c r="S57" s="3">
        <f t="shared" si="0"/>
        <v>15</v>
      </c>
      <c r="T57" s="3" t="str">
        <f>_xlfn.XLOOKUP(C57,Tabla42[ADEP],Tabla42[Sector],"")</f>
        <v>Sector 3</v>
      </c>
    </row>
    <row r="58" spans="1:20" x14ac:dyDescent="0.2">
      <c r="A58" s="18" t="s">
        <v>146</v>
      </c>
      <c r="B58" s="18" t="s">
        <v>18</v>
      </c>
      <c r="C58" s="18" t="s">
        <v>96</v>
      </c>
      <c r="D58" s="18" t="s">
        <v>20</v>
      </c>
      <c r="E58" s="18" t="s">
        <v>57</v>
      </c>
      <c r="F58" s="19">
        <v>46305.663078703699</v>
      </c>
      <c r="G58" s="18" t="s">
        <v>21</v>
      </c>
      <c r="H58" s="18" t="s">
        <v>3551</v>
      </c>
      <c r="I58" s="18">
        <v>360</v>
      </c>
      <c r="J58" s="18" t="s">
        <v>22</v>
      </c>
      <c r="K58" s="18" t="s">
        <v>23</v>
      </c>
      <c r="L58" s="18">
        <v>859</v>
      </c>
      <c r="M58" s="18" t="s">
        <v>632</v>
      </c>
      <c r="N58" s="19">
        <v>46305.709039351903</v>
      </c>
      <c r="O58" s="18">
        <v>360</v>
      </c>
      <c r="P58" s="18" t="s">
        <v>25</v>
      </c>
      <c r="Q58" s="18">
        <v>190</v>
      </c>
      <c r="R58" s="3" t="str">
        <f>IF(OR(G58="12R",G58="12L"),_xlfn.XLOOKUP(C58,Tabla42[ADEP],Tabla42[SID 12R],""),IF(OR(G58="30L",G58="30R"),_xlfn.XLOOKUP(C58,Tabla42[ADEP],Tabla42[SID 30L],""),""))</f>
        <v>UDGUV</v>
      </c>
      <c r="S58" s="3">
        <f t="shared" si="0"/>
        <v>15</v>
      </c>
      <c r="T58" s="3" t="str">
        <f>_xlfn.XLOOKUP(C58,Tabla42[ADEP],Tabla42[Sector],"")</f>
        <v>Sector 2</v>
      </c>
    </row>
    <row r="59" spans="1:20" x14ac:dyDescent="0.2">
      <c r="A59" s="18" t="s">
        <v>2971</v>
      </c>
      <c r="B59" s="18" t="s">
        <v>18</v>
      </c>
      <c r="C59" s="18" t="s">
        <v>121</v>
      </c>
      <c r="D59" s="18" t="s">
        <v>20</v>
      </c>
      <c r="E59" s="18" t="s">
        <v>3552</v>
      </c>
      <c r="F59" s="19">
        <v>46305.664027777799</v>
      </c>
      <c r="G59" s="18" t="s">
        <v>21</v>
      </c>
      <c r="H59" s="18" t="s">
        <v>3553</v>
      </c>
      <c r="I59" s="18">
        <v>380</v>
      </c>
      <c r="J59" s="18" t="s">
        <v>22</v>
      </c>
      <c r="K59" s="18" t="s">
        <v>23</v>
      </c>
      <c r="L59" s="18">
        <v>545</v>
      </c>
      <c r="M59" s="18" t="s">
        <v>123</v>
      </c>
      <c r="N59" s="19">
        <v>46305.693773148101</v>
      </c>
      <c r="O59" s="18">
        <v>360</v>
      </c>
      <c r="P59" s="18" t="s">
        <v>25</v>
      </c>
      <c r="Q59" s="18">
        <v>40</v>
      </c>
      <c r="R59" s="3" t="str">
        <f>IF(OR(G59="12R",G59="12L"),_xlfn.XLOOKUP(C59,Tabla42[ADEP],Tabla42[SID 12R],""),IF(OR(G59="30L",G59="30R"),_xlfn.XLOOKUP(C59,Tabla42[ADEP],Tabla42[SID 30L],""),""))</f>
        <v>ENEBA</v>
      </c>
      <c r="S59" s="3">
        <f t="shared" si="0"/>
        <v>15</v>
      </c>
      <c r="T59" s="3" t="str">
        <f>_xlfn.XLOOKUP(C59,Tabla42[ADEP],Tabla42[Sector],"")</f>
        <v>Sector 3</v>
      </c>
    </row>
    <row r="60" spans="1:20" x14ac:dyDescent="0.2">
      <c r="A60" s="18" t="s">
        <v>148</v>
      </c>
      <c r="B60" s="18" t="s">
        <v>18</v>
      </c>
      <c r="C60" s="18" t="s">
        <v>42</v>
      </c>
      <c r="D60" s="18" t="s">
        <v>60</v>
      </c>
      <c r="E60" s="18" t="s">
        <v>649</v>
      </c>
      <c r="F60" s="19">
        <v>46305.664988425902</v>
      </c>
      <c r="G60" s="18" t="s">
        <v>21</v>
      </c>
      <c r="H60" s="18" t="s">
        <v>3554</v>
      </c>
      <c r="I60" s="18">
        <v>360</v>
      </c>
      <c r="J60" s="18" t="s">
        <v>22</v>
      </c>
      <c r="K60" s="18" t="s">
        <v>23</v>
      </c>
      <c r="L60" s="18">
        <v>859</v>
      </c>
      <c r="M60" s="18" t="s">
        <v>45</v>
      </c>
      <c r="N60" s="19">
        <v>46305.711631944403</v>
      </c>
      <c r="O60" s="18">
        <v>360</v>
      </c>
      <c r="P60" s="18" t="s">
        <v>25</v>
      </c>
      <c r="Q60" s="18">
        <v>190</v>
      </c>
      <c r="R60" s="3" t="str">
        <f>IF(OR(G60="12R",G60="12L"),_xlfn.XLOOKUP(C60,Tabla42[ADEP],Tabla42[SID 12R],""),IF(OR(G60="30L",G60="30R"),_xlfn.XLOOKUP(C60,Tabla42[ADEP],Tabla42[SID 30L],""),""))</f>
        <v>UDGUV</v>
      </c>
      <c r="S60" s="3">
        <f t="shared" si="0"/>
        <v>15</v>
      </c>
      <c r="T60" s="3" t="str">
        <f>_xlfn.XLOOKUP(C60,Tabla42[ADEP],Tabla42[Sector],"")</f>
        <v>Sector 2</v>
      </c>
    </row>
    <row r="61" spans="1:20" x14ac:dyDescent="0.2">
      <c r="A61" s="18" t="s">
        <v>1890</v>
      </c>
      <c r="B61" s="18" t="s">
        <v>18</v>
      </c>
      <c r="C61" s="18" t="s">
        <v>807</v>
      </c>
      <c r="D61" s="18" t="s">
        <v>687</v>
      </c>
      <c r="E61" s="18"/>
      <c r="F61" s="19">
        <v>46305.666226851798</v>
      </c>
      <c r="G61" s="18" t="s">
        <v>21</v>
      </c>
      <c r="H61" s="18" t="s">
        <v>3555</v>
      </c>
      <c r="I61" s="18">
        <v>350</v>
      </c>
      <c r="J61" s="18" t="s">
        <v>22</v>
      </c>
      <c r="K61" s="18" t="s">
        <v>50</v>
      </c>
      <c r="L61" s="18">
        <v>223</v>
      </c>
      <c r="M61" s="18" t="s">
        <v>3556</v>
      </c>
      <c r="N61" s="19">
        <v>46305.6809490741</v>
      </c>
      <c r="O61" s="18">
        <v>267</v>
      </c>
      <c r="P61" s="18" t="s">
        <v>25</v>
      </c>
      <c r="Q61" s="18">
        <v>30</v>
      </c>
      <c r="R61" s="3" t="str">
        <f>IF(OR(G61="12R",G61="12L"),_xlfn.XLOOKUP(C61,Tabla42[ADEP],Tabla42[SID 12R],""),IF(OR(G61="30L",G61="30R"),_xlfn.XLOOKUP(C61,Tabla42[ADEP],Tabla42[SID 30L],""),""))</f>
        <v/>
      </c>
      <c r="S61" s="3">
        <f t="shared" si="0"/>
        <v>15</v>
      </c>
      <c r="T61" s="3" t="str">
        <f>_xlfn.XLOOKUP(C61,Tabla42[ADEP],Tabla42[Sector],"")</f>
        <v/>
      </c>
    </row>
    <row r="62" spans="1:20" x14ac:dyDescent="0.2">
      <c r="A62" s="18" t="s">
        <v>2984</v>
      </c>
      <c r="B62" s="18" t="s">
        <v>18</v>
      </c>
      <c r="C62" s="18" t="s">
        <v>188</v>
      </c>
      <c r="D62" s="18" t="s">
        <v>60</v>
      </c>
      <c r="E62" s="18" t="s">
        <v>3557</v>
      </c>
      <c r="F62" s="19">
        <v>46305.667314814797</v>
      </c>
      <c r="G62" s="18" t="s">
        <v>21</v>
      </c>
      <c r="H62" s="18" t="s">
        <v>3558</v>
      </c>
      <c r="I62" s="18">
        <v>300</v>
      </c>
      <c r="J62" s="18" t="s">
        <v>22</v>
      </c>
      <c r="K62" s="18" t="s">
        <v>23</v>
      </c>
      <c r="L62" s="18">
        <v>440</v>
      </c>
      <c r="M62" s="18" t="s">
        <v>189</v>
      </c>
      <c r="N62" s="19">
        <v>46305.690462963001</v>
      </c>
      <c r="O62" s="18">
        <v>360</v>
      </c>
      <c r="P62" s="18" t="s">
        <v>25</v>
      </c>
      <c r="Q62" s="18">
        <v>40</v>
      </c>
      <c r="R62" s="3" t="str">
        <f>IF(OR(G62="12R",G62="12L"),_xlfn.XLOOKUP(C62,Tabla42[ADEP],Tabla42[SID 12R],""),IF(OR(G62="30L",G62="30R"),_xlfn.XLOOKUP(C62,Tabla42[ADEP],Tabla42[SID 30L],""),""))</f>
        <v>ENEBA</v>
      </c>
      <c r="S62" s="3">
        <f t="shared" si="0"/>
        <v>16</v>
      </c>
      <c r="T62" s="3" t="str">
        <f>_xlfn.XLOOKUP(C62,Tabla42[ADEP],Tabla42[Sector],"")</f>
        <v>Sector 3</v>
      </c>
    </row>
    <row r="63" spans="1:20" x14ac:dyDescent="0.2">
      <c r="A63" s="18" t="s">
        <v>364</v>
      </c>
      <c r="B63" s="18" t="s">
        <v>18</v>
      </c>
      <c r="C63" s="18" t="s">
        <v>27</v>
      </c>
      <c r="D63" s="18" t="s">
        <v>28</v>
      </c>
      <c r="E63" s="18" t="s">
        <v>2553</v>
      </c>
      <c r="F63" s="19">
        <v>46305.669687499998</v>
      </c>
      <c r="G63" s="18" t="s">
        <v>21</v>
      </c>
      <c r="H63" s="18" t="s">
        <v>3559</v>
      </c>
      <c r="I63" s="18">
        <v>360</v>
      </c>
      <c r="J63" s="18" t="s">
        <v>22</v>
      </c>
      <c r="K63" s="18" t="s">
        <v>23</v>
      </c>
      <c r="L63" s="18">
        <v>540</v>
      </c>
      <c r="M63" s="18" t="s">
        <v>123</v>
      </c>
      <c r="N63" s="19">
        <v>46305.698402777802</v>
      </c>
      <c r="O63" s="18">
        <v>320</v>
      </c>
      <c r="P63" s="18" t="s">
        <v>25</v>
      </c>
      <c r="Q63" s="18">
        <v>40</v>
      </c>
      <c r="R63" s="3" t="str">
        <f>IF(OR(G63="12R",G63="12L"),_xlfn.XLOOKUP(C63,Tabla42[ADEP],Tabla42[SID 12R],""),IF(OR(G63="30L",G63="30R"),_xlfn.XLOOKUP(C63,Tabla42[ADEP],Tabla42[SID 30L],""),""))</f>
        <v>OMSUK</v>
      </c>
      <c r="S63" s="3">
        <f t="shared" si="0"/>
        <v>16</v>
      </c>
      <c r="T63" s="3" t="str">
        <f>_xlfn.XLOOKUP(C63,Tabla42[ADEP],Tabla42[Sector],"")</f>
        <v>Sector 3</v>
      </c>
    </row>
    <row r="64" spans="1:20" x14ac:dyDescent="0.2">
      <c r="A64" s="18" t="s">
        <v>2095</v>
      </c>
      <c r="B64" s="18" t="s">
        <v>18</v>
      </c>
      <c r="C64" s="18" t="s">
        <v>121</v>
      </c>
      <c r="D64" s="18" t="s">
        <v>122</v>
      </c>
      <c r="E64" s="18" t="s">
        <v>3560</v>
      </c>
      <c r="F64" s="19">
        <v>46305.671342592599</v>
      </c>
      <c r="G64" s="18" t="s">
        <v>21</v>
      </c>
      <c r="H64" s="18" t="s">
        <v>3561</v>
      </c>
      <c r="I64" s="18">
        <v>360</v>
      </c>
      <c r="J64" s="18" t="s">
        <v>22</v>
      </c>
      <c r="K64" s="18" t="s">
        <v>23</v>
      </c>
      <c r="L64" s="18">
        <v>554</v>
      </c>
      <c r="M64" s="18" t="s">
        <v>123</v>
      </c>
      <c r="N64" s="19">
        <v>46305.700682870403</v>
      </c>
      <c r="O64" s="18">
        <v>300</v>
      </c>
      <c r="P64" s="18" t="s">
        <v>25</v>
      </c>
      <c r="Q64" s="18">
        <v>40</v>
      </c>
      <c r="R64" s="3" t="str">
        <f>IF(OR(G64="12R",G64="12L"),_xlfn.XLOOKUP(C64,Tabla42[ADEP],Tabla42[SID 12R],""),IF(OR(G64="30L",G64="30R"),_xlfn.XLOOKUP(C64,Tabla42[ADEP],Tabla42[SID 30L],""),""))</f>
        <v>ENEBA</v>
      </c>
      <c r="S64" s="3">
        <f t="shared" si="0"/>
        <v>16</v>
      </c>
      <c r="T64" s="3" t="str">
        <f>_xlfn.XLOOKUP(C64,Tabla42[ADEP],Tabla42[Sector],"")</f>
        <v>Sector 3</v>
      </c>
    </row>
    <row r="65" spans="1:20" x14ac:dyDescent="0.2">
      <c r="A65" s="18" t="s">
        <v>2990</v>
      </c>
      <c r="B65" s="18" t="s">
        <v>18</v>
      </c>
      <c r="C65" s="18" t="s">
        <v>444</v>
      </c>
      <c r="D65" s="18" t="s">
        <v>20</v>
      </c>
      <c r="E65" s="18" t="s">
        <v>3562</v>
      </c>
      <c r="F65" s="19">
        <v>46305.674027777801</v>
      </c>
      <c r="G65" s="18" t="s">
        <v>21</v>
      </c>
      <c r="H65" s="18" t="s">
        <v>3563</v>
      </c>
      <c r="I65" s="18">
        <v>380</v>
      </c>
      <c r="J65" s="18" t="s">
        <v>22</v>
      </c>
      <c r="K65" s="18" t="s">
        <v>23</v>
      </c>
      <c r="L65" s="18">
        <v>439</v>
      </c>
      <c r="M65" s="18" t="s">
        <v>189</v>
      </c>
      <c r="N65" s="19">
        <v>46305.698518518497</v>
      </c>
      <c r="O65" s="18">
        <v>380</v>
      </c>
      <c r="P65" s="18" t="s">
        <v>25</v>
      </c>
      <c r="Q65" s="18">
        <v>40</v>
      </c>
      <c r="R65" s="3" t="str">
        <f>IF(OR(G65="12R",G65="12L"),_xlfn.XLOOKUP(C65,Tabla42[ADEP],Tabla42[SID 12R],""),IF(OR(G65="30L",G65="30R"),_xlfn.XLOOKUP(C65,Tabla42[ADEP],Tabla42[SID 30L],""),""))</f>
        <v>ENEBA</v>
      </c>
      <c r="S65" s="3">
        <f t="shared" si="0"/>
        <v>16</v>
      </c>
      <c r="T65" s="3" t="str">
        <f>_xlfn.XLOOKUP(C65,Tabla42[ADEP],Tabla42[Sector],"")</f>
        <v>Sector 3</v>
      </c>
    </row>
    <row r="66" spans="1:20" x14ac:dyDescent="0.2">
      <c r="A66" s="18" t="s">
        <v>168</v>
      </c>
      <c r="B66" s="18" t="s">
        <v>18</v>
      </c>
      <c r="C66" s="18" t="s">
        <v>96</v>
      </c>
      <c r="D66" s="18" t="s">
        <v>33</v>
      </c>
      <c r="E66" s="18" t="s">
        <v>3296</v>
      </c>
      <c r="F66" s="19">
        <v>46305.675266203703</v>
      </c>
      <c r="G66" s="18" t="s">
        <v>21</v>
      </c>
      <c r="H66" s="18" t="s">
        <v>170</v>
      </c>
      <c r="I66" s="18">
        <v>360</v>
      </c>
      <c r="J66" s="18" t="s">
        <v>22</v>
      </c>
      <c r="K66" s="18" t="s">
        <v>23</v>
      </c>
      <c r="L66" s="18">
        <v>859</v>
      </c>
      <c r="M66" s="18" t="s">
        <v>45</v>
      </c>
      <c r="N66" s="19">
        <v>46305.722210648099</v>
      </c>
      <c r="O66" s="18">
        <v>360</v>
      </c>
      <c r="P66" s="18" t="s">
        <v>25</v>
      </c>
      <c r="Q66" s="18">
        <v>190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18" t="s">
        <v>569</v>
      </c>
      <c r="B67" s="18" t="s">
        <v>18</v>
      </c>
      <c r="C67" s="18" t="s">
        <v>126</v>
      </c>
      <c r="D67" s="18" t="s">
        <v>117</v>
      </c>
      <c r="E67" s="18" t="s">
        <v>3564</v>
      </c>
      <c r="F67" s="19">
        <v>46305.677106481497</v>
      </c>
      <c r="G67" s="18" t="s">
        <v>21</v>
      </c>
      <c r="H67" s="18" t="s">
        <v>3565</v>
      </c>
      <c r="I67" s="18">
        <v>360</v>
      </c>
      <c r="J67" s="18" t="s">
        <v>22</v>
      </c>
      <c r="K67" s="18" t="s">
        <v>23</v>
      </c>
      <c r="L67" s="18">
        <v>412</v>
      </c>
      <c r="M67" s="18" t="s">
        <v>3566</v>
      </c>
      <c r="N67" s="19">
        <v>46305.699097222197</v>
      </c>
      <c r="O67" s="18">
        <v>360</v>
      </c>
      <c r="P67" s="18" t="s">
        <v>25</v>
      </c>
      <c r="Q67" s="18">
        <v>40</v>
      </c>
      <c r="R67" s="3" t="str">
        <f>IF(OR(G67="12R",G67="12L"),_xlfn.XLOOKUP(C67,Tabla42[ADEP],Tabla42[SID 12R],""),IF(OR(G67="30L",G67="30R"),_xlfn.XLOOKUP(C67,Tabla42[ADEP],Tabla42[SID 30L],""),""))</f>
        <v>ENEBA</v>
      </c>
      <c r="S67" s="3">
        <f t="shared" ref="S67:S130" si="1">HOUR(F67)</f>
        <v>16</v>
      </c>
      <c r="T67" s="3" t="str">
        <f>_xlfn.XLOOKUP(C67,Tabla42[ADEP],Tabla42[Sector],"")</f>
        <v>Sector 3</v>
      </c>
    </row>
    <row r="68" spans="1:20" x14ac:dyDescent="0.2">
      <c r="A68" s="18" t="s">
        <v>159</v>
      </c>
      <c r="B68" s="18" t="s">
        <v>18</v>
      </c>
      <c r="C68" s="18" t="s">
        <v>160</v>
      </c>
      <c r="D68" s="18" t="s">
        <v>33</v>
      </c>
      <c r="E68" s="18" t="s">
        <v>558</v>
      </c>
      <c r="F68" s="19">
        <v>46305.680266203701</v>
      </c>
      <c r="G68" s="18" t="s">
        <v>21</v>
      </c>
      <c r="H68" s="18" t="s">
        <v>3567</v>
      </c>
      <c r="I68" s="18">
        <v>380</v>
      </c>
      <c r="J68" s="18" t="s">
        <v>22</v>
      </c>
      <c r="K68" s="18" t="s">
        <v>23</v>
      </c>
      <c r="L68" s="18">
        <v>338</v>
      </c>
      <c r="M68" s="18" t="s">
        <v>3568</v>
      </c>
      <c r="N68" s="19">
        <v>46305.698240740698</v>
      </c>
      <c r="O68" s="18">
        <v>380</v>
      </c>
      <c r="P68" s="18" t="s">
        <v>25</v>
      </c>
      <c r="Q68" s="18">
        <v>190</v>
      </c>
      <c r="R68" s="3" t="str">
        <f>IF(OR(G68="12R",G68="12L"),_xlfn.XLOOKUP(C68,Tabla42[ADEP],Tabla42[SID 12R],""),IF(OR(G68="30L",G68="30R"),_xlfn.XLOOKUP(C68,Tabla42[ADEP],Tabla42[SID 30L],""),""))</f>
        <v>CZM</v>
      </c>
      <c r="S68" s="3">
        <f t="shared" si="1"/>
        <v>16</v>
      </c>
      <c r="T68" s="3" t="str">
        <f>_xlfn.XLOOKUP(C68,Tabla42[ADEP],Tabla42[Sector],"")</f>
        <v>Sector 7</v>
      </c>
    </row>
    <row r="69" spans="1:20" x14ac:dyDescent="0.2">
      <c r="A69" s="18" t="s">
        <v>443</v>
      </c>
      <c r="B69" s="18" t="s">
        <v>18</v>
      </c>
      <c r="C69" s="18" t="s">
        <v>444</v>
      </c>
      <c r="D69" s="18" t="s">
        <v>28</v>
      </c>
      <c r="E69" s="18" t="s">
        <v>3569</v>
      </c>
      <c r="F69" s="19">
        <v>46305.681481481501</v>
      </c>
      <c r="G69" s="18" t="s">
        <v>21</v>
      </c>
      <c r="H69" s="18" t="s">
        <v>3570</v>
      </c>
      <c r="I69" s="18">
        <v>380</v>
      </c>
      <c r="J69" s="18" t="s">
        <v>22</v>
      </c>
      <c r="K69" s="18" t="s">
        <v>23</v>
      </c>
      <c r="L69" s="18">
        <v>413</v>
      </c>
      <c r="M69" s="18" t="s">
        <v>3571</v>
      </c>
      <c r="N69" s="19">
        <v>46305.704513888901</v>
      </c>
      <c r="O69" s="18">
        <v>380</v>
      </c>
      <c r="P69" s="18" t="s">
        <v>25</v>
      </c>
      <c r="Q69" s="18">
        <v>40</v>
      </c>
      <c r="R69" s="3" t="str">
        <f>IF(OR(G69="12R",G69="12L"),_xlfn.XLOOKUP(C69,Tabla42[ADEP],Tabla42[SID 12R],""),IF(OR(G69="30L",G69="30R"),_xlfn.XLOOKUP(C69,Tabla42[ADEP],Tabla42[SID 30L],""),""))</f>
        <v>ENEBA</v>
      </c>
      <c r="S69" s="3">
        <f t="shared" si="1"/>
        <v>16</v>
      </c>
      <c r="T69" s="3" t="str">
        <f>_xlfn.XLOOKUP(C69,Tabla42[ADEP],Tabla42[Sector],"")</f>
        <v>Sector 3</v>
      </c>
    </row>
    <row r="70" spans="1:20" x14ac:dyDescent="0.2">
      <c r="A70" s="18" t="s">
        <v>152</v>
      </c>
      <c r="B70" s="18" t="s">
        <v>18</v>
      </c>
      <c r="C70" s="18" t="s">
        <v>153</v>
      </c>
      <c r="D70" s="18" t="s">
        <v>33</v>
      </c>
      <c r="E70" s="18" t="s">
        <v>147</v>
      </c>
      <c r="F70" s="19">
        <v>46305.686203703699</v>
      </c>
      <c r="G70" s="18" t="s">
        <v>21</v>
      </c>
      <c r="H70" s="18" t="s">
        <v>3572</v>
      </c>
      <c r="I70" s="18">
        <v>360</v>
      </c>
      <c r="J70" s="18" t="s">
        <v>22</v>
      </c>
      <c r="K70" s="18" t="s">
        <v>23</v>
      </c>
      <c r="L70" s="18">
        <v>877</v>
      </c>
      <c r="M70" s="18" t="s">
        <v>35</v>
      </c>
      <c r="N70" s="19">
        <v>46305.734652777799</v>
      </c>
      <c r="O70" s="18">
        <v>360</v>
      </c>
      <c r="P70" s="18" t="s">
        <v>25</v>
      </c>
      <c r="Q70" s="18">
        <v>190</v>
      </c>
      <c r="R70" s="3" t="str">
        <f>IF(OR(G70="12R",G70="12L"),_xlfn.XLOOKUP(C70,Tabla42[ADEP],Tabla42[SID 12R],""),IF(OR(G70="30L",G70="30R"),_xlfn.XLOOKUP(C70,Tabla42[ADEP],Tabla42[SID 30L],""),""))</f>
        <v>UDGUV</v>
      </c>
      <c r="S70" s="3">
        <f t="shared" si="1"/>
        <v>16</v>
      </c>
      <c r="T70" s="3" t="str">
        <f>_xlfn.XLOOKUP(C70,Tabla42[ADEP],Tabla42[Sector],"")</f>
        <v>Sector 2</v>
      </c>
    </row>
    <row r="71" spans="1:20" x14ac:dyDescent="0.2">
      <c r="A71" s="18" t="s">
        <v>163</v>
      </c>
      <c r="B71" s="18" t="s">
        <v>18</v>
      </c>
      <c r="C71" s="18" t="s">
        <v>164</v>
      </c>
      <c r="D71" s="18" t="s">
        <v>43</v>
      </c>
      <c r="E71" s="18" t="s">
        <v>428</v>
      </c>
      <c r="F71" s="19">
        <v>46305.687534722201</v>
      </c>
      <c r="G71" s="18" t="s">
        <v>21</v>
      </c>
      <c r="H71" s="18" t="s">
        <v>3573</v>
      </c>
      <c r="I71" s="18">
        <v>320</v>
      </c>
      <c r="J71" s="18" t="s">
        <v>22</v>
      </c>
      <c r="K71" s="18" t="s">
        <v>23</v>
      </c>
      <c r="L71" s="18">
        <v>379</v>
      </c>
      <c r="M71" s="18" t="s">
        <v>250</v>
      </c>
      <c r="N71" s="19">
        <v>46305.7088194444</v>
      </c>
      <c r="O71" s="18">
        <v>320</v>
      </c>
      <c r="P71" s="18" t="s">
        <v>25</v>
      </c>
      <c r="Q71" s="18">
        <v>40</v>
      </c>
      <c r="R71" s="3" t="str">
        <f>IF(OR(G71="12R",G71="12L"),_xlfn.XLOOKUP(C71,Tabla42[ADEP],Tabla42[SID 12R],""),IF(OR(G71="30L",G71="30R"),_xlfn.XLOOKUP(C71,Tabla42[ADEP],Tabla42[SID 30L],""),""))</f>
        <v>OMSUK</v>
      </c>
      <c r="S71" s="3">
        <f t="shared" si="1"/>
        <v>16</v>
      </c>
      <c r="T71" s="3" t="str">
        <f>_xlfn.XLOOKUP(C71,Tabla42[ADEP],Tabla42[Sector],"")</f>
        <v>Sector 3</v>
      </c>
    </row>
    <row r="72" spans="1:20" x14ac:dyDescent="0.2">
      <c r="A72" s="18" t="s">
        <v>2076</v>
      </c>
      <c r="B72" s="18" t="s">
        <v>18</v>
      </c>
      <c r="C72" s="18" t="s">
        <v>18</v>
      </c>
      <c r="D72" s="18" t="s">
        <v>2077</v>
      </c>
      <c r="E72" s="18"/>
      <c r="F72" s="19">
        <v>46305.688750000001</v>
      </c>
      <c r="G72" s="18" t="s">
        <v>21</v>
      </c>
      <c r="H72" s="18" t="s">
        <v>3574</v>
      </c>
      <c r="I72" s="18">
        <v>15</v>
      </c>
      <c r="J72" s="18" t="s">
        <v>130</v>
      </c>
      <c r="K72" s="18" t="s">
        <v>50</v>
      </c>
      <c r="L72" s="18">
        <v>315</v>
      </c>
      <c r="M72" s="18" t="s">
        <v>18</v>
      </c>
      <c r="N72" s="19">
        <v>46305.724363425899</v>
      </c>
      <c r="O72" s="18">
        <v>0</v>
      </c>
      <c r="P72" s="18" t="s">
        <v>129</v>
      </c>
      <c r="Q72" s="18">
        <v>15</v>
      </c>
      <c r="R72" s="3" t="str">
        <f>IF(OR(G72="12R",G72="12L"),_xlfn.XLOOKUP(C72,Tabla42[ADEP],Tabla42[SID 12R],""),IF(OR(G72="30L",G72="30R"),_xlfn.XLOOKUP(C72,Tabla42[ADEP],Tabla42[SID 30L],""),""))</f>
        <v/>
      </c>
      <c r="S72" s="3">
        <f t="shared" si="1"/>
        <v>16</v>
      </c>
      <c r="T72" s="3" t="str">
        <f>_xlfn.XLOOKUP(C72,Tabla42[ADEP],Tabla42[Sector],"")</f>
        <v/>
      </c>
    </row>
    <row r="73" spans="1:20" x14ac:dyDescent="0.2">
      <c r="A73" s="18" t="s">
        <v>430</v>
      </c>
      <c r="B73" s="18" t="s">
        <v>18</v>
      </c>
      <c r="C73" s="18" t="s">
        <v>265</v>
      </c>
      <c r="D73" s="18" t="s">
        <v>33</v>
      </c>
      <c r="E73" s="18" t="s">
        <v>91</v>
      </c>
      <c r="F73" s="19">
        <v>46305.691712963002</v>
      </c>
      <c r="G73" s="18" t="s">
        <v>21</v>
      </c>
      <c r="H73" s="18" t="s">
        <v>3575</v>
      </c>
      <c r="I73" s="18">
        <v>360</v>
      </c>
      <c r="J73" s="18" t="s">
        <v>22</v>
      </c>
      <c r="K73" s="18" t="s">
        <v>23</v>
      </c>
      <c r="L73" s="18">
        <v>862</v>
      </c>
      <c r="M73" s="18" t="s">
        <v>167</v>
      </c>
      <c r="N73" s="19">
        <v>46305.738541666702</v>
      </c>
      <c r="O73" s="18">
        <v>360</v>
      </c>
      <c r="P73" s="18" t="s">
        <v>25</v>
      </c>
      <c r="Q73" s="18">
        <v>190</v>
      </c>
      <c r="R73" s="3" t="str">
        <f>IF(OR(G73="12R",G73="12L"),_xlfn.XLOOKUP(C73,Tabla42[ADEP],Tabla42[SID 12R],""),IF(OR(G73="30L",G73="30R"),_xlfn.XLOOKUP(C73,Tabla42[ADEP],Tabla42[SID 30L],""),""))</f>
        <v>UDGUV</v>
      </c>
      <c r="S73" s="3">
        <f t="shared" si="1"/>
        <v>16</v>
      </c>
      <c r="T73" s="3" t="str">
        <f>_xlfn.XLOOKUP(C73,Tabla42[ADEP],Tabla42[Sector],"")</f>
        <v>Sector 2</v>
      </c>
    </row>
    <row r="74" spans="1:20" x14ac:dyDescent="0.2">
      <c r="A74" s="18" t="s">
        <v>176</v>
      </c>
      <c r="B74" s="18" t="s">
        <v>18</v>
      </c>
      <c r="C74" s="18" t="s">
        <v>19</v>
      </c>
      <c r="D74" s="18" t="s">
        <v>33</v>
      </c>
      <c r="E74" s="18" t="s">
        <v>2439</v>
      </c>
      <c r="F74" s="19">
        <v>46305.693275463003</v>
      </c>
      <c r="G74" s="18" t="s">
        <v>21</v>
      </c>
      <c r="H74" s="18" t="s">
        <v>3312</v>
      </c>
      <c r="I74" s="18">
        <v>360</v>
      </c>
      <c r="J74" s="18" t="s">
        <v>22</v>
      </c>
      <c r="K74" s="18" t="s">
        <v>23</v>
      </c>
      <c r="L74" s="18">
        <v>869</v>
      </c>
      <c r="M74" s="18" t="s">
        <v>167</v>
      </c>
      <c r="N74" s="19">
        <v>46305.741203703699</v>
      </c>
      <c r="O74" s="18">
        <v>360</v>
      </c>
      <c r="P74" s="18" t="s">
        <v>25</v>
      </c>
      <c r="Q74" s="18">
        <v>190</v>
      </c>
      <c r="R74" s="3" t="str">
        <f>IF(OR(G74="12R",G74="12L"),_xlfn.XLOOKUP(C74,Tabla42[ADEP],Tabla42[SID 12R],""),IF(OR(G74="30L",G74="30R"),_xlfn.XLOOKUP(C74,Tabla42[ADEP],Tabla42[SID 30L],""),""))</f>
        <v>UDGUV</v>
      </c>
      <c r="S74" s="3">
        <f t="shared" si="1"/>
        <v>16</v>
      </c>
      <c r="T74" s="3" t="str">
        <f>_xlfn.XLOOKUP(C74,Tabla42[ADEP],Tabla42[Sector],"")</f>
        <v>Sector 2</v>
      </c>
    </row>
    <row r="75" spans="1:20" x14ac:dyDescent="0.2">
      <c r="A75" s="18" t="s">
        <v>150</v>
      </c>
      <c r="B75" s="18" t="s">
        <v>18</v>
      </c>
      <c r="C75" s="18" t="s">
        <v>32</v>
      </c>
      <c r="D75" s="18" t="s">
        <v>20</v>
      </c>
      <c r="E75" s="18" t="s">
        <v>484</v>
      </c>
      <c r="F75" s="19">
        <v>46305.695370370398</v>
      </c>
      <c r="G75" s="18" t="s">
        <v>21</v>
      </c>
      <c r="H75" s="18" t="s">
        <v>3576</v>
      </c>
      <c r="I75" s="18">
        <v>340</v>
      </c>
      <c r="J75" s="18" t="s">
        <v>22</v>
      </c>
      <c r="K75" s="18" t="s">
        <v>23</v>
      </c>
      <c r="L75" s="18">
        <v>898</v>
      </c>
      <c r="M75" s="18" t="s">
        <v>3577</v>
      </c>
      <c r="N75" s="19">
        <v>46305.745011574101</v>
      </c>
      <c r="O75" s="18">
        <v>340</v>
      </c>
      <c r="P75" s="18" t="s">
        <v>25</v>
      </c>
      <c r="Q75" s="18">
        <v>190</v>
      </c>
      <c r="R75" s="3" t="str">
        <f>IF(OR(G75="12R",G75="12L"),_xlfn.XLOOKUP(C75,Tabla42[ADEP],Tabla42[SID 12R],""),IF(OR(G75="30L",G75="30R"),_xlfn.XLOOKUP(C75,Tabla42[ADEP],Tabla42[SID 30L],""),""))</f>
        <v>UDGUV</v>
      </c>
      <c r="S75" s="3">
        <f t="shared" si="1"/>
        <v>16</v>
      </c>
      <c r="T75" s="3" t="str">
        <f>_xlfn.XLOOKUP(C75,Tabla42[ADEP],Tabla42[Sector],"")</f>
        <v>Sector 2</v>
      </c>
    </row>
    <row r="76" spans="1:20" x14ac:dyDescent="0.2">
      <c r="A76" s="18" t="s">
        <v>432</v>
      </c>
      <c r="B76" s="18" t="s">
        <v>18</v>
      </c>
      <c r="C76" s="18" t="s">
        <v>233</v>
      </c>
      <c r="D76" s="18" t="s">
        <v>122</v>
      </c>
      <c r="E76" s="18" t="s">
        <v>3178</v>
      </c>
      <c r="F76" s="19">
        <v>46305.696446759299</v>
      </c>
      <c r="G76" s="18" t="s">
        <v>21</v>
      </c>
      <c r="H76" s="18" t="s">
        <v>3578</v>
      </c>
      <c r="I76" s="18">
        <v>380</v>
      </c>
      <c r="J76" s="18" t="s">
        <v>22</v>
      </c>
      <c r="K76" s="18" t="s">
        <v>23</v>
      </c>
      <c r="L76" s="18">
        <v>531</v>
      </c>
      <c r="M76" s="18" t="s">
        <v>123</v>
      </c>
      <c r="N76" s="19">
        <v>46305.726435185199</v>
      </c>
      <c r="O76" s="18">
        <v>360</v>
      </c>
      <c r="P76" s="18" t="s">
        <v>25</v>
      </c>
      <c r="Q76" s="18">
        <v>40</v>
      </c>
      <c r="R76" s="3" t="str">
        <f>IF(OR(G76="12R",G76="12L"),_xlfn.XLOOKUP(C76,Tabla42[ADEP],Tabla42[SID 12R],""),IF(OR(G76="30L",G76="30R"),_xlfn.XLOOKUP(C76,Tabla42[ADEP],Tabla42[SID 30L],""),""))</f>
        <v>UDGUV</v>
      </c>
      <c r="S76" s="3">
        <f t="shared" si="1"/>
        <v>16</v>
      </c>
      <c r="T76" s="3" t="str">
        <f>_xlfn.XLOOKUP(C76,Tabla42[ADEP],Tabla42[Sector],"")</f>
        <v>Sector 2</v>
      </c>
    </row>
    <row r="77" spans="1:20" x14ac:dyDescent="0.2">
      <c r="A77" s="18" t="s">
        <v>181</v>
      </c>
      <c r="B77" s="18" t="s">
        <v>18</v>
      </c>
      <c r="C77" s="18" t="s">
        <v>42</v>
      </c>
      <c r="D77" s="18" t="s">
        <v>28</v>
      </c>
      <c r="E77" s="18" t="s">
        <v>3579</v>
      </c>
      <c r="F77" s="19">
        <v>46305.6975578704</v>
      </c>
      <c r="G77" s="18" t="s">
        <v>21</v>
      </c>
      <c r="H77" s="18" t="s">
        <v>3580</v>
      </c>
      <c r="I77" s="18">
        <v>380</v>
      </c>
      <c r="J77" s="18" t="s">
        <v>22</v>
      </c>
      <c r="K77" s="18" t="s">
        <v>23</v>
      </c>
      <c r="L77" s="18">
        <v>859</v>
      </c>
      <c r="M77" s="18" t="s">
        <v>45</v>
      </c>
      <c r="N77" s="19">
        <v>46305.744525463</v>
      </c>
      <c r="O77" s="18">
        <v>380</v>
      </c>
      <c r="P77" s="18" t="s">
        <v>25</v>
      </c>
      <c r="Q77" s="18">
        <v>190</v>
      </c>
      <c r="R77" s="3" t="str">
        <f>IF(OR(G77="12R",G77="12L"),_xlfn.XLOOKUP(C77,Tabla42[ADEP],Tabla42[SID 12R],""),IF(OR(G77="30L",G77="30R"),_xlfn.XLOOKUP(C77,Tabla42[ADEP],Tabla42[SID 30L],""),""))</f>
        <v>UDGUV</v>
      </c>
      <c r="S77" s="3">
        <f t="shared" si="1"/>
        <v>16</v>
      </c>
      <c r="T77" s="3" t="str">
        <f>_xlfn.XLOOKUP(C77,Tabla42[ADEP],Tabla42[Sector],"")</f>
        <v>Sector 2</v>
      </c>
    </row>
    <row r="78" spans="1:20" x14ac:dyDescent="0.2">
      <c r="A78" s="18" t="s">
        <v>199</v>
      </c>
      <c r="B78" s="18" t="s">
        <v>18</v>
      </c>
      <c r="C78" s="18" t="s">
        <v>200</v>
      </c>
      <c r="D78" s="18" t="s">
        <v>28</v>
      </c>
      <c r="E78" s="18" t="s">
        <v>3581</v>
      </c>
      <c r="F78" s="19">
        <v>46305.698831018497</v>
      </c>
      <c r="G78" s="18" t="s">
        <v>21</v>
      </c>
      <c r="H78" s="18" t="s">
        <v>3582</v>
      </c>
      <c r="I78" s="18">
        <v>360</v>
      </c>
      <c r="J78" s="18" t="s">
        <v>22</v>
      </c>
      <c r="K78" s="18" t="s">
        <v>23</v>
      </c>
      <c r="L78" s="18">
        <v>420</v>
      </c>
      <c r="M78" s="18" t="s">
        <v>3583</v>
      </c>
      <c r="N78" s="19">
        <v>46305.722476851799</v>
      </c>
      <c r="O78" s="18">
        <v>360</v>
      </c>
      <c r="P78" s="18" t="s">
        <v>25</v>
      </c>
      <c r="Q78" s="18">
        <v>40</v>
      </c>
      <c r="R78" s="3" t="str">
        <f>IF(OR(G78="12R",G78="12L"),_xlfn.XLOOKUP(C78,Tabla42[ADEP],Tabla42[SID 12R],""),IF(OR(G78="30L",G78="30R"),_xlfn.XLOOKUP(C78,Tabla42[ADEP],Tabla42[SID 30L],""),""))</f>
        <v>OMSUK</v>
      </c>
      <c r="S78" s="3">
        <f t="shared" si="1"/>
        <v>16</v>
      </c>
      <c r="T78" s="3" t="str">
        <f>_xlfn.XLOOKUP(C78,Tabla42[ADEP],Tabla42[Sector],"")</f>
        <v>Sector 3</v>
      </c>
    </row>
    <row r="79" spans="1:20" x14ac:dyDescent="0.2">
      <c r="A79" s="18" t="s">
        <v>180</v>
      </c>
      <c r="B79" s="18" t="s">
        <v>18</v>
      </c>
      <c r="C79" s="18" t="s">
        <v>133</v>
      </c>
      <c r="D79" s="18" t="s">
        <v>60</v>
      </c>
      <c r="E79" s="18" t="s">
        <v>2031</v>
      </c>
      <c r="F79" s="19">
        <v>46305.706504629597</v>
      </c>
      <c r="G79" s="18" t="s">
        <v>21</v>
      </c>
      <c r="H79" s="18" t="s">
        <v>3584</v>
      </c>
      <c r="I79" s="18">
        <v>330</v>
      </c>
      <c r="J79" s="18" t="s">
        <v>22</v>
      </c>
      <c r="K79" s="18" t="s">
        <v>23</v>
      </c>
      <c r="L79" s="18">
        <v>136</v>
      </c>
      <c r="M79" s="18" t="s">
        <v>39</v>
      </c>
      <c r="N79" s="19">
        <v>46305.716238425899</v>
      </c>
      <c r="O79" s="18">
        <v>202</v>
      </c>
      <c r="P79" s="18" t="s">
        <v>25</v>
      </c>
      <c r="Q79" s="18">
        <v>190</v>
      </c>
      <c r="R79" s="3" t="str">
        <f>IF(OR(G79="12R",G79="12L"),_xlfn.XLOOKUP(C79,Tabla42[ADEP],Tabla42[SID 12R],""),IF(OR(G79="30L",G79="30R"),_xlfn.XLOOKUP(C79,Tabla42[ADEP],Tabla42[SID 30L],""),""))</f>
        <v>OMSUK</v>
      </c>
      <c r="S79" s="3">
        <f t="shared" si="1"/>
        <v>16</v>
      </c>
      <c r="T79" s="3" t="str">
        <f>_xlfn.XLOOKUP(C79,Tabla42[ADEP],Tabla42[Sector],"")</f>
        <v>Sector 3</v>
      </c>
    </row>
    <row r="80" spans="1:20" x14ac:dyDescent="0.2">
      <c r="A80" s="18" t="s">
        <v>178</v>
      </c>
      <c r="B80" s="18" t="s">
        <v>18</v>
      </c>
      <c r="C80" s="18" t="s">
        <v>179</v>
      </c>
      <c r="D80" s="18" t="s">
        <v>53</v>
      </c>
      <c r="E80" s="18" t="s">
        <v>393</v>
      </c>
      <c r="F80" s="19">
        <v>46305.707557870403</v>
      </c>
      <c r="G80" s="18" t="s">
        <v>21</v>
      </c>
      <c r="H80" s="18" t="s">
        <v>3585</v>
      </c>
      <c r="I80" s="18">
        <v>360</v>
      </c>
      <c r="J80" s="18" t="s">
        <v>22</v>
      </c>
      <c r="K80" s="18" t="s">
        <v>23</v>
      </c>
      <c r="L80" s="18">
        <v>835</v>
      </c>
      <c r="M80" s="18" t="s">
        <v>179</v>
      </c>
      <c r="N80" s="19">
        <v>46305.756724537001</v>
      </c>
      <c r="O80" s="18">
        <v>15</v>
      </c>
      <c r="P80" s="18" t="s">
        <v>25</v>
      </c>
      <c r="Q80" s="18">
        <v>190</v>
      </c>
      <c r="R80" s="3" t="str">
        <f>IF(OR(G80="12R",G80="12L"),_xlfn.XLOOKUP(C80,Tabla42[ADEP],Tabla42[SID 12R],""),IF(OR(G80="30L",G80="30R"),_xlfn.XLOOKUP(C80,Tabla42[ADEP],Tabla42[SID 30L],""),""))</f>
        <v>UDGUV</v>
      </c>
      <c r="S80" s="3">
        <f t="shared" si="1"/>
        <v>16</v>
      </c>
      <c r="T80" s="3" t="str">
        <f>_xlfn.XLOOKUP(C80,Tabla42[ADEP],Tabla42[Sector],"")</f>
        <v>Sector 2</v>
      </c>
    </row>
    <row r="81" spans="1:20" x14ac:dyDescent="0.2">
      <c r="A81" s="18" t="s">
        <v>208</v>
      </c>
      <c r="B81" s="18" t="s">
        <v>18</v>
      </c>
      <c r="C81" s="18" t="s">
        <v>209</v>
      </c>
      <c r="D81" s="18" t="s">
        <v>110</v>
      </c>
      <c r="E81" s="18" t="s">
        <v>2603</v>
      </c>
      <c r="F81" s="19">
        <v>46305.709027777797</v>
      </c>
      <c r="G81" s="18" t="s">
        <v>21</v>
      </c>
      <c r="H81" s="18" t="s">
        <v>3586</v>
      </c>
      <c r="I81" s="18">
        <v>360</v>
      </c>
      <c r="J81" s="18" t="s">
        <v>22</v>
      </c>
      <c r="K81" s="18" t="s">
        <v>23</v>
      </c>
      <c r="L81" s="18">
        <v>575</v>
      </c>
      <c r="M81" s="18" t="s">
        <v>123</v>
      </c>
      <c r="N81" s="19">
        <v>46305.739953703698</v>
      </c>
      <c r="O81" s="18">
        <v>360</v>
      </c>
      <c r="P81" s="18" t="s">
        <v>25</v>
      </c>
      <c r="Q81" s="18">
        <v>40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18" t="s">
        <v>3587</v>
      </c>
      <c r="B82" s="18" t="s">
        <v>18</v>
      </c>
      <c r="C82" s="18" t="s">
        <v>3588</v>
      </c>
      <c r="D82" s="18" t="s">
        <v>689</v>
      </c>
      <c r="E82" s="18" t="s">
        <v>3589</v>
      </c>
      <c r="F82" s="19">
        <v>46305.710717592599</v>
      </c>
      <c r="G82" s="18" t="s">
        <v>21</v>
      </c>
      <c r="H82" s="18" t="s">
        <v>3590</v>
      </c>
      <c r="I82" s="18">
        <v>410</v>
      </c>
      <c r="J82" s="18" t="s">
        <v>22</v>
      </c>
      <c r="K82" s="18" t="s">
        <v>455</v>
      </c>
      <c r="L82" s="18">
        <v>351</v>
      </c>
      <c r="M82" s="18" t="s">
        <v>30</v>
      </c>
      <c r="N82" s="19">
        <v>46305.731342592597</v>
      </c>
      <c r="O82" s="18">
        <v>430</v>
      </c>
      <c r="P82" s="18" t="s">
        <v>25</v>
      </c>
      <c r="Q82" s="18">
        <v>40</v>
      </c>
      <c r="R82" s="3" t="str">
        <f>IF(OR(G82="12R",G82="12L"),_xlfn.XLOOKUP(C82,Tabla42[ADEP],Tabla42[SID 12R],""),IF(OR(G82="30L",G82="30R"),_xlfn.XLOOKUP(C82,Tabla42[ADEP],Tabla42[SID 30L],""),""))</f>
        <v/>
      </c>
      <c r="S82" s="3">
        <f t="shared" si="1"/>
        <v>17</v>
      </c>
      <c r="T82" s="3" t="str">
        <f>_xlfn.XLOOKUP(C82,Tabla42[ADEP],Tabla42[Sector],"")</f>
        <v/>
      </c>
    </row>
    <row r="83" spans="1:20" x14ac:dyDescent="0.2">
      <c r="A83" s="18" t="s">
        <v>186</v>
      </c>
      <c r="B83" s="18" t="s">
        <v>18</v>
      </c>
      <c r="C83" s="18" t="s">
        <v>121</v>
      </c>
      <c r="D83" s="18" t="s">
        <v>60</v>
      </c>
      <c r="E83" s="18" t="s">
        <v>3591</v>
      </c>
      <c r="F83" s="19">
        <v>46305.712094907401</v>
      </c>
      <c r="G83" s="18" t="s">
        <v>21</v>
      </c>
      <c r="H83" s="18" t="s">
        <v>3592</v>
      </c>
      <c r="I83" s="18">
        <v>340</v>
      </c>
      <c r="J83" s="18" t="s">
        <v>22</v>
      </c>
      <c r="K83" s="18" t="s">
        <v>23</v>
      </c>
      <c r="L83" s="18">
        <v>548</v>
      </c>
      <c r="M83" s="18" t="s">
        <v>123</v>
      </c>
      <c r="N83" s="19">
        <v>46305.740694444401</v>
      </c>
      <c r="O83" s="18">
        <v>340</v>
      </c>
      <c r="P83" s="18" t="s">
        <v>25</v>
      </c>
      <c r="Q83" s="18">
        <v>40</v>
      </c>
      <c r="R83" s="3" t="str">
        <f>IF(OR(G83="12R",G83="12L"),_xlfn.XLOOKUP(C83,Tabla42[ADEP],Tabla42[SID 12R],""),IF(OR(G83="30L",G83="30R"),_xlfn.XLOOKUP(C83,Tabla42[ADEP],Tabla42[SID 30L],""),""))</f>
        <v>ENEBA</v>
      </c>
      <c r="S83" s="3">
        <f t="shared" si="1"/>
        <v>17</v>
      </c>
      <c r="T83" s="3" t="str">
        <f>_xlfn.XLOOKUP(C83,Tabla42[ADEP],Tabla42[Sector],"")</f>
        <v>Sector 3</v>
      </c>
    </row>
    <row r="84" spans="1:20" x14ac:dyDescent="0.2">
      <c r="A84" s="18" t="s">
        <v>378</v>
      </c>
      <c r="B84" s="18" t="s">
        <v>18</v>
      </c>
      <c r="C84" s="18" t="s">
        <v>62</v>
      </c>
      <c r="D84" s="18" t="s">
        <v>53</v>
      </c>
      <c r="E84" s="18" t="s">
        <v>3593</v>
      </c>
      <c r="F84" s="19">
        <v>46305.713101851798</v>
      </c>
      <c r="G84" s="18" t="s">
        <v>21</v>
      </c>
      <c r="H84" s="18" t="s">
        <v>3594</v>
      </c>
      <c r="I84" s="18">
        <v>380</v>
      </c>
      <c r="J84" s="18" t="s">
        <v>22</v>
      </c>
      <c r="K84" s="18" t="s">
        <v>23</v>
      </c>
      <c r="L84" s="18">
        <v>884</v>
      </c>
      <c r="M84" s="18" t="s">
        <v>167</v>
      </c>
      <c r="N84" s="19">
        <v>46305.761793981503</v>
      </c>
      <c r="O84" s="18">
        <v>380</v>
      </c>
      <c r="P84" s="18" t="s">
        <v>25</v>
      </c>
      <c r="Q84" s="18">
        <v>190</v>
      </c>
      <c r="R84" s="3" t="str">
        <f>IF(OR(G84="12R",G84="12L"),_xlfn.XLOOKUP(C84,Tabla42[ADEP],Tabla42[SID 12R],""),IF(OR(G84="30L",G84="30R"),_xlfn.XLOOKUP(C84,Tabla42[ADEP],Tabla42[SID 30L],""),""))</f>
        <v>UDGUV</v>
      </c>
      <c r="S84" s="3">
        <f t="shared" si="1"/>
        <v>17</v>
      </c>
      <c r="T84" s="3" t="str">
        <f>_xlfn.XLOOKUP(C84,Tabla42[ADEP],Tabla42[Sector],"")</f>
        <v>Sector 2</v>
      </c>
    </row>
    <row r="85" spans="1:20" x14ac:dyDescent="0.2">
      <c r="A85" s="18" t="s">
        <v>183</v>
      </c>
      <c r="B85" s="18" t="s">
        <v>18</v>
      </c>
      <c r="C85" s="18" t="s">
        <v>184</v>
      </c>
      <c r="D85" s="18" t="s">
        <v>60</v>
      </c>
      <c r="E85" s="18" t="s">
        <v>3595</v>
      </c>
      <c r="F85" s="19">
        <v>46305.719803240703</v>
      </c>
      <c r="G85" s="18" t="s">
        <v>21</v>
      </c>
      <c r="H85" s="18" t="s">
        <v>3596</v>
      </c>
      <c r="I85" s="18">
        <v>320</v>
      </c>
      <c r="J85" s="18" t="s">
        <v>22</v>
      </c>
      <c r="K85" s="18" t="s">
        <v>23</v>
      </c>
      <c r="L85" s="18">
        <v>390</v>
      </c>
      <c r="M85" s="18" t="s">
        <v>250</v>
      </c>
      <c r="N85" s="19">
        <v>46305.741215277798</v>
      </c>
      <c r="O85" s="18">
        <v>320</v>
      </c>
      <c r="P85" s="18" t="s">
        <v>25</v>
      </c>
      <c r="Q85" s="18">
        <v>40</v>
      </c>
      <c r="R85" s="3" t="str">
        <f>IF(OR(G85="12R",G85="12L"),_xlfn.XLOOKUP(C85,Tabla42[ADEP],Tabla42[SID 12R],""),IF(OR(G85="30L",G85="30R"),_xlfn.XLOOKUP(C85,Tabla42[ADEP],Tabla42[SID 30L],""),""))</f>
        <v>OMSUK</v>
      </c>
      <c r="S85" s="3">
        <f t="shared" si="1"/>
        <v>17</v>
      </c>
      <c r="T85" s="3" t="str">
        <f>_xlfn.XLOOKUP(C85,Tabla42[ADEP],Tabla42[Sector],"")</f>
        <v>Sector 3</v>
      </c>
    </row>
    <row r="86" spans="1:20" x14ac:dyDescent="0.2">
      <c r="A86" s="18" t="s">
        <v>475</v>
      </c>
      <c r="B86" s="18" t="s">
        <v>18</v>
      </c>
      <c r="C86" s="18" t="s">
        <v>293</v>
      </c>
      <c r="D86" s="18" t="s">
        <v>122</v>
      </c>
      <c r="E86" s="18" t="s">
        <v>3597</v>
      </c>
      <c r="F86" s="19">
        <v>46305.722094907404</v>
      </c>
      <c r="G86" s="18" t="s">
        <v>21</v>
      </c>
      <c r="H86" s="18" t="s">
        <v>3598</v>
      </c>
      <c r="I86" s="18">
        <v>340</v>
      </c>
      <c r="J86" s="18" t="s">
        <v>22</v>
      </c>
      <c r="K86" s="18" t="s">
        <v>23</v>
      </c>
      <c r="L86" s="18">
        <v>444</v>
      </c>
      <c r="M86" s="18" t="s">
        <v>189</v>
      </c>
      <c r="N86" s="19">
        <v>46305.746030092603</v>
      </c>
      <c r="O86" s="18">
        <v>340</v>
      </c>
      <c r="P86" s="18" t="s">
        <v>25</v>
      </c>
      <c r="Q86" s="18">
        <v>40</v>
      </c>
      <c r="R86" s="3" t="str">
        <f>IF(OR(G86="12R",G86="12L"),_xlfn.XLOOKUP(C86,Tabla42[ADEP],Tabla42[SID 12R],""),IF(OR(G86="30L",G86="30R"),_xlfn.XLOOKUP(C86,Tabla42[ADEP],Tabla42[SID 30L],""),""))</f>
        <v>UDGUV</v>
      </c>
      <c r="S86" s="3">
        <f t="shared" si="1"/>
        <v>17</v>
      </c>
      <c r="T86" s="3" t="str">
        <f>_xlfn.XLOOKUP(C86,Tabla42[ADEP],Tabla42[Sector],"")</f>
        <v>Sector 2</v>
      </c>
    </row>
    <row r="87" spans="1:20" x14ac:dyDescent="0.2">
      <c r="A87" s="18" t="s">
        <v>3027</v>
      </c>
      <c r="B87" s="18" t="s">
        <v>18</v>
      </c>
      <c r="C87" s="18" t="s">
        <v>190</v>
      </c>
      <c r="D87" s="18" t="s">
        <v>33</v>
      </c>
      <c r="E87" s="18" t="s">
        <v>2846</v>
      </c>
      <c r="F87" s="19">
        <v>46305.727488425902</v>
      </c>
      <c r="G87" s="18" t="s">
        <v>21</v>
      </c>
      <c r="H87" s="18" t="s">
        <v>3599</v>
      </c>
      <c r="I87" s="18">
        <v>350</v>
      </c>
      <c r="J87" s="18" t="s">
        <v>22</v>
      </c>
      <c r="K87" s="18" t="s">
        <v>23</v>
      </c>
      <c r="L87" s="18">
        <v>139</v>
      </c>
      <c r="M87" s="18" t="s">
        <v>3600</v>
      </c>
      <c r="N87" s="19">
        <v>46305.7363078704</v>
      </c>
      <c r="O87" s="18">
        <v>245</v>
      </c>
      <c r="P87" s="18" t="s">
        <v>25</v>
      </c>
      <c r="Q87" s="18">
        <v>190</v>
      </c>
      <c r="R87" s="3" t="str">
        <f>IF(OR(G87="12R",G87="12L"),_xlfn.XLOOKUP(C87,Tabla42[ADEP],Tabla42[SID 12R],""),IF(OR(G87="30L",G87="30R"),_xlfn.XLOOKUP(C87,Tabla42[ADEP],Tabla42[SID 30L],""),""))</f>
        <v>NUDAL</v>
      </c>
      <c r="S87" s="3">
        <f t="shared" si="1"/>
        <v>17</v>
      </c>
      <c r="T87" s="3" t="str">
        <f>_xlfn.XLOOKUP(C87,Tabla42[ADEP],Tabla42[Sector],"")</f>
        <v>Sector 3</v>
      </c>
    </row>
    <row r="88" spans="1:20" x14ac:dyDescent="0.2">
      <c r="A88" s="18" t="s">
        <v>187</v>
      </c>
      <c r="B88" s="18" t="s">
        <v>18</v>
      </c>
      <c r="C88" s="18" t="s">
        <v>188</v>
      </c>
      <c r="D88" s="18" t="s">
        <v>117</v>
      </c>
      <c r="E88" s="18" t="s">
        <v>1014</v>
      </c>
      <c r="F88" s="19">
        <v>46305.729050925896</v>
      </c>
      <c r="G88" s="18" t="s">
        <v>21</v>
      </c>
      <c r="H88" s="18" t="s">
        <v>3601</v>
      </c>
      <c r="I88" s="18">
        <v>300</v>
      </c>
      <c r="J88" s="18" t="s">
        <v>22</v>
      </c>
      <c r="K88" s="18" t="s">
        <v>23</v>
      </c>
      <c r="L88" s="18">
        <v>378</v>
      </c>
      <c r="M88" s="18" t="s">
        <v>250</v>
      </c>
      <c r="N88" s="19">
        <v>46305.7511226852</v>
      </c>
      <c r="O88" s="18">
        <v>320</v>
      </c>
      <c r="P88" s="18" t="s">
        <v>25</v>
      </c>
      <c r="Q88" s="18">
        <v>40</v>
      </c>
      <c r="R88" s="3" t="str">
        <f>IF(OR(G88="12R",G88="12L"),_xlfn.XLOOKUP(C88,Tabla42[ADEP],Tabla42[SID 12R],""),IF(OR(G88="30L",G88="30R"),_xlfn.XLOOKUP(C88,Tabla42[ADEP],Tabla42[SID 30L],""),""))</f>
        <v>ENEBA</v>
      </c>
      <c r="S88" s="3">
        <f t="shared" si="1"/>
        <v>17</v>
      </c>
      <c r="T88" s="3" t="str">
        <f>_xlfn.XLOOKUP(C88,Tabla42[ADEP],Tabla42[Sector],"")</f>
        <v>Sector 3</v>
      </c>
    </row>
    <row r="89" spans="1:20" x14ac:dyDescent="0.2">
      <c r="A89" s="18" t="s">
        <v>202</v>
      </c>
      <c r="B89" s="18" t="s">
        <v>18</v>
      </c>
      <c r="C89" s="18" t="s">
        <v>32</v>
      </c>
      <c r="D89" s="18" t="s">
        <v>53</v>
      </c>
      <c r="E89" s="18" t="s">
        <v>277</v>
      </c>
      <c r="F89" s="19">
        <v>46305.731388888897</v>
      </c>
      <c r="G89" s="18" t="s">
        <v>21</v>
      </c>
      <c r="H89" s="18" t="s">
        <v>352</v>
      </c>
      <c r="I89" s="18">
        <v>340</v>
      </c>
      <c r="J89" s="18" t="s">
        <v>22</v>
      </c>
      <c r="K89" s="18" t="s">
        <v>23</v>
      </c>
      <c r="L89" s="18">
        <v>878</v>
      </c>
      <c r="M89" s="18" t="s">
        <v>35</v>
      </c>
      <c r="N89" s="19">
        <v>46305.778321759302</v>
      </c>
      <c r="O89" s="18">
        <v>340</v>
      </c>
      <c r="P89" s="18" t="s">
        <v>25</v>
      </c>
      <c r="Q89" s="18">
        <v>190</v>
      </c>
      <c r="R89" s="3" t="str">
        <f>IF(OR(G89="12R",G89="12L"),_xlfn.XLOOKUP(C89,Tabla42[ADEP],Tabla42[SID 12R],""),IF(OR(G89="30L",G89="30R"),_xlfn.XLOOKUP(C89,Tabla42[ADEP],Tabla42[SID 30L],""),""))</f>
        <v>UDGUV</v>
      </c>
      <c r="S89" s="3">
        <f t="shared" si="1"/>
        <v>17</v>
      </c>
      <c r="T89" s="3" t="str">
        <f>_xlfn.XLOOKUP(C89,Tabla42[ADEP],Tabla42[Sector],"")</f>
        <v>Sector 2</v>
      </c>
    </row>
    <row r="90" spans="1:20" x14ac:dyDescent="0.2">
      <c r="A90" s="18" t="s">
        <v>429</v>
      </c>
      <c r="B90" s="18" t="s">
        <v>18</v>
      </c>
      <c r="C90" s="18" t="s">
        <v>193</v>
      </c>
      <c r="D90" s="18" t="s">
        <v>20</v>
      </c>
      <c r="E90" s="18" t="s">
        <v>267</v>
      </c>
      <c r="F90" s="19">
        <v>46305.732199074097</v>
      </c>
      <c r="G90" s="18" t="s">
        <v>21</v>
      </c>
      <c r="H90" s="18" t="s">
        <v>3602</v>
      </c>
      <c r="I90" s="18">
        <v>350</v>
      </c>
      <c r="J90" s="18" t="s">
        <v>22</v>
      </c>
      <c r="K90" s="18" t="s">
        <v>23</v>
      </c>
      <c r="L90" s="18">
        <v>137</v>
      </c>
      <c r="M90" s="18" t="s">
        <v>2393</v>
      </c>
      <c r="N90" s="19">
        <v>46305.7411111111</v>
      </c>
      <c r="O90" s="18">
        <v>237</v>
      </c>
      <c r="P90" s="18" t="s">
        <v>25</v>
      </c>
      <c r="Q90" s="18">
        <v>190</v>
      </c>
      <c r="R90" s="3" t="str">
        <f>IF(OR(G90="12R",G90="12L"),_xlfn.XLOOKUP(C90,Tabla42[ADEP],Tabla42[SID 12R],""),IF(OR(G90="30L",G90="30R"),_xlfn.XLOOKUP(C90,Tabla42[ADEP],Tabla42[SID 30L],""),""))</f>
        <v>ENEBA</v>
      </c>
      <c r="S90" s="3">
        <f t="shared" si="1"/>
        <v>17</v>
      </c>
      <c r="T90" s="3" t="str">
        <f>_xlfn.XLOOKUP(C90,Tabla42[ADEP],Tabla42[Sector],"")</f>
        <v>Sector 3</v>
      </c>
    </row>
    <row r="91" spans="1:20" x14ac:dyDescent="0.2">
      <c r="A91" s="18" t="s">
        <v>192</v>
      </c>
      <c r="B91" s="18" t="s">
        <v>18</v>
      </c>
      <c r="C91" s="18" t="s">
        <v>193</v>
      </c>
      <c r="D91" s="18" t="s">
        <v>60</v>
      </c>
      <c r="E91" s="18" t="s">
        <v>3603</v>
      </c>
      <c r="F91" s="19">
        <v>46305.735196759299</v>
      </c>
      <c r="G91" s="18" t="s">
        <v>21</v>
      </c>
      <c r="H91" s="18" t="s">
        <v>3604</v>
      </c>
      <c r="I91" s="18">
        <v>350</v>
      </c>
      <c r="J91" s="18" t="s">
        <v>22</v>
      </c>
      <c r="K91" s="18" t="s">
        <v>23</v>
      </c>
      <c r="L91" s="18">
        <v>138</v>
      </c>
      <c r="M91" s="18" t="s">
        <v>2960</v>
      </c>
      <c r="N91" s="19">
        <v>46305.744872685202</v>
      </c>
      <c r="O91" s="18">
        <v>235</v>
      </c>
      <c r="P91" s="18" t="s">
        <v>25</v>
      </c>
      <c r="Q91" s="18">
        <v>190</v>
      </c>
      <c r="R91" s="3" t="str">
        <f>IF(OR(G91="12R",G91="12L"),_xlfn.XLOOKUP(C91,Tabla42[ADEP],Tabla42[SID 12R],""),IF(OR(G91="30L",G91="30R"),_xlfn.XLOOKUP(C91,Tabla42[ADEP],Tabla42[SID 30L],""),""))</f>
        <v>ENEBA</v>
      </c>
      <c r="S91" s="3">
        <f t="shared" si="1"/>
        <v>17</v>
      </c>
      <c r="T91" s="3" t="str">
        <f>_xlfn.XLOOKUP(C91,Tabla42[ADEP],Tabla42[Sector],"")</f>
        <v>Sector 3</v>
      </c>
    </row>
    <row r="92" spans="1:20" x14ac:dyDescent="0.2">
      <c r="A92" s="18" t="s">
        <v>203</v>
      </c>
      <c r="B92" s="18" t="s">
        <v>18</v>
      </c>
      <c r="C92" s="18" t="s">
        <v>204</v>
      </c>
      <c r="D92" s="18" t="s">
        <v>53</v>
      </c>
      <c r="E92" s="18" t="s">
        <v>3605</v>
      </c>
      <c r="F92" s="19">
        <v>46305.738460648201</v>
      </c>
      <c r="G92" s="18" t="s">
        <v>21</v>
      </c>
      <c r="H92" s="18" t="s">
        <v>3606</v>
      </c>
      <c r="I92" s="18">
        <v>270</v>
      </c>
      <c r="J92" s="18" t="s">
        <v>22</v>
      </c>
      <c r="K92" s="18" t="s">
        <v>23</v>
      </c>
      <c r="L92" s="18">
        <v>153</v>
      </c>
      <c r="M92" s="18" t="s">
        <v>111</v>
      </c>
      <c r="N92" s="19">
        <v>46305.7490972222</v>
      </c>
      <c r="O92" s="18">
        <v>278</v>
      </c>
      <c r="P92" s="18" t="s">
        <v>25</v>
      </c>
      <c r="Q92" s="18">
        <v>190</v>
      </c>
      <c r="R92" s="3" t="str">
        <f>IF(OR(G92="12R",G92="12L"),_xlfn.XLOOKUP(C92,Tabla42[ADEP],Tabla42[SID 12R],""),IF(OR(G92="30L",G92="30R"),_xlfn.XLOOKUP(C92,Tabla42[ADEP],Tabla42[SID 30L],""),""))</f>
        <v>TAKUX</v>
      </c>
      <c r="S92" s="3">
        <f t="shared" si="1"/>
        <v>17</v>
      </c>
      <c r="T92" s="3" t="str">
        <f>_xlfn.XLOOKUP(C92,Tabla42[ADEP],Tabla42[Sector],"")</f>
        <v>Sector 7</v>
      </c>
    </row>
    <row r="93" spans="1:20" x14ac:dyDescent="0.2">
      <c r="A93" s="18" t="s">
        <v>161</v>
      </c>
      <c r="B93" s="18" t="s">
        <v>18</v>
      </c>
      <c r="C93" s="18" t="s">
        <v>27</v>
      </c>
      <c r="D93" s="18" t="s">
        <v>60</v>
      </c>
      <c r="E93" s="18" t="s">
        <v>2144</v>
      </c>
      <c r="F93" s="19">
        <v>46305.740185185197</v>
      </c>
      <c r="G93" s="18" t="s">
        <v>21</v>
      </c>
      <c r="H93" s="18" t="s">
        <v>3607</v>
      </c>
      <c r="I93" s="18">
        <v>350</v>
      </c>
      <c r="J93" s="18" t="s">
        <v>22</v>
      </c>
      <c r="K93" s="18" t="s">
        <v>23</v>
      </c>
      <c r="L93" s="18">
        <v>138</v>
      </c>
      <c r="M93" s="18" t="s">
        <v>678</v>
      </c>
      <c r="N93" s="19">
        <v>46305.749699074098</v>
      </c>
      <c r="O93" s="18">
        <v>228</v>
      </c>
      <c r="P93" s="18" t="s">
        <v>25</v>
      </c>
      <c r="Q93" s="18">
        <v>190</v>
      </c>
      <c r="R93" s="3" t="str">
        <f>IF(OR(G93="12R",G93="12L"),_xlfn.XLOOKUP(C93,Tabla42[ADEP],Tabla42[SID 12R],""),IF(OR(G93="30L",G93="30R"),_xlfn.XLOOKUP(C93,Tabla42[ADEP],Tabla42[SID 30L],""),""))</f>
        <v>OMSUK</v>
      </c>
      <c r="S93" s="3">
        <f t="shared" si="1"/>
        <v>17</v>
      </c>
      <c r="T93" s="3" t="str">
        <f>_xlfn.XLOOKUP(C93,Tabla42[ADEP],Tabla42[Sector],"")</f>
        <v>Sector 3</v>
      </c>
    </row>
    <row r="94" spans="1:20" x14ac:dyDescent="0.2">
      <c r="A94" s="18" t="s">
        <v>214</v>
      </c>
      <c r="B94" s="18" t="s">
        <v>18</v>
      </c>
      <c r="C94" s="18" t="s">
        <v>215</v>
      </c>
      <c r="D94" s="18" t="s">
        <v>60</v>
      </c>
      <c r="E94" s="18" t="s">
        <v>3608</v>
      </c>
      <c r="F94" s="19">
        <v>46305.741249999999</v>
      </c>
      <c r="G94" s="18" t="s">
        <v>21</v>
      </c>
      <c r="H94" s="18" t="s">
        <v>3609</v>
      </c>
      <c r="I94" s="18">
        <v>340</v>
      </c>
      <c r="J94" s="18" t="s">
        <v>22</v>
      </c>
      <c r="K94" s="18" t="s">
        <v>23</v>
      </c>
      <c r="L94" s="18">
        <v>545</v>
      </c>
      <c r="M94" s="18" t="s">
        <v>123</v>
      </c>
      <c r="N94" s="19">
        <v>46305.771620370397</v>
      </c>
      <c r="O94" s="18">
        <v>340</v>
      </c>
      <c r="P94" s="18" t="s">
        <v>25</v>
      </c>
      <c r="Q94" s="18">
        <v>40</v>
      </c>
      <c r="R94" s="3" t="str">
        <f>IF(OR(G94="12R",G94="12L"),_xlfn.XLOOKUP(C94,Tabla42[ADEP],Tabla42[SID 12R],""),IF(OR(G94="30L",G94="30R"),_xlfn.XLOOKUP(C94,Tabla42[ADEP],Tabla42[SID 30L],""),""))</f>
        <v>OMSUK</v>
      </c>
      <c r="S94" s="3">
        <f t="shared" si="1"/>
        <v>17</v>
      </c>
      <c r="T94" s="3" t="str">
        <f>_xlfn.XLOOKUP(C94,Tabla42[ADEP],Tabla42[Sector],"")</f>
        <v>Sector 3</v>
      </c>
    </row>
    <row r="95" spans="1:20" x14ac:dyDescent="0.2">
      <c r="A95" s="18" t="s">
        <v>709</v>
      </c>
      <c r="B95" s="18" t="s">
        <v>18</v>
      </c>
      <c r="C95" s="18" t="s">
        <v>807</v>
      </c>
      <c r="D95" s="18" t="s">
        <v>124</v>
      </c>
      <c r="E95" s="18"/>
      <c r="F95" s="19">
        <v>46305.742314814801</v>
      </c>
      <c r="G95" s="18" t="s">
        <v>21</v>
      </c>
      <c r="H95" s="18" t="s">
        <v>3610</v>
      </c>
      <c r="I95" s="18">
        <v>390</v>
      </c>
      <c r="J95" s="18" t="s">
        <v>22</v>
      </c>
      <c r="K95" s="18" t="s">
        <v>50</v>
      </c>
      <c r="L95" s="18">
        <v>219</v>
      </c>
      <c r="M95" s="18" t="s">
        <v>55</v>
      </c>
      <c r="N95" s="19">
        <v>46305.7578125</v>
      </c>
      <c r="O95" s="18">
        <v>326</v>
      </c>
      <c r="P95" s="18" t="s">
        <v>25</v>
      </c>
      <c r="Q95" s="18">
        <v>30</v>
      </c>
      <c r="R95" s="3" t="str">
        <f>IF(OR(G95="12R",G95="12L"),_xlfn.XLOOKUP(C95,Tabla42[ADEP],Tabla42[SID 12R],""),IF(OR(G95="30L",G95="30R"),_xlfn.XLOOKUP(C95,Tabla42[ADEP],Tabla42[SID 30L],""),""))</f>
        <v/>
      </c>
      <c r="S95" s="3">
        <f t="shared" si="1"/>
        <v>17</v>
      </c>
      <c r="T95" s="3" t="str">
        <f>_xlfn.XLOOKUP(C95,Tabla42[ADEP],Tabla42[Sector],"")</f>
        <v/>
      </c>
    </row>
    <row r="96" spans="1:20" x14ac:dyDescent="0.2">
      <c r="A96" s="18" t="s">
        <v>165</v>
      </c>
      <c r="B96" s="18" t="s">
        <v>18</v>
      </c>
      <c r="C96" s="18" t="s">
        <v>166</v>
      </c>
      <c r="D96" s="18" t="s">
        <v>20</v>
      </c>
      <c r="E96" s="18" t="s">
        <v>2141</v>
      </c>
      <c r="F96" s="19">
        <v>46305.743159722202</v>
      </c>
      <c r="G96" s="18" t="s">
        <v>21</v>
      </c>
      <c r="H96" s="18" t="s">
        <v>3611</v>
      </c>
      <c r="I96" s="18">
        <v>340</v>
      </c>
      <c r="J96" s="18" t="s">
        <v>22</v>
      </c>
      <c r="K96" s="18" t="s">
        <v>23</v>
      </c>
      <c r="L96" s="18">
        <v>875</v>
      </c>
      <c r="M96" s="18" t="s">
        <v>3612</v>
      </c>
      <c r="N96" s="19">
        <v>46305.790902777801</v>
      </c>
      <c r="O96" s="18">
        <v>340</v>
      </c>
      <c r="P96" s="18" t="s">
        <v>25</v>
      </c>
      <c r="Q96" s="18">
        <v>190</v>
      </c>
      <c r="R96" s="3" t="str">
        <f>IF(OR(G96="12R",G96="12L"),_xlfn.XLOOKUP(C96,Tabla42[ADEP],Tabla42[SID 12R],""),IF(OR(G96="30L",G96="30R"),_xlfn.XLOOKUP(C96,Tabla42[ADEP],Tabla42[SID 30L],""),""))</f>
        <v>UDGUV</v>
      </c>
      <c r="S96" s="3">
        <f t="shared" si="1"/>
        <v>17</v>
      </c>
      <c r="T96" s="3" t="str">
        <f>_xlfn.XLOOKUP(C96,Tabla42[ADEP],Tabla42[Sector],"")</f>
        <v>Sector 2</v>
      </c>
    </row>
    <row r="97" spans="1:20" x14ac:dyDescent="0.2">
      <c r="A97" s="18" t="s">
        <v>194</v>
      </c>
      <c r="B97" s="18" t="s">
        <v>18</v>
      </c>
      <c r="C97" s="18" t="s">
        <v>195</v>
      </c>
      <c r="D97" s="18" t="s">
        <v>28</v>
      </c>
      <c r="E97" s="18" t="s">
        <v>3613</v>
      </c>
      <c r="F97" s="19">
        <v>46305.744803240697</v>
      </c>
      <c r="G97" s="18" t="s">
        <v>21</v>
      </c>
      <c r="H97" s="18" t="s">
        <v>3614</v>
      </c>
      <c r="I97" s="18">
        <v>350</v>
      </c>
      <c r="J97" s="18" t="s">
        <v>22</v>
      </c>
      <c r="K97" s="18" t="s">
        <v>23</v>
      </c>
      <c r="L97" s="18">
        <v>186</v>
      </c>
      <c r="M97" s="18" t="s">
        <v>2681</v>
      </c>
      <c r="N97" s="19">
        <v>46305.757187499999</v>
      </c>
      <c r="O97" s="18">
        <v>271</v>
      </c>
      <c r="P97" s="18" t="s">
        <v>25</v>
      </c>
      <c r="Q97" s="18">
        <v>190</v>
      </c>
      <c r="R97" s="3" t="str">
        <f>IF(OR(G97="12R",G97="12L"),_xlfn.XLOOKUP(C97,Tabla42[ADEP],Tabla42[SID 12R],""),IF(OR(G97="30L",G97="30R"),_xlfn.XLOOKUP(C97,Tabla42[ADEP],Tabla42[SID 30L],""),""))</f>
        <v>HECAT</v>
      </c>
      <c r="S97" s="3">
        <f t="shared" si="1"/>
        <v>17</v>
      </c>
      <c r="T97" s="3" t="str">
        <f>_xlfn.XLOOKUP(C97,Tabla42[ADEP],Tabla42[Sector],"")</f>
        <v>Sector 7</v>
      </c>
    </row>
    <row r="98" spans="1:20" x14ac:dyDescent="0.2">
      <c r="A98" s="18" t="s">
        <v>221</v>
      </c>
      <c r="B98" s="18" t="s">
        <v>18</v>
      </c>
      <c r="C98" s="18" t="s">
        <v>42</v>
      </c>
      <c r="D98" s="18" t="s">
        <v>43</v>
      </c>
      <c r="E98" s="18" t="s">
        <v>2220</v>
      </c>
      <c r="F98" s="19">
        <v>46305.745694444398</v>
      </c>
      <c r="G98" s="18" t="s">
        <v>21</v>
      </c>
      <c r="H98" s="18" t="s">
        <v>3615</v>
      </c>
      <c r="I98" s="18">
        <v>360</v>
      </c>
      <c r="J98" s="18" t="s">
        <v>22</v>
      </c>
      <c r="K98" s="18" t="s">
        <v>23</v>
      </c>
      <c r="L98" s="18">
        <v>859</v>
      </c>
      <c r="M98" s="18" t="s">
        <v>45</v>
      </c>
      <c r="N98" s="19">
        <v>46305.792256944398</v>
      </c>
      <c r="O98" s="18">
        <v>360</v>
      </c>
      <c r="P98" s="18" t="s">
        <v>25</v>
      </c>
      <c r="Q98" s="18">
        <v>190</v>
      </c>
      <c r="R98" s="3" t="str">
        <f>IF(OR(G98="12R",G98="12L"),_xlfn.XLOOKUP(C98,Tabla42[ADEP],Tabla42[SID 12R],""),IF(OR(G98="30L",G98="30R"),_xlfn.XLOOKUP(C98,Tabla42[ADEP],Tabla42[SID 30L],""),""))</f>
        <v>UDGUV</v>
      </c>
      <c r="S98" s="3">
        <f t="shared" si="1"/>
        <v>17</v>
      </c>
      <c r="T98" s="3" t="str">
        <f>_xlfn.XLOOKUP(C98,Tabla42[ADEP],Tabla42[Sector],"")</f>
        <v>Sector 2</v>
      </c>
    </row>
    <row r="99" spans="1:20" x14ac:dyDescent="0.2">
      <c r="A99" s="18" t="s">
        <v>284</v>
      </c>
      <c r="B99" s="18" t="s">
        <v>18</v>
      </c>
      <c r="C99" s="18" t="s">
        <v>137</v>
      </c>
      <c r="D99" s="18" t="s">
        <v>60</v>
      </c>
      <c r="E99" s="18" t="s">
        <v>3616</v>
      </c>
      <c r="F99" s="19">
        <v>46305.746307870402</v>
      </c>
      <c r="G99" s="18" t="s">
        <v>21</v>
      </c>
      <c r="H99" s="18" t="s">
        <v>3617</v>
      </c>
      <c r="I99" s="18">
        <v>350</v>
      </c>
      <c r="J99" s="18" t="s">
        <v>22</v>
      </c>
      <c r="K99" s="18" t="s">
        <v>23</v>
      </c>
      <c r="L99" s="18">
        <v>137</v>
      </c>
      <c r="M99" s="18" t="s">
        <v>3618</v>
      </c>
      <c r="N99" s="19">
        <v>46305.755624999998</v>
      </c>
      <c r="O99" s="18">
        <v>188</v>
      </c>
      <c r="P99" s="18" t="s">
        <v>25</v>
      </c>
      <c r="Q99" s="18">
        <v>190</v>
      </c>
      <c r="R99" s="3" t="str">
        <f>IF(OR(G99="12R",G99="12L"),_xlfn.XLOOKUP(C99,Tabla42[ADEP],Tabla42[SID 12R],""),IF(OR(G99="30L",G99="30R"),_xlfn.XLOOKUP(C99,Tabla42[ADEP],Tabla42[SID 30L],""),""))</f>
        <v>NUDAL</v>
      </c>
      <c r="S99" s="3">
        <f t="shared" si="1"/>
        <v>17</v>
      </c>
      <c r="T99" s="3" t="str">
        <f>_xlfn.XLOOKUP(C99,Tabla42[ADEP],Tabla42[Sector],"")</f>
        <v>Sector 3</v>
      </c>
    </row>
    <row r="100" spans="1:20" x14ac:dyDescent="0.2">
      <c r="A100" s="18" t="s">
        <v>213</v>
      </c>
      <c r="B100" s="18" t="s">
        <v>18</v>
      </c>
      <c r="C100" s="18" t="s">
        <v>19</v>
      </c>
      <c r="D100" s="18" t="s">
        <v>53</v>
      </c>
      <c r="E100" s="18" t="s">
        <v>645</v>
      </c>
      <c r="F100" s="19">
        <v>46305.747488425899</v>
      </c>
      <c r="G100" s="18" t="s">
        <v>21</v>
      </c>
      <c r="H100" s="18" t="s">
        <v>3619</v>
      </c>
      <c r="I100" s="18">
        <v>380</v>
      </c>
      <c r="J100" s="18" t="s">
        <v>22</v>
      </c>
      <c r="K100" s="18" t="s">
        <v>23</v>
      </c>
      <c r="L100" s="18">
        <v>860</v>
      </c>
      <c r="M100" s="18" t="s">
        <v>24</v>
      </c>
      <c r="N100" s="19">
        <v>46305.7946296296</v>
      </c>
      <c r="O100" s="18">
        <v>380</v>
      </c>
      <c r="P100" s="18" t="s">
        <v>25</v>
      </c>
      <c r="Q100" s="18">
        <v>190</v>
      </c>
      <c r="R100" s="3" t="str">
        <f>IF(OR(G100="12R",G100="12L"),_xlfn.XLOOKUP(C100,Tabla42[ADEP],Tabla42[SID 12R],""),IF(OR(G100="30L",G100="30R"),_xlfn.XLOOKUP(C100,Tabla42[ADEP],Tabla42[SID 30L],""),""))</f>
        <v>UDGUV</v>
      </c>
      <c r="S100" s="3">
        <f t="shared" si="1"/>
        <v>17</v>
      </c>
      <c r="T100" s="3" t="str">
        <f>_xlfn.XLOOKUP(C100,Tabla42[ADEP],Tabla42[Sector],"")</f>
        <v>Sector 2</v>
      </c>
    </row>
    <row r="101" spans="1:20" x14ac:dyDescent="0.2">
      <c r="A101" s="18" t="s">
        <v>1631</v>
      </c>
      <c r="B101" s="18" t="s">
        <v>18</v>
      </c>
      <c r="C101" s="18" t="s">
        <v>444</v>
      </c>
      <c r="D101" s="18" t="s">
        <v>110</v>
      </c>
      <c r="E101" s="18" t="s">
        <v>652</v>
      </c>
      <c r="F101" s="19">
        <v>46305.751145833303</v>
      </c>
      <c r="G101" s="18" t="s">
        <v>21</v>
      </c>
      <c r="H101" s="18" t="s">
        <v>3620</v>
      </c>
      <c r="I101" s="18">
        <v>380</v>
      </c>
      <c r="J101" s="18" t="s">
        <v>22</v>
      </c>
      <c r="K101" s="18" t="s">
        <v>23</v>
      </c>
      <c r="L101" s="18">
        <v>423</v>
      </c>
      <c r="M101" s="18" t="s">
        <v>189</v>
      </c>
      <c r="N101" s="19">
        <v>46305.774490740703</v>
      </c>
      <c r="O101" s="18">
        <v>380</v>
      </c>
      <c r="P101" s="18" t="s">
        <v>25</v>
      </c>
      <c r="Q101" s="18">
        <v>40</v>
      </c>
      <c r="R101" s="3" t="str">
        <f>IF(OR(G101="12R",G101="12L"),_xlfn.XLOOKUP(C101,Tabla42[ADEP],Tabla42[SID 12R],""),IF(OR(G101="30L",G101="30R"),_xlfn.XLOOKUP(C101,Tabla42[ADEP],Tabla42[SID 30L],""),""))</f>
        <v>ENEBA</v>
      </c>
      <c r="S101" s="3">
        <f t="shared" si="1"/>
        <v>18</v>
      </c>
      <c r="T101" s="3" t="str">
        <f>_xlfn.XLOOKUP(C101,Tabla42[ADEP],Tabla42[Sector],"")</f>
        <v>Sector 3</v>
      </c>
    </row>
    <row r="102" spans="1:20" x14ac:dyDescent="0.2">
      <c r="A102" s="18" t="s">
        <v>437</v>
      </c>
      <c r="B102" s="18" t="s">
        <v>18</v>
      </c>
      <c r="C102" s="18" t="s">
        <v>438</v>
      </c>
      <c r="D102" s="18" t="s">
        <v>53</v>
      </c>
      <c r="E102" s="18" t="s">
        <v>770</v>
      </c>
      <c r="F102" s="19">
        <v>46305.752627314803</v>
      </c>
      <c r="G102" s="18" t="s">
        <v>21</v>
      </c>
      <c r="H102" s="18" t="s">
        <v>3621</v>
      </c>
      <c r="I102" s="18">
        <v>380</v>
      </c>
      <c r="J102" s="18" t="s">
        <v>22</v>
      </c>
      <c r="K102" s="18" t="s">
        <v>23</v>
      </c>
      <c r="L102" s="18">
        <v>1011</v>
      </c>
      <c r="M102" s="18" t="s">
        <v>439</v>
      </c>
      <c r="N102" s="19">
        <v>46305.8051851852</v>
      </c>
      <c r="O102" s="18">
        <v>228</v>
      </c>
      <c r="P102" s="18" t="s">
        <v>25</v>
      </c>
      <c r="Q102" s="18">
        <v>190</v>
      </c>
      <c r="R102" s="3" t="str">
        <f>IF(OR(G102="12R",G102="12L"),_xlfn.XLOOKUP(C102,Tabla42[ADEP],Tabla42[SID 12R],""),IF(OR(G102="30L",G102="30R"),_xlfn.XLOOKUP(C102,Tabla42[ADEP],Tabla42[SID 30L],""),""))</f>
        <v>UDGUV</v>
      </c>
      <c r="S102" s="3">
        <f t="shared" si="1"/>
        <v>18</v>
      </c>
      <c r="T102" s="3" t="str">
        <f>_xlfn.XLOOKUP(C102,Tabla42[ADEP],Tabla42[Sector],"")</f>
        <v>Sector 2</v>
      </c>
    </row>
    <row r="103" spans="1:20" x14ac:dyDescent="0.2">
      <c r="A103" s="18" t="s">
        <v>218</v>
      </c>
      <c r="B103" s="18" t="s">
        <v>18</v>
      </c>
      <c r="C103" s="18" t="s">
        <v>219</v>
      </c>
      <c r="D103" s="18" t="s">
        <v>43</v>
      </c>
      <c r="E103" s="18" t="s">
        <v>1030</v>
      </c>
      <c r="F103" s="19">
        <v>46305.753067129597</v>
      </c>
      <c r="G103" s="18" t="s">
        <v>21</v>
      </c>
      <c r="H103" s="18" t="s">
        <v>3622</v>
      </c>
      <c r="I103" s="18">
        <v>300</v>
      </c>
      <c r="J103" s="18" t="s">
        <v>22</v>
      </c>
      <c r="K103" s="18" t="s">
        <v>23</v>
      </c>
      <c r="L103" s="18">
        <v>426</v>
      </c>
      <c r="M103" s="18" t="s">
        <v>189</v>
      </c>
      <c r="N103" s="19">
        <v>46305.776446759301</v>
      </c>
      <c r="O103" s="18">
        <v>300</v>
      </c>
      <c r="P103" s="18" t="s">
        <v>25</v>
      </c>
      <c r="Q103" s="18">
        <v>40</v>
      </c>
      <c r="R103" s="3" t="str">
        <f>IF(OR(G103="12R",G103="12L"),_xlfn.XLOOKUP(C103,Tabla42[ADEP],Tabla42[SID 12R],""),IF(OR(G103="30L",G103="30R"),_xlfn.XLOOKUP(C103,Tabla42[ADEP],Tabla42[SID 30L],""),""))</f>
        <v>UDGUV</v>
      </c>
      <c r="S103" s="3">
        <f t="shared" si="1"/>
        <v>18</v>
      </c>
      <c r="T103" s="3" t="str">
        <f>_xlfn.XLOOKUP(C103,Tabla42[ADEP],Tabla42[Sector],"")</f>
        <v>Sector 2</v>
      </c>
    </row>
    <row r="104" spans="1:20" x14ac:dyDescent="0.2">
      <c r="A104" s="18" t="s">
        <v>216</v>
      </c>
      <c r="B104" s="18" t="s">
        <v>18</v>
      </c>
      <c r="C104" s="18" t="s">
        <v>32</v>
      </c>
      <c r="D104" s="18" t="s">
        <v>20</v>
      </c>
      <c r="E104" s="18" t="s">
        <v>3430</v>
      </c>
      <c r="F104" s="19">
        <v>46305.755358796298</v>
      </c>
      <c r="G104" s="18" t="s">
        <v>21</v>
      </c>
      <c r="H104" s="18" t="s">
        <v>3623</v>
      </c>
      <c r="I104" s="18">
        <v>340</v>
      </c>
      <c r="J104" s="18" t="s">
        <v>22</v>
      </c>
      <c r="K104" s="18" t="s">
        <v>23</v>
      </c>
      <c r="L104" s="18">
        <v>878</v>
      </c>
      <c r="M104" s="18" t="s">
        <v>3624</v>
      </c>
      <c r="N104" s="19">
        <v>46305.802465277797</v>
      </c>
      <c r="O104" s="18">
        <v>340</v>
      </c>
      <c r="P104" s="18" t="s">
        <v>25</v>
      </c>
      <c r="Q104" s="18">
        <v>190</v>
      </c>
      <c r="R104" s="3" t="str">
        <f>IF(OR(G104="12R",G104="12L"),_xlfn.XLOOKUP(C104,Tabla42[ADEP],Tabla42[SID 12R],""),IF(OR(G104="30L",G104="30R"),_xlfn.XLOOKUP(C104,Tabla42[ADEP],Tabla42[SID 30L],""),""))</f>
        <v>UDGUV</v>
      </c>
      <c r="S104" s="3">
        <f t="shared" si="1"/>
        <v>18</v>
      </c>
      <c r="T104" s="3" t="str">
        <f>_xlfn.XLOOKUP(C104,Tabla42[ADEP],Tabla42[Sector],"")</f>
        <v>Sector 2</v>
      </c>
    </row>
    <row r="105" spans="1:20" x14ac:dyDescent="0.2">
      <c r="A105" s="18" t="s">
        <v>582</v>
      </c>
      <c r="B105" s="18" t="s">
        <v>18</v>
      </c>
      <c r="C105" s="18" t="s">
        <v>583</v>
      </c>
      <c r="D105" s="18" t="s">
        <v>117</v>
      </c>
      <c r="E105" s="18" t="s">
        <v>1344</v>
      </c>
      <c r="F105" s="19">
        <v>46305.755983796298</v>
      </c>
      <c r="G105" s="18" t="s">
        <v>21</v>
      </c>
      <c r="H105" s="18" t="s">
        <v>3625</v>
      </c>
      <c r="I105" s="18">
        <v>340</v>
      </c>
      <c r="J105" s="18" t="s">
        <v>22</v>
      </c>
      <c r="K105" s="18" t="s">
        <v>23</v>
      </c>
      <c r="L105" s="18">
        <v>383</v>
      </c>
      <c r="M105" s="18" t="s">
        <v>250</v>
      </c>
      <c r="N105" s="19">
        <v>46305.777210648099</v>
      </c>
      <c r="O105" s="18">
        <v>340</v>
      </c>
      <c r="P105" s="18" t="s">
        <v>25</v>
      </c>
      <c r="Q105" s="18">
        <v>40</v>
      </c>
      <c r="R105" s="3" t="str">
        <f>IF(OR(G105="12R",G105="12L"),_xlfn.XLOOKUP(C105,Tabla42[ADEP],Tabla42[SID 12R],""),IF(OR(G105="30L",G105="30R"),_xlfn.XLOOKUP(C105,Tabla42[ADEP],Tabla42[SID 30L],""),""))</f>
        <v>ENEBA</v>
      </c>
      <c r="S105" s="3">
        <f t="shared" si="1"/>
        <v>18</v>
      </c>
      <c r="T105" s="3" t="str">
        <f>_xlfn.XLOOKUP(C105,Tabla42[ADEP],Tabla42[Sector],"")</f>
        <v>Sector 3</v>
      </c>
    </row>
    <row r="106" spans="1:20" x14ac:dyDescent="0.2">
      <c r="A106" s="18" t="s">
        <v>3626</v>
      </c>
      <c r="B106" s="18" t="s">
        <v>18</v>
      </c>
      <c r="C106" s="18" t="s">
        <v>388</v>
      </c>
      <c r="D106" s="18" t="s">
        <v>122</v>
      </c>
      <c r="E106" s="18" t="s">
        <v>3627</v>
      </c>
      <c r="F106" s="19">
        <v>46305.757418981499</v>
      </c>
      <c r="G106" s="18" t="s">
        <v>21</v>
      </c>
      <c r="H106" s="18" t="s">
        <v>3628</v>
      </c>
      <c r="I106" s="18">
        <v>400</v>
      </c>
      <c r="J106" s="18" t="s">
        <v>22</v>
      </c>
      <c r="K106" s="18" t="s">
        <v>23</v>
      </c>
      <c r="L106" s="18">
        <v>424</v>
      </c>
      <c r="M106" s="18" t="s">
        <v>189</v>
      </c>
      <c r="N106" s="19">
        <v>46305.781620370399</v>
      </c>
      <c r="O106" s="18">
        <v>400</v>
      </c>
      <c r="P106" s="18" t="s">
        <v>25</v>
      </c>
      <c r="Q106" s="18">
        <v>40</v>
      </c>
      <c r="R106" s="3" t="str">
        <f>IF(OR(G106="12R",G106="12L"),_xlfn.XLOOKUP(C106,Tabla42[ADEP],Tabla42[SID 12R],""),IF(OR(G106="30L",G106="30R"),_xlfn.XLOOKUP(C106,Tabla42[ADEP],Tabla42[SID 30L],""),""))</f>
        <v>ENEBA</v>
      </c>
      <c r="S106" s="3">
        <f t="shared" si="1"/>
        <v>18</v>
      </c>
      <c r="T106" s="3" t="str">
        <f>_xlfn.XLOOKUP(C106,Tabla42[ADEP],Tabla42[Sector],"")</f>
        <v>Sector 3</v>
      </c>
    </row>
    <row r="107" spans="1:20" x14ac:dyDescent="0.2">
      <c r="A107" s="18" t="s">
        <v>2157</v>
      </c>
      <c r="B107" s="18" t="s">
        <v>18</v>
      </c>
      <c r="C107" s="18" t="s">
        <v>188</v>
      </c>
      <c r="D107" s="18" t="s">
        <v>60</v>
      </c>
      <c r="E107" s="18" t="s">
        <v>1463</v>
      </c>
      <c r="F107" s="19">
        <v>46305.758773148104</v>
      </c>
      <c r="G107" s="18" t="s">
        <v>21</v>
      </c>
      <c r="H107" s="18" t="s">
        <v>3629</v>
      </c>
      <c r="I107" s="18">
        <v>340</v>
      </c>
      <c r="J107" s="18" t="s">
        <v>22</v>
      </c>
      <c r="K107" s="18" t="s">
        <v>23</v>
      </c>
      <c r="L107" s="18">
        <v>433</v>
      </c>
      <c r="M107" s="18" t="s">
        <v>189</v>
      </c>
      <c r="N107" s="19">
        <v>46305.782951388901</v>
      </c>
      <c r="O107" s="18">
        <v>340</v>
      </c>
      <c r="P107" s="18" t="s">
        <v>25</v>
      </c>
      <c r="Q107" s="18">
        <v>40</v>
      </c>
      <c r="R107" s="3" t="str">
        <f>IF(OR(G107="12R",G107="12L"),_xlfn.XLOOKUP(C107,Tabla42[ADEP],Tabla42[SID 12R],""),IF(OR(G107="30L",G107="30R"),_xlfn.XLOOKUP(C107,Tabla42[ADEP],Tabla42[SID 30L],""),""))</f>
        <v>ENEBA</v>
      </c>
      <c r="S107" s="3">
        <f t="shared" si="1"/>
        <v>18</v>
      </c>
      <c r="T107" s="3" t="str">
        <f>_xlfn.XLOOKUP(C107,Tabla42[ADEP],Tabla42[Sector],"")</f>
        <v>Sector 3</v>
      </c>
    </row>
    <row r="108" spans="1:20" x14ac:dyDescent="0.2">
      <c r="A108" s="18" t="s">
        <v>156</v>
      </c>
      <c r="B108" s="18" t="s">
        <v>18</v>
      </c>
      <c r="C108" s="18" t="s">
        <v>109</v>
      </c>
      <c r="D108" s="18" t="s">
        <v>28</v>
      </c>
      <c r="E108" s="18" t="s">
        <v>989</v>
      </c>
      <c r="F108" s="19">
        <v>46305.760266203702</v>
      </c>
      <c r="G108" s="18" t="s">
        <v>21</v>
      </c>
      <c r="H108" s="18" t="s">
        <v>1834</v>
      </c>
      <c r="I108" s="18">
        <v>350</v>
      </c>
      <c r="J108" s="18" t="s">
        <v>22</v>
      </c>
      <c r="K108" s="18" t="s">
        <v>23</v>
      </c>
      <c r="L108" s="18">
        <v>147</v>
      </c>
      <c r="M108" s="18" t="s">
        <v>2328</v>
      </c>
      <c r="N108" s="19">
        <v>46305.770451388897</v>
      </c>
      <c r="O108" s="18">
        <v>260</v>
      </c>
      <c r="P108" s="18" t="s">
        <v>25</v>
      </c>
      <c r="Q108" s="18">
        <v>190</v>
      </c>
      <c r="R108" s="3" t="str">
        <f>IF(OR(G108="12R",G108="12L"),_xlfn.XLOOKUP(C108,Tabla42[ADEP],Tabla42[SID 12R],""),IF(OR(G108="30L",G108="30R"),_xlfn.XLOOKUP(C108,Tabla42[ADEP],Tabla42[SID 30L],""),""))</f>
        <v>TAKUX</v>
      </c>
      <c r="S108" s="3">
        <f t="shared" si="1"/>
        <v>18</v>
      </c>
      <c r="T108" s="3" t="str">
        <f>_xlfn.XLOOKUP(C108,Tabla42[ADEP],Tabla42[Sector],"")</f>
        <v>Sector 7</v>
      </c>
    </row>
    <row r="109" spans="1:20" x14ac:dyDescent="0.2">
      <c r="A109" s="18" t="s">
        <v>358</v>
      </c>
      <c r="B109" s="18" t="s">
        <v>18</v>
      </c>
      <c r="C109" s="18" t="s">
        <v>359</v>
      </c>
      <c r="D109" s="18" t="s">
        <v>33</v>
      </c>
      <c r="E109" s="18" t="s">
        <v>1911</v>
      </c>
      <c r="F109" s="19">
        <v>46305.762488425898</v>
      </c>
      <c r="G109" s="18" t="s">
        <v>21</v>
      </c>
      <c r="H109" s="18" t="s">
        <v>3630</v>
      </c>
      <c r="I109" s="18">
        <v>330</v>
      </c>
      <c r="J109" s="18" t="s">
        <v>22</v>
      </c>
      <c r="K109" s="18" t="s">
        <v>23</v>
      </c>
      <c r="L109" s="18">
        <v>137</v>
      </c>
      <c r="M109" s="18" t="s">
        <v>2960</v>
      </c>
      <c r="N109" s="19">
        <v>46305.771979166697</v>
      </c>
      <c r="O109" s="18">
        <v>254</v>
      </c>
      <c r="P109" s="18" t="s">
        <v>25</v>
      </c>
      <c r="Q109" s="18">
        <v>190</v>
      </c>
      <c r="R109" s="3" t="str">
        <f>IF(OR(G109="12R",G109="12L"),_xlfn.XLOOKUP(C109,Tabla42[ADEP],Tabla42[SID 12R],""),IF(OR(G109="30L",G109="30R"),_xlfn.XLOOKUP(C109,Tabla42[ADEP],Tabla42[SID 30L],""),""))</f>
        <v>OMSUK</v>
      </c>
      <c r="S109" s="3">
        <f t="shared" si="1"/>
        <v>18</v>
      </c>
      <c r="T109" s="3" t="str">
        <f>_xlfn.XLOOKUP(C109,Tabla42[ADEP],Tabla42[Sector],"")</f>
        <v>Sector 3</v>
      </c>
    </row>
    <row r="110" spans="1:20" x14ac:dyDescent="0.2">
      <c r="A110" s="18" t="s">
        <v>237</v>
      </c>
      <c r="B110" s="18" t="s">
        <v>18</v>
      </c>
      <c r="C110" s="18" t="s">
        <v>116</v>
      </c>
      <c r="D110" s="18" t="s">
        <v>117</v>
      </c>
      <c r="E110" s="18" t="s">
        <v>3631</v>
      </c>
      <c r="F110" s="19">
        <v>46305.7641435185</v>
      </c>
      <c r="G110" s="18" t="s">
        <v>21</v>
      </c>
      <c r="H110" s="18" t="s">
        <v>3632</v>
      </c>
      <c r="I110" s="18">
        <v>320</v>
      </c>
      <c r="J110" s="18" t="s">
        <v>22</v>
      </c>
      <c r="K110" s="18" t="s">
        <v>23</v>
      </c>
      <c r="L110" s="18">
        <v>529</v>
      </c>
      <c r="M110" s="18" t="s">
        <v>123</v>
      </c>
      <c r="N110" s="19">
        <v>46305.793009259301</v>
      </c>
      <c r="O110" s="18">
        <v>324</v>
      </c>
      <c r="P110" s="18" t="s">
        <v>25</v>
      </c>
      <c r="Q110" s="18">
        <v>40</v>
      </c>
      <c r="R110" s="3" t="str">
        <f>IF(OR(G110="12R",G110="12L"),_xlfn.XLOOKUP(C110,Tabla42[ADEP],Tabla42[SID 12R],""),IF(OR(G110="30L",G110="30R"),_xlfn.XLOOKUP(C110,Tabla42[ADEP],Tabla42[SID 30L],""),""))</f>
        <v>ENEBA</v>
      </c>
      <c r="S110" s="3">
        <f t="shared" si="1"/>
        <v>18</v>
      </c>
      <c r="T110" s="3" t="str">
        <f>_xlfn.XLOOKUP(C110,Tabla42[ADEP],Tabla42[Sector],"")</f>
        <v>Sector 3</v>
      </c>
    </row>
    <row r="111" spans="1:20" x14ac:dyDescent="0.2">
      <c r="A111" s="18" t="s">
        <v>217</v>
      </c>
      <c r="B111" s="18" t="s">
        <v>18</v>
      </c>
      <c r="C111" s="18" t="s">
        <v>158</v>
      </c>
      <c r="D111" s="18" t="s">
        <v>20</v>
      </c>
      <c r="E111" s="18" t="s">
        <v>2483</v>
      </c>
      <c r="F111" s="19">
        <v>46305.766562500001</v>
      </c>
      <c r="G111" s="18" t="s">
        <v>21</v>
      </c>
      <c r="H111" s="18" t="s">
        <v>3633</v>
      </c>
      <c r="I111" s="18">
        <v>330</v>
      </c>
      <c r="J111" s="18" t="s">
        <v>22</v>
      </c>
      <c r="K111" s="18" t="s">
        <v>23</v>
      </c>
      <c r="L111" s="18">
        <v>131</v>
      </c>
      <c r="M111" s="18" t="s">
        <v>3618</v>
      </c>
      <c r="N111" s="19">
        <v>46305.775972222204</v>
      </c>
      <c r="O111" s="18">
        <v>225</v>
      </c>
      <c r="P111" s="18" t="s">
        <v>25</v>
      </c>
      <c r="Q111" s="18">
        <v>190</v>
      </c>
      <c r="R111" s="3" t="str">
        <f>IF(OR(G111="12R",G111="12L"),_xlfn.XLOOKUP(C111,Tabla42[ADEP],Tabla42[SID 12R],""),IF(OR(G111="30L",G111="30R"),_xlfn.XLOOKUP(C111,Tabla42[ADEP],Tabla42[SID 30L],""),""))</f>
        <v>OMSUK</v>
      </c>
      <c r="S111" s="3">
        <f t="shared" si="1"/>
        <v>18</v>
      </c>
      <c r="T111" s="3" t="str">
        <f>_xlfn.XLOOKUP(C111,Tabla42[ADEP],Tabla42[Sector],"")</f>
        <v>Sector 3</v>
      </c>
    </row>
    <row r="112" spans="1:20" x14ac:dyDescent="0.2">
      <c r="A112" s="18" t="s">
        <v>225</v>
      </c>
      <c r="B112" s="18" t="s">
        <v>18</v>
      </c>
      <c r="C112" s="18" t="s">
        <v>27</v>
      </c>
      <c r="D112" s="18" t="s">
        <v>226</v>
      </c>
      <c r="E112" s="18" t="s">
        <v>3634</v>
      </c>
      <c r="F112" s="19">
        <v>46305.767986111103</v>
      </c>
      <c r="G112" s="18" t="s">
        <v>21</v>
      </c>
      <c r="H112" s="18" t="s">
        <v>3635</v>
      </c>
      <c r="I112" s="18">
        <v>330</v>
      </c>
      <c r="J112" s="18" t="s">
        <v>22</v>
      </c>
      <c r="K112" s="18" t="s">
        <v>23</v>
      </c>
      <c r="L112" s="18">
        <v>359</v>
      </c>
      <c r="M112" s="18" t="s">
        <v>30</v>
      </c>
      <c r="N112" s="19">
        <v>46305.7882986111</v>
      </c>
      <c r="O112" s="18">
        <v>330</v>
      </c>
      <c r="P112" s="18" t="s">
        <v>25</v>
      </c>
      <c r="Q112" s="18">
        <v>40</v>
      </c>
      <c r="R112" s="3" t="str">
        <f>IF(OR(G112="12R",G112="12L"),_xlfn.XLOOKUP(C112,Tabla42[ADEP],Tabla42[SID 12R],""),IF(OR(G112="30L",G112="30R"),_xlfn.XLOOKUP(C112,Tabla42[ADEP],Tabla42[SID 30L],""),""))</f>
        <v>OMSUK</v>
      </c>
      <c r="S112" s="3">
        <f t="shared" si="1"/>
        <v>18</v>
      </c>
      <c r="T112" s="3" t="str">
        <f>_xlfn.XLOOKUP(C112,Tabla42[ADEP],Tabla42[Sector],"")</f>
        <v>Sector 3</v>
      </c>
    </row>
    <row r="113" spans="1:20" x14ac:dyDescent="0.2">
      <c r="A113" s="18" t="s">
        <v>3636</v>
      </c>
      <c r="B113" s="18" t="s">
        <v>18</v>
      </c>
      <c r="C113" s="18" t="s">
        <v>49</v>
      </c>
      <c r="D113" s="18" t="s">
        <v>689</v>
      </c>
      <c r="E113" s="18"/>
      <c r="F113" s="19">
        <v>46305.768935185202</v>
      </c>
      <c r="G113" s="18" t="s">
        <v>21</v>
      </c>
      <c r="H113" s="18" t="s">
        <v>3279</v>
      </c>
      <c r="I113" s="18">
        <v>430</v>
      </c>
      <c r="J113" s="18" t="s">
        <v>22</v>
      </c>
      <c r="K113" s="18" t="s">
        <v>50</v>
      </c>
      <c r="L113" s="18">
        <v>859</v>
      </c>
      <c r="M113" s="18" t="s">
        <v>45</v>
      </c>
      <c r="N113" s="19">
        <v>46305.817488425899</v>
      </c>
      <c r="O113" s="18">
        <v>430</v>
      </c>
      <c r="P113" s="18" t="s">
        <v>25</v>
      </c>
      <c r="Q113" s="18">
        <v>30</v>
      </c>
      <c r="R113" s="3" t="str">
        <f>IF(OR(G113="12R",G113="12L"),_xlfn.XLOOKUP(C113,Tabla42[ADEP],Tabla42[SID 12R],""),IF(OR(G113="30L",G113="30R"),_xlfn.XLOOKUP(C113,Tabla42[ADEP],Tabla42[SID 30L],""),""))</f>
        <v>UDGUV</v>
      </c>
      <c r="S113" s="3">
        <f t="shared" si="1"/>
        <v>18</v>
      </c>
      <c r="T113" s="3" t="str">
        <f>_xlfn.XLOOKUP(C113,Tabla42[ADEP],Tabla42[Sector],"")</f>
        <v>Sector 2</v>
      </c>
    </row>
    <row r="114" spans="1:20" x14ac:dyDescent="0.2">
      <c r="A114" s="18" t="s">
        <v>222</v>
      </c>
      <c r="B114" s="18" t="s">
        <v>18</v>
      </c>
      <c r="C114" s="18" t="s">
        <v>223</v>
      </c>
      <c r="D114" s="18" t="s">
        <v>110</v>
      </c>
      <c r="E114" s="18" t="s">
        <v>3637</v>
      </c>
      <c r="F114" s="19">
        <v>46305.769687499997</v>
      </c>
      <c r="G114" s="18" t="s">
        <v>21</v>
      </c>
      <c r="H114" s="18" t="s">
        <v>3638</v>
      </c>
      <c r="I114" s="18">
        <v>370</v>
      </c>
      <c r="J114" s="18" t="s">
        <v>22</v>
      </c>
      <c r="K114" s="18" t="s">
        <v>23</v>
      </c>
      <c r="L114" s="18">
        <v>138</v>
      </c>
      <c r="M114" s="18" t="s">
        <v>560</v>
      </c>
      <c r="N114" s="19">
        <v>46305.779062499998</v>
      </c>
      <c r="O114" s="18">
        <v>268</v>
      </c>
      <c r="P114" s="18" t="s">
        <v>25</v>
      </c>
      <c r="Q114" s="18">
        <v>190</v>
      </c>
      <c r="R114" s="3" t="str">
        <f>IF(OR(G114="12R",G114="12L"),_xlfn.XLOOKUP(C114,Tabla42[ADEP],Tabla42[SID 12R],""),IF(OR(G114="30L",G114="30R"),_xlfn.XLOOKUP(C114,Tabla42[ADEP],Tabla42[SID 30L],""),""))</f>
        <v>OMSUK</v>
      </c>
      <c r="S114" s="3">
        <f t="shared" si="1"/>
        <v>18</v>
      </c>
      <c r="T114" s="3" t="str">
        <f>_xlfn.XLOOKUP(C114,Tabla42[ADEP],Tabla42[Sector],"")</f>
        <v>Sector 3</v>
      </c>
    </row>
    <row r="115" spans="1:20" x14ac:dyDescent="0.2">
      <c r="A115" s="18" t="s">
        <v>1280</v>
      </c>
      <c r="B115" s="18" t="s">
        <v>18</v>
      </c>
      <c r="C115" s="18" t="s">
        <v>742</v>
      </c>
      <c r="D115" s="18" t="s">
        <v>110</v>
      </c>
      <c r="E115" s="18" t="s">
        <v>381</v>
      </c>
      <c r="F115" s="19">
        <v>46305.770231481503</v>
      </c>
      <c r="G115" s="18" t="s">
        <v>21</v>
      </c>
      <c r="H115" s="18" t="s">
        <v>3639</v>
      </c>
      <c r="I115" s="18">
        <v>340</v>
      </c>
      <c r="J115" s="18" t="s">
        <v>22</v>
      </c>
      <c r="K115" s="18" t="s">
        <v>23</v>
      </c>
      <c r="L115" s="18">
        <v>744</v>
      </c>
      <c r="M115" s="18" t="s">
        <v>210</v>
      </c>
      <c r="N115" s="19">
        <v>46305.809745370403</v>
      </c>
      <c r="O115" s="18">
        <v>340</v>
      </c>
      <c r="P115" s="18" t="s">
        <v>25</v>
      </c>
      <c r="Q115" s="18">
        <v>190</v>
      </c>
      <c r="R115" s="3" t="str">
        <f>IF(OR(G115="12R",G115="12L"),_xlfn.XLOOKUP(C115,Tabla42[ADEP],Tabla42[SID 12R],""),IF(OR(G115="30L",G115="30R"),_xlfn.XLOOKUP(C115,Tabla42[ADEP],Tabla42[SID 30L],""),""))</f>
        <v>UDGUV</v>
      </c>
      <c r="S115" s="3">
        <f t="shared" si="1"/>
        <v>18</v>
      </c>
      <c r="T115" s="3" t="str">
        <f>_xlfn.XLOOKUP(C115,Tabla42[ADEP],Tabla42[Sector],"")</f>
        <v>Sector 2</v>
      </c>
    </row>
    <row r="116" spans="1:20" x14ac:dyDescent="0.2">
      <c r="A116" s="18" t="s">
        <v>380</v>
      </c>
      <c r="B116" s="18" t="s">
        <v>18</v>
      </c>
      <c r="C116" s="18" t="s">
        <v>133</v>
      </c>
      <c r="D116" s="18" t="s">
        <v>28</v>
      </c>
      <c r="E116" s="18" t="s">
        <v>3640</v>
      </c>
      <c r="F116" s="19">
        <v>46305.771388888897</v>
      </c>
      <c r="G116" s="18" t="s">
        <v>21</v>
      </c>
      <c r="H116" s="18" t="s">
        <v>3641</v>
      </c>
      <c r="I116" s="18">
        <v>340</v>
      </c>
      <c r="J116" s="18" t="s">
        <v>22</v>
      </c>
      <c r="K116" s="18" t="s">
        <v>23</v>
      </c>
      <c r="L116" s="18">
        <v>435</v>
      </c>
      <c r="M116" s="18" t="s">
        <v>189</v>
      </c>
      <c r="N116" s="19">
        <v>46305.796099537001</v>
      </c>
      <c r="O116" s="18">
        <v>340</v>
      </c>
      <c r="P116" s="18" t="s">
        <v>25</v>
      </c>
      <c r="Q116" s="18">
        <v>40</v>
      </c>
      <c r="R116" s="3" t="str">
        <f>IF(OR(G116="12R",G116="12L"),_xlfn.XLOOKUP(C116,Tabla42[ADEP],Tabla42[SID 12R],""),IF(OR(G116="30L",G116="30R"),_xlfn.XLOOKUP(C116,Tabla42[ADEP],Tabla42[SID 30L],""),""))</f>
        <v>OMSUK</v>
      </c>
      <c r="S116" s="3">
        <f t="shared" si="1"/>
        <v>18</v>
      </c>
      <c r="T116" s="3" t="str">
        <f>_xlfn.XLOOKUP(C116,Tabla42[ADEP],Tabla42[Sector],"")</f>
        <v>Sector 3</v>
      </c>
    </row>
    <row r="117" spans="1:20" x14ac:dyDescent="0.2">
      <c r="A117" s="18" t="s">
        <v>211</v>
      </c>
      <c r="B117" s="18" t="s">
        <v>18</v>
      </c>
      <c r="C117" s="18" t="s">
        <v>212</v>
      </c>
      <c r="D117" s="18" t="s">
        <v>53</v>
      </c>
      <c r="E117" s="18" t="s">
        <v>1643</v>
      </c>
      <c r="F117" s="19">
        <v>46305.775046296301</v>
      </c>
      <c r="G117" s="18" t="s">
        <v>21</v>
      </c>
      <c r="H117" s="18" t="s">
        <v>3642</v>
      </c>
      <c r="I117" s="18">
        <v>370</v>
      </c>
      <c r="J117" s="18" t="s">
        <v>22</v>
      </c>
      <c r="K117" s="18" t="s">
        <v>23</v>
      </c>
      <c r="L117" s="18">
        <v>154</v>
      </c>
      <c r="M117" s="18" t="s">
        <v>3643</v>
      </c>
      <c r="N117" s="19">
        <v>46305.785439814797</v>
      </c>
      <c r="O117" s="18">
        <v>279</v>
      </c>
      <c r="P117" s="18" t="s">
        <v>25</v>
      </c>
      <c r="Q117" s="18">
        <v>190</v>
      </c>
      <c r="R117" s="3" t="str">
        <f>IF(OR(G117="12R",G117="12L"),_xlfn.XLOOKUP(C117,Tabla42[ADEP],Tabla42[SID 12R],""),IF(OR(G117="30L",G117="30R"),_xlfn.XLOOKUP(C117,Tabla42[ADEP],Tabla42[SID 30L],""),""))</f>
        <v>TAKUX</v>
      </c>
      <c r="S117" s="3">
        <f t="shared" si="1"/>
        <v>18</v>
      </c>
      <c r="T117" s="3" t="str">
        <f>_xlfn.XLOOKUP(C117,Tabla42[ADEP],Tabla42[Sector],"")</f>
        <v>Sector 7</v>
      </c>
    </row>
    <row r="118" spans="1:20" x14ac:dyDescent="0.2">
      <c r="A118" s="18" t="s">
        <v>3644</v>
      </c>
      <c r="B118" s="18" t="s">
        <v>18</v>
      </c>
      <c r="C118" s="18" t="s">
        <v>160</v>
      </c>
      <c r="D118" s="18" t="s">
        <v>124</v>
      </c>
      <c r="E118" s="18"/>
      <c r="F118" s="19">
        <v>46305.7761342593</v>
      </c>
      <c r="G118" s="18" t="s">
        <v>21</v>
      </c>
      <c r="H118" s="18" t="s">
        <v>3645</v>
      </c>
      <c r="I118" s="18">
        <v>280</v>
      </c>
      <c r="J118" s="18" t="s">
        <v>22</v>
      </c>
      <c r="K118" s="18" t="s">
        <v>50</v>
      </c>
      <c r="L118" s="18">
        <v>331</v>
      </c>
      <c r="M118" s="18" t="s">
        <v>971</v>
      </c>
      <c r="N118" s="19">
        <v>46305.797210648103</v>
      </c>
      <c r="O118" s="18">
        <v>280</v>
      </c>
      <c r="P118" s="18" t="s">
        <v>25</v>
      </c>
      <c r="Q118" s="18">
        <v>30</v>
      </c>
      <c r="R118" s="3" t="str">
        <f>IF(OR(G118="12R",G118="12L"),_xlfn.XLOOKUP(C118,Tabla42[ADEP],Tabla42[SID 12R],""),IF(OR(G118="30L",G118="30R"),_xlfn.XLOOKUP(C118,Tabla42[ADEP],Tabla42[SID 30L],""),""))</f>
        <v>CZM</v>
      </c>
      <c r="S118" s="3">
        <f t="shared" si="1"/>
        <v>18</v>
      </c>
      <c r="T118" s="3" t="str">
        <f>_xlfn.XLOOKUP(C118,Tabla42[ADEP],Tabla42[Sector],"")</f>
        <v>Sector 7</v>
      </c>
    </row>
    <row r="119" spans="1:20" x14ac:dyDescent="0.2">
      <c r="A119" s="18" t="s">
        <v>244</v>
      </c>
      <c r="B119" s="18" t="s">
        <v>18</v>
      </c>
      <c r="C119" s="18" t="s">
        <v>126</v>
      </c>
      <c r="D119" s="18" t="s">
        <v>60</v>
      </c>
      <c r="E119" s="18" t="s">
        <v>3344</v>
      </c>
      <c r="F119" s="19">
        <v>46305.776909722197</v>
      </c>
      <c r="G119" s="18" t="s">
        <v>21</v>
      </c>
      <c r="H119" s="18" t="s">
        <v>3646</v>
      </c>
      <c r="I119" s="18">
        <v>340</v>
      </c>
      <c r="J119" s="18" t="s">
        <v>22</v>
      </c>
      <c r="K119" s="18" t="s">
        <v>23</v>
      </c>
      <c r="L119" s="18">
        <v>550</v>
      </c>
      <c r="M119" s="18" t="s">
        <v>123</v>
      </c>
      <c r="N119" s="19">
        <v>46305.8069328704</v>
      </c>
      <c r="O119" s="18">
        <v>340</v>
      </c>
      <c r="P119" s="18" t="s">
        <v>25</v>
      </c>
      <c r="Q119" s="18">
        <v>40</v>
      </c>
      <c r="R119" s="3" t="str">
        <f>IF(OR(G119="12R",G119="12L"),_xlfn.XLOOKUP(C119,Tabla42[ADEP],Tabla42[SID 12R],""),IF(OR(G119="30L",G119="30R"),_xlfn.XLOOKUP(C119,Tabla42[ADEP],Tabla42[SID 30L],""),""))</f>
        <v>ENEBA</v>
      </c>
      <c r="S119" s="3">
        <f t="shared" si="1"/>
        <v>18</v>
      </c>
      <c r="T119" s="3" t="str">
        <f>_xlfn.XLOOKUP(C119,Tabla42[ADEP],Tabla42[Sector],"")</f>
        <v>Sector 3</v>
      </c>
    </row>
    <row r="120" spans="1:20" x14ac:dyDescent="0.2">
      <c r="A120" s="18" t="s">
        <v>238</v>
      </c>
      <c r="B120" s="18" t="s">
        <v>18</v>
      </c>
      <c r="C120" s="18" t="s">
        <v>239</v>
      </c>
      <c r="D120" s="18" t="s">
        <v>20</v>
      </c>
      <c r="E120" s="18" t="s">
        <v>169</v>
      </c>
      <c r="F120" s="19">
        <v>46305.779664351903</v>
      </c>
      <c r="G120" s="18" t="s">
        <v>21</v>
      </c>
      <c r="H120" s="18" t="s">
        <v>3647</v>
      </c>
      <c r="I120" s="18">
        <v>340</v>
      </c>
      <c r="J120" s="18" t="s">
        <v>22</v>
      </c>
      <c r="K120" s="18" t="s">
        <v>23</v>
      </c>
      <c r="L120" s="18">
        <v>852</v>
      </c>
      <c r="M120" s="18" t="s">
        <v>3648</v>
      </c>
      <c r="N120" s="19">
        <v>46305.825844907398</v>
      </c>
      <c r="O120" s="18">
        <v>340</v>
      </c>
      <c r="P120" s="18" t="s">
        <v>25</v>
      </c>
      <c r="Q120" s="18">
        <v>190</v>
      </c>
      <c r="R120" s="3" t="str">
        <f>IF(OR(G120="12R",G120="12L"),_xlfn.XLOOKUP(C120,Tabla42[ADEP],Tabla42[SID 12R],""),IF(OR(G120="30L",G120="30R"),_xlfn.XLOOKUP(C120,Tabla42[ADEP],Tabla42[SID 30L],""),""))</f>
        <v>UDGUV</v>
      </c>
      <c r="S120" s="3">
        <f t="shared" si="1"/>
        <v>18</v>
      </c>
      <c r="T120" s="3" t="str">
        <f>_xlfn.XLOOKUP(C120,Tabla42[ADEP],Tabla42[Sector],"")</f>
        <v>Sector 2</v>
      </c>
    </row>
    <row r="121" spans="1:20" x14ac:dyDescent="0.2">
      <c r="A121" s="18" t="s">
        <v>1667</v>
      </c>
      <c r="B121" s="18" t="s">
        <v>18</v>
      </c>
      <c r="C121" s="18" t="s">
        <v>200</v>
      </c>
      <c r="D121" s="18" t="s">
        <v>110</v>
      </c>
      <c r="E121" s="18" t="s">
        <v>390</v>
      </c>
      <c r="F121" s="19">
        <v>46305.780405092599</v>
      </c>
      <c r="G121" s="18" t="s">
        <v>21</v>
      </c>
      <c r="H121" s="18" t="s">
        <v>3649</v>
      </c>
      <c r="I121" s="18">
        <v>360</v>
      </c>
      <c r="J121" s="18" t="s">
        <v>22</v>
      </c>
      <c r="K121" s="18" t="s">
        <v>23</v>
      </c>
      <c r="L121" s="18">
        <v>427</v>
      </c>
      <c r="M121" s="18" t="s">
        <v>189</v>
      </c>
      <c r="N121" s="19">
        <v>46305.804004629601</v>
      </c>
      <c r="O121" s="18">
        <v>360</v>
      </c>
      <c r="P121" s="18" t="s">
        <v>25</v>
      </c>
      <c r="Q121" s="18">
        <v>40</v>
      </c>
      <c r="R121" s="3" t="str">
        <f>IF(OR(G121="12R",G121="12L"),_xlfn.XLOOKUP(C121,Tabla42[ADEP],Tabla42[SID 12R],""),IF(OR(G121="30L",G121="30R"),_xlfn.XLOOKUP(C121,Tabla42[ADEP],Tabla42[SID 30L],""),""))</f>
        <v>OMSUK</v>
      </c>
      <c r="S121" s="3">
        <f t="shared" si="1"/>
        <v>18</v>
      </c>
      <c r="T121" s="3" t="str">
        <f>_xlfn.XLOOKUP(C121,Tabla42[ADEP],Tabla42[Sector],"")</f>
        <v>Sector 3</v>
      </c>
    </row>
    <row r="122" spans="1:20" x14ac:dyDescent="0.2">
      <c r="A122" s="18" t="s">
        <v>227</v>
      </c>
      <c r="B122" s="18" t="s">
        <v>18</v>
      </c>
      <c r="C122" s="18" t="s">
        <v>133</v>
      </c>
      <c r="D122" s="18" t="s">
        <v>60</v>
      </c>
      <c r="E122" s="18" t="s">
        <v>3356</v>
      </c>
      <c r="F122" s="19">
        <v>46305.781736111101</v>
      </c>
      <c r="G122" s="18" t="s">
        <v>21</v>
      </c>
      <c r="H122" s="18" t="s">
        <v>3650</v>
      </c>
      <c r="I122" s="18">
        <v>320</v>
      </c>
      <c r="J122" s="18" t="s">
        <v>22</v>
      </c>
      <c r="K122" s="18" t="s">
        <v>23</v>
      </c>
      <c r="L122" s="18">
        <v>557</v>
      </c>
      <c r="M122" s="18" t="s">
        <v>123</v>
      </c>
      <c r="N122" s="19">
        <v>46305.811493055597</v>
      </c>
      <c r="O122" s="18">
        <v>320</v>
      </c>
      <c r="P122" s="18" t="s">
        <v>25</v>
      </c>
      <c r="Q122" s="18">
        <v>40</v>
      </c>
      <c r="R122" s="3" t="str">
        <f>IF(OR(G122="12R",G122="12L"),_xlfn.XLOOKUP(C122,Tabla42[ADEP],Tabla42[SID 12R],""),IF(OR(G122="30L",G122="30R"),_xlfn.XLOOKUP(C122,Tabla42[ADEP],Tabla42[SID 30L],""),""))</f>
        <v>OMSUK</v>
      </c>
      <c r="S122" s="3">
        <f t="shared" si="1"/>
        <v>18</v>
      </c>
      <c r="T122" s="3" t="str">
        <f>_xlfn.XLOOKUP(C122,Tabla42[ADEP],Tabla42[Sector],"")</f>
        <v>Sector 3</v>
      </c>
    </row>
    <row r="123" spans="1:20" x14ac:dyDescent="0.2">
      <c r="A123" s="18" t="s">
        <v>3651</v>
      </c>
      <c r="B123" s="18" t="s">
        <v>18</v>
      </c>
      <c r="C123" s="18" t="s">
        <v>305</v>
      </c>
      <c r="D123" s="18" t="s">
        <v>122</v>
      </c>
      <c r="E123" s="18" t="s">
        <v>3652</v>
      </c>
      <c r="F123" s="19">
        <v>46305.783125000002</v>
      </c>
      <c r="G123" s="18" t="s">
        <v>21</v>
      </c>
      <c r="H123" s="18" t="s">
        <v>3653</v>
      </c>
      <c r="I123" s="18">
        <v>360</v>
      </c>
      <c r="J123" s="18" t="s">
        <v>22</v>
      </c>
      <c r="K123" s="18" t="s">
        <v>23</v>
      </c>
      <c r="L123" s="18">
        <v>387</v>
      </c>
      <c r="M123" s="18" t="s">
        <v>250</v>
      </c>
      <c r="N123" s="19">
        <v>46305.804120370398</v>
      </c>
      <c r="O123" s="18">
        <v>360</v>
      </c>
      <c r="P123" s="18" t="s">
        <v>25</v>
      </c>
      <c r="Q123" s="18">
        <v>40</v>
      </c>
      <c r="R123" s="3" t="str">
        <f>IF(OR(G123="12R",G123="12L"),_xlfn.XLOOKUP(C123,Tabla42[ADEP],Tabla42[SID 12R],""),IF(OR(G123="30L",G123="30R"),_xlfn.XLOOKUP(C123,Tabla42[ADEP],Tabla42[SID 30L],""),""))</f>
        <v>OMSUK</v>
      </c>
      <c r="S123" s="3">
        <f t="shared" si="1"/>
        <v>18</v>
      </c>
      <c r="T123" s="3" t="str">
        <f>_xlfn.XLOOKUP(C123,Tabla42[ADEP],Tabla42[Sector],"")</f>
        <v>Sector 3</v>
      </c>
    </row>
    <row r="124" spans="1:20" x14ac:dyDescent="0.2">
      <c r="A124" s="18" t="s">
        <v>205</v>
      </c>
      <c r="B124" s="18" t="s">
        <v>18</v>
      </c>
      <c r="C124" s="18" t="s">
        <v>206</v>
      </c>
      <c r="D124" s="18" t="s">
        <v>60</v>
      </c>
      <c r="E124" s="18" t="s">
        <v>529</v>
      </c>
      <c r="F124" s="19">
        <v>46305.7839467593</v>
      </c>
      <c r="G124" s="18" t="s">
        <v>21</v>
      </c>
      <c r="H124" s="18" t="s">
        <v>3654</v>
      </c>
      <c r="I124" s="18">
        <v>360</v>
      </c>
      <c r="J124" s="18" t="s">
        <v>22</v>
      </c>
      <c r="K124" s="18" t="s">
        <v>23</v>
      </c>
      <c r="L124" s="18">
        <v>859</v>
      </c>
      <c r="M124" s="18" t="s">
        <v>2035</v>
      </c>
      <c r="N124" s="19">
        <v>46305.830150463</v>
      </c>
      <c r="O124" s="18">
        <v>340</v>
      </c>
      <c r="P124" s="18" t="s">
        <v>25</v>
      </c>
      <c r="Q124" s="18">
        <v>190</v>
      </c>
      <c r="R124" s="3" t="str">
        <f>IF(OR(G124="12R",G124="12L"),_xlfn.XLOOKUP(C124,Tabla42[ADEP],Tabla42[SID 12R],""),IF(OR(G124="30L",G124="30R"),_xlfn.XLOOKUP(C124,Tabla42[ADEP],Tabla42[SID 30L],""),""))</f>
        <v>UDGUV</v>
      </c>
      <c r="S124" s="3">
        <f t="shared" si="1"/>
        <v>18</v>
      </c>
      <c r="T124" s="3" t="str">
        <f>_xlfn.XLOOKUP(C124,Tabla42[ADEP],Tabla42[Sector],"")</f>
        <v>Sector 2</v>
      </c>
    </row>
    <row r="125" spans="1:20" x14ac:dyDescent="0.2">
      <c r="A125" s="18" t="s">
        <v>228</v>
      </c>
      <c r="B125" s="18" t="s">
        <v>18</v>
      </c>
      <c r="C125" s="18" t="s">
        <v>27</v>
      </c>
      <c r="D125" s="18" t="s">
        <v>28</v>
      </c>
      <c r="E125" s="18" t="s">
        <v>3655</v>
      </c>
      <c r="F125" s="19">
        <v>46305.784594907404</v>
      </c>
      <c r="G125" s="18" t="s">
        <v>21</v>
      </c>
      <c r="H125" s="18" t="s">
        <v>3656</v>
      </c>
      <c r="I125" s="18">
        <v>370</v>
      </c>
      <c r="J125" s="18" t="s">
        <v>22</v>
      </c>
      <c r="K125" s="18" t="s">
        <v>23</v>
      </c>
      <c r="L125" s="18">
        <v>354</v>
      </c>
      <c r="M125" s="18" t="s">
        <v>30</v>
      </c>
      <c r="N125" s="19">
        <v>46305.805532407401</v>
      </c>
      <c r="O125" s="18">
        <v>364</v>
      </c>
      <c r="P125" s="18" t="s">
        <v>25</v>
      </c>
      <c r="Q125" s="18">
        <v>40</v>
      </c>
      <c r="R125" s="3" t="str">
        <f>IF(OR(G125="12R",G125="12L"),_xlfn.XLOOKUP(C125,Tabla42[ADEP],Tabla42[SID 12R],""),IF(OR(G125="30L",G125="30R"),_xlfn.XLOOKUP(C125,Tabla42[ADEP],Tabla42[SID 30L],""),""))</f>
        <v>OMSUK</v>
      </c>
      <c r="S125" s="3">
        <f t="shared" si="1"/>
        <v>18</v>
      </c>
      <c r="T125" s="3" t="str">
        <f>_xlfn.XLOOKUP(C125,Tabla42[ADEP],Tabla42[Sector],"")</f>
        <v>Sector 3</v>
      </c>
    </row>
    <row r="126" spans="1:20" x14ac:dyDescent="0.2">
      <c r="A126" s="18" t="s">
        <v>235</v>
      </c>
      <c r="B126" s="18" t="s">
        <v>18</v>
      </c>
      <c r="C126" s="18" t="s">
        <v>62</v>
      </c>
      <c r="D126" s="18" t="s">
        <v>33</v>
      </c>
      <c r="E126" s="18" t="s">
        <v>82</v>
      </c>
      <c r="F126" s="19">
        <v>46305.785474536999</v>
      </c>
      <c r="G126" s="18" t="s">
        <v>21</v>
      </c>
      <c r="H126" s="18" t="s">
        <v>3657</v>
      </c>
      <c r="I126" s="18">
        <v>360</v>
      </c>
      <c r="J126" s="18" t="s">
        <v>22</v>
      </c>
      <c r="K126" s="18" t="s">
        <v>23</v>
      </c>
      <c r="L126" s="18">
        <v>867</v>
      </c>
      <c r="M126" s="18" t="s">
        <v>167</v>
      </c>
      <c r="N126" s="19">
        <v>46305.831331018497</v>
      </c>
      <c r="O126" s="18">
        <v>360</v>
      </c>
      <c r="P126" s="18" t="s">
        <v>25</v>
      </c>
      <c r="Q126" s="18">
        <v>190</v>
      </c>
      <c r="R126" s="3" t="str">
        <f>IF(OR(G126="12R",G126="12L"),_xlfn.XLOOKUP(C126,Tabla42[ADEP],Tabla42[SID 12R],""),IF(OR(G126="30L",G126="30R"),_xlfn.XLOOKUP(C126,Tabla42[ADEP],Tabla42[SID 30L],""),""))</f>
        <v>UDGUV</v>
      </c>
      <c r="S126" s="3">
        <f t="shared" si="1"/>
        <v>18</v>
      </c>
      <c r="T126" s="3" t="str">
        <f>_xlfn.XLOOKUP(C126,Tabla42[ADEP],Tabla42[Sector],"")</f>
        <v>Sector 2</v>
      </c>
    </row>
    <row r="127" spans="1:20" x14ac:dyDescent="0.2">
      <c r="A127" s="18" t="s">
        <v>246</v>
      </c>
      <c r="B127" s="18" t="s">
        <v>18</v>
      </c>
      <c r="C127" s="18" t="s">
        <v>209</v>
      </c>
      <c r="D127" s="18" t="s">
        <v>110</v>
      </c>
      <c r="E127" s="18" t="s">
        <v>651</v>
      </c>
      <c r="F127" s="19">
        <v>46305.786238425899</v>
      </c>
      <c r="G127" s="18" t="s">
        <v>21</v>
      </c>
      <c r="H127" s="18" t="s">
        <v>3658</v>
      </c>
      <c r="I127" s="18">
        <v>340</v>
      </c>
      <c r="J127" s="18" t="s">
        <v>22</v>
      </c>
      <c r="K127" s="18" t="s">
        <v>23</v>
      </c>
      <c r="L127" s="18">
        <v>528</v>
      </c>
      <c r="M127" s="18" t="s">
        <v>123</v>
      </c>
      <c r="N127" s="19">
        <v>46305.813518518502</v>
      </c>
      <c r="O127" s="18">
        <v>300</v>
      </c>
      <c r="P127" s="18" t="s">
        <v>25</v>
      </c>
      <c r="Q127" s="18">
        <v>40</v>
      </c>
      <c r="R127" s="3" t="str">
        <f>IF(OR(G127="12R",G127="12L"),_xlfn.XLOOKUP(C127,Tabla42[ADEP],Tabla42[SID 12R],""),IF(OR(G127="30L",G127="30R"),_xlfn.XLOOKUP(C127,Tabla42[ADEP],Tabla42[SID 30L],""),""))</f>
        <v>ENEBA</v>
      </c>
      <c r="S127" s="3">
        <f t="shared" si="1"/>
        <v>18</v>
      </c>
      <c r="T127" s="3" t="str">
        <f>_xlfn.XLOOKUP(C127,Tabla42[ADEP],Tabla42[Sector],"")</f>
        <v>Sector 3</v>
      </c>
    </row>
    <row r="128" spans="1:20" x14ac:dyDescent="0.2">
      <c r="A128" s="18" t="s">
        <v>3659</v>
      </c>
      <c r="B128" s="18" t="s">
        <v>18</v>
      </c>
      <c r="C128" s="18" t="s">
        <v>3660</v>
      </c>
      <c r="D128" s="18" t="s">
        <v>492</v>
      </c>
      <c r="E128" s="18"/>
      <c r="F128" s="19">
        <v>46305.787418981497</v>
      </c>
      <c r="G128" s="18" t="s">
        <v>21</v>
      </c>
      <c r="H128" s="18" t="s">
        <v>3661</v>
      </c>
      <c r="I128" s="18">
        <v>410</v>
      </c>
      <c r="J128" s="18" t="s">
        <v>22</v>
      </c>
      <c r="K128" s="18" t="s">
        <v>50</v>
      </c>
      <c r="L128" s="18">
        <v>206</v>
      </c>
      <c r="M128" s="18" t="s">
        <v>355</v>
      </c>
      <c r="N128" s="19">
        <v>46305.801238425898</v>
      </c>
      <c r="O128" s="18">
        <v>310</v>
      </c>
      <c r="P128" s="18" t="s">
        <v>25</v>
      </c>
      <c r="Q128" s="18">
        <v>40</v>
      </c>
      <c r="R128" s="3" t="str">
        <f>IF(OR(G128="12R",G128="12L"),_xlfn.XLOOKUP(C128,Tabla42[ADEP],Tabla42[SID 12R],""),IF(OR(G128="30L",G128="30R"),_xlfn.XLOOKUP(C128,Tabla42[ADEP],Tabla42[SID 30L],""),""))</f>
        <v/>
      </c>
      <c r="S128" s="3">
        <f t="shared" si="1"/>
        <v>18</v>
      </c>
      <c r="T128" s="3" t="str">
        <f>_xlfn.XLOOKUP(C128,Tabla42[ADEP],Tabla42[Sector],"")</f>
        <v/>
      </c>
    </row>
    <row r="129" spans="1:20" x14ac:dyDescent="0.2">
      <c r="A129" s="18" t="s">
        <v>229</v>
      </c>
      <c r="B129" s="18" t="s">
        <v>18</v>
      </c>
      <c r="C129" s="18" t="s">
        <v>230</v>
      </c>
      <c r="D129" s="18" t="s">
        <v>231</v>
      </c>
      <c r="E129" s="18" t="s">
        <v>591</v>
      </c>
      <c r="F129" s="19">
        <v>46305.788599537002</v>
      </c>
      <c r="G129" s="18" t="s">
        <v>21</v>
      </c>
      <c r="H129" s="18" t="s">
        <v>3662</v>
      </c>
      <c r="I129" s="18">
        <v>100</v>
      </c>
      <c r="J129" s="18" t="s">
        <v>22</v>
      </c>
      <c r="K129" s="18" t="s">
        <v>23</v>
      </c>
      <c r="L129" s="18">
        <v>363</v>
      </c>
      <c r="M129" s="18" t="s">
        <v>230</v>
      </c>
      <c r="N129" s="19">
        <v>46305.855983796297</v>
      </c>
      <c r="O129" s="18">
        <v>0</v>
      </c>
      <c r="P129" s="18" t="s">
        <v>129</v>
      </c>
      <c r="Q129" s="18">
        <v>40</v>
      </c>
      <c r="R129" s="3" t="str">
        <f>IF(OR(G129="12R",G129="12L"),_xlfn.XLOOKUP(C129,Tabla42[ADEP],Tabla42[SID 12R],""),IF(OR(G129="30L",G129="30R"),_xlfn.XLOOKUP(C129,Tabla42[ADEP],Tabla42[SID 30L],""),""))</f>
        <v>CZM</v>
      </c>
      <c r="S129" s="3">
        <f t="shared" si="1"/>
        <v>18</v>
      </c>
      <c r="T129" s="3" t="str">
        <f>_xlfn.XLOOKUP(C129,Tabla42[ADEP],Tabla42[Sector],"")</f>
        <v>Sector 7</v>
      </c>
    </row>
    <row r="130" spans="1:20" x14ac:dyDescent="0.2">
      <c r="A130" s="18" t="s">
        <v>1672</v>
      </c>
      <c r="B130" s="18" t="s">
        <v>18</v>
      </c>
      <c r="C130" s="18" t="s">
        <v>96</v>
      </c>
      <c r="D130" s="18" t="s">
        <v>53</v>
      </c>
      <c r="E130" s="18" t="s">
        <v>106</v>
      </c>
      <c r="F130" s="19">
        <v>46305.791145833296</v>
      </c>
      <c r="G130" s="18" t="s">
        <v>21</v>
      </c>
      <c r="H130" s="18" t="s">
        <v>3663</v>
      </c>
      <c r="I130" s="18">
        <v>380</v>
      </c>
      <c r="J130" s="18" t="s">
        <v>22</v>
      </c>
      <c r="K130" s="18" t="s">
        <v>23</v>
      </c>
      <c r="L130" s="18">
        <v>856</v>
      </c>
      <c r="M130" s="18" t="s">
        <v>45</v>
      </c>
      <c r="N130" s="19">
        <v>46305.837962963</v>
      </c>
      <c r="O130" s="18">
        <v>380</v>
      </c>
      <c r="P130" s="18" t="s">
        <v>25</v>
      </c>
      <c r="Q130" s="18">
        <v>190</v>
      </c>
      <c r="R130" s="3" t="str">
        <f>IF(OR(G130="12R",G130="12L"),_xlfn.XLOOKUP(C130,Tabla42[ADEP],Tabla42[SID 12R],""),IF(OR(G130="30L",G130="30R"),_xlfn.XLOOKUP(C130,Tabla42[ADEP],Tabla42[SID 30L],""),""))</f>
        <v>UDGUV</v>
      </c>
      <c r="S130" s="3">
        <f t="shared" si="1"/>
        <v>18</v>
      </c>
      <c r="T130" s="3" t="str">
        <f>_xlfn.XLOOKUP(C130,Tabla42[ADEP],Tabla42[Sector],"")</f>
        <v>Sector 2</v>
      </c>
    </row>
    <row r="131" spans="1:20" x14ac:dyDescent="0.2">
      <c r="A131" s="18" t="s">
        <v>240</v>
      </c>
      <c r="B131" s="18" t="s">
        <v>18</v>
      </c>
      <c r="C131" s="18" t="s">
        <v>116</v>
      </c>
      <c r="D131" s="18" t="s">
        <v>117</v>
      </c>
      <c r="E131" s="18" t="s">
        <v>3664</v>
      </c>
      <c r="F131" s="19">
        <v>46305.791967592602</v>
      </c>
      <c r="G131" s="18" t="s">
        <v>21</v>
      </c>
      <c r="H131" s="18" t="s">
        <v>3665</v>
      </c>
      <c r="I131" s="18">
        <v>300</v>
      </c>
      <c r="J131" s="18" t="s">
        <v>22</v>
      </c>
      <c r="K131" s="18" t="s">
        <v>23</v>
      </c>
      <c r="L131" s="18">
        <v>586</v>
      </c>
      <c r="M131" s="18" t="s">
        <v>123</v>
      </c>
      <c r="N131" s="19">
        <v>46305.822812500002</v>
      </c>
      <c r="O131" s="18">
        <v>300</v>
      </c>
      <c r="P131" s="18" t="s">
        <v>25</v>
      </c>
      <c r="Q131" s="18">
        <v>40</v>
      </c>
      <c r="R131" s="3" t="str">
        <f>IF(OR(G131="12R",G131="12L"),_xlfn.XLOOKUP(C131,Tabla42[ADEP],Tabla42[SID 12R],""),IF(OR(G131="30L",G131="30R"),_xlfn.XLOOKUP(C131,Tabla42[ADEP],Tabla42[SID 30L],""),""))</f>
        <v>ENEBA</v>
      </c>
      <c r="S131" s="3">
        <f t="shared" ref="S131:S194" si="2">HOUR(F131)</f>
        <v>19</v>
      </c>
      <c r="T131" s="3" t="str">
        <f>_xlfn.XLOOKUP(C131,Tabla42[ADEP],Tabla42[Sector],"")</f>
        <v>Sector 3</v>
      </c>
    </row>
    <row r="132" spans="1:20" x14ac:dyDescent="0.2">
      <c r="A132" s="18" t="s">
        <v>3094</v>
      </c>
      <c r="B132" s="18" t="s">
        <v>18</v>
      </c>
      <c r="C132" s="18" t="s">
        <v>190</v>
      </c>
      <c r="D132" s="18" t="s">
        <v>33</v>
      </c>
      <c r="E132" s="18" t="s">
        <v>3666</v>
      </c>
      <c r="F132" s="19">
        <v>46305.793553240699</v>
      </c>
      <c r="G132" s="18" t="s">
        <v>21</v>
      </c>
      <c r="H132" s="18" t="s">
        <v>3667</v>
      </c>
      <c r="I132" s="18">
        <v>390</v>
      </c>
      <c r="J132" s="18" t="s">
        <v>22</v>
      </c>
      <c r="K132" s="18" t="s">
        <v>23</v>
      </c>
      <c r="L132" s="18">
        <v>137</v>
      </c>
      <c r="M132" s="18" t="s">
        <v>3618</v>
      </c>
      <c r="N132" s="19">
        <v>46305.8027546296</v>
      </c>
      <c r="O132" s="18">
        <v>277</v>
      </c>
      <c r="P132" s="18" t="s">
        <v>25</v>
      </c>
      <c r="Q132" s="18">
        <v>190</v>
      </c>
      <c r="R132" s="3" t="str">
        <f>IF(OR(G132="12R",G132="12L"),_xlfn.XLOOKUP(C132,Tabla42[ADEP],Tabla42[SID 12R],""),IF(OR(G132="30L",G132="30R"),_xlfn.XLOOKUP(C132,Tabla42[ADEP],Tabla42[SID 30L],""),""))</f>
        <v>NUDAL</v>
      </c>
      <c r="S132" s="3">
        <f t="shared" si="2"/>
        <v>19</v>
      </c>
      <c r="T132" s="3" t="str">
        <f>_xlfn.XLOOKUP(C132,Tabla42[ADEP],Tabla42[Sector],"")</f>
        <v>Sector 3</v>
      </c>
    </row>
    <row r="133" spans="1:20" x14ac:dyDescent="0.2">
      <c r="A133" s="18" t="s">
        <v>970</v>
      </c>
      <c r="B133" s="18" t="s">
        <v>18</v>
      </c>
      <c r="C133" s="18" t="s">
        <v>49</v>
      </c>
      <c r="D133" s="18" t="s">
        <v>220</v>
      </c>
      <c r="E133" s="18"/>
      <c r="F133" s="19">
        <v>46305.794618055603</v>
      </c>
      <c r="G133" s="18" t="s">
        <v>21</v>
      </c>
      <c r="H133" s="18" t="s">
        <v>3668</v>
      </c>
      <c r="I133" s="18">
        <v>430</v>
      </c>
      <c r="J133" s="18" t="s">
        <v>22</v>
      </c>
      <c r="K133" s="18" t="s">
        <v>50</v>
      </c>
      <c r="L133" s="18">
        <v>857</v>
      </c>
      <c r="M133" s="18" t="s">
        <v>45</v>
      </c>
      <c r="N133" s="19">
        <v>46305.841550925899</v>
      </c>
      <c r="O133" s="18">
        <v>430</v>
      </c>
      <c r="P133" s="18" t="s">
        <v>25</v>
      </c>
      <c r="Q133" s="18">
        <v>30</v>
      </c>
      <c r="R133" s="3" t="str">
        <f>IF(OR(G133="12R",G133="12L"),_xlfn.XLOOKUP(C133,Tabla42[ADEP],Tabla42[SID 12R],""),IF(OR(G133="30L",G133="30R"),_xlfn.XLOOKUP(C133,Tabla42[ADEP],Tabla42[SID 30L],""),""))</f>
        <v>UDGUV</v>
      </c>
      <c r="S133" s="3">
        <f t="shared" si="2"/>
        <v>19</v>
      </c>
      <c r="T133" s="3" t="str">
        <f>_xlfn.XLOOKUP(C133,Tabla42[ADEP],Tabla42[Sector],"")</f>
        <v>Sector 2</v>
      </c>
    </row>
    <row r="134" spans="1:20" x14ac:dyDescent="0.2">
      <c r="A134" s="18" t="s">
        <v>247</v>
      </c>
      <c r="B134" s="18" t="s">
        <v>18</v>
      </c>
      <c r="C134" s="18" t="s">
        <v>137</v>
      </c>
      <c r="D134" s="18" t="s">
        <v>28</v>
      </c>
      <c r="E134" s="18" t="s">
        <v>3669</v>
      </c>
      <c r="F134" s="19">
        <v>46305.797395833302</v>
      </c>
      <c r="G134" s="18" t="s">
        <v>21</v>
      </c>
      <c r="H134" s="18" t="s">
        <v>3670</v>
      </c>
      <c r="I134" s="18">
        <v>370</v>
      </c>
      <c r="J134" s="18" t="s">
        <v>22</v>
      </c>
      <c r="K134" s="18" t="s">
        <v>23</v>
      </c>
      <c r="L134" s="18">
        <v>134</v>
      </c>
      <c r="M134" s="18" t="s">
        <v>3319</v>
      </c>
      <c r="N134" s="19">
        <v>46305.806539351899</v>
      </c>
      <c r="O134" s="18">
        <v>244</v>
      </c>
      <c r="P134" s="18" t="s">
        <v>25</v>
      </c>
      <c r="Q134" s="18">
        <v>190</v>
      </c>
      <c r="R134" s="3" t="str">
        <f>IF(OR(G134="12R",G134="12L"),_xlfn.XLOOKUP(C134,Tabla42[ADEP],Tabla42[SID 12R],""),IF(OR(G134="30L",G134="30R"),_xlfn.XLOOKUP(C134,Tabla42[ADEP],Tabla42[SID 30L],""),""))</f>
        <v>NUDAL</v>
      </c>
      <c r="S134" s="3">
        <f t="shared" si="2"/>
        <v>19</v>
      </c>
      <c r="T134" s="3" t="str">
        <f>_xlfn.XLOOKUP(C134,Tabla42[ADEP],Tabla42[Sector],"")</f>
        <v>Sector 3</v>
      </c>
    </row>
    <row r="135" spans="1:20" x14ac:dyDescent="0.2">
      <c r="A135" s="18" t="s">
        <v>1688</v>
      </c>
      <c r="B135" s="18" t="s">
        <v>18</v>
      </c>
      <c r="C135" s="18" t="s">
        <v>478</v>
      </c>
      <c r="D135" s="18" t="s">
        <v>122</v>
      </c>
      <c r="E135" s="18" t="s">
        <v>2161</v>
      </c>
      <c r="F135" s="19">
        <v>46305.798796296302</v>
      </c>
      <c r="G135" s="18" t="s">
        <v>21</v>
      </c>
      <c r="H135" s="18" t="s">
        <v>3671</v>
      </c>
      <c r="I135" s="18">
        <v>320</v>
      </c>
      <c r="J135" s="18" t="s">
        <v>22</v>
      </c>
      <c r="K135" s="18" t="s">
        <v>23</v>
      </c>
      <c r="L135" s="18">
        <v>877</v>
      </c>
      <c r="M135" s="18" t="s">
        <v>35</v>
      </c>
      <c r="N135" s="19">
        <v>46305.844722222202</v>
      </c>
      <c r="O135" s="18">
        <v>320</v>
      </c>
      <c r="P135" s="18" t="s">
        <v>25</v>
      </c>
      <c r="Q135" s="18">
        <v>190</v>
      </c>
      <c r="R135" s="3" t="str">
        <f>IF(OR(G135="12R",G135="12L"),_xlfn.XLOOKUP(C135,Tabla42[ADEP],Tabla42[SID 12R],""),IF(OR(G135="30L",G135="30R"),_xlfn.XLOOKUP(C135,Tabla42[ADEP],Tabla42[SID 30L],""),""))</f>
        <v>ENEBA</v>
      </c>
      <c r="S135" s="3">
        <f t="shared" si="2"/>
        <v>19</v>
      </c>
      <c r="T135" s="3" t="str">
        <f>_xlfn.XLOOKUP(C135,Tabla42[ADEP],Tabla42[Sector],"")</f>
        <v>Sector 3</v>
      </c>
    </row>
    <row r="136" spans="1:20" x14ac:dyDescent="0.2">
      <c r="A136" s="18" t="s">
        <v>232</v>
      </c>
      <c r="B136" s="18" t="s">
        <v>18</v>
      </c>
      <c r="C136" s="18" t="s">
        <v>233</v>
      </c>
      <c r="D136" s="18" t="s">
        <v>110</v>
      </c>
      <c r="E136" s="18" t="s">
        <v>3401</v>
      </c>
      <c r="F136" s="19">
        <v>46305.799791666701</v>
      </c>
      <c r="G136" s="18" t="s">
        <v>21</v>
      </c>
      <c r="H136" s="18" t="s">
        <v>3672</v>
      </c>
      <c r="I136" s="18">
        <v>340</v>
      </c>
      <c r="J136" s="18" t="s">
        <v>22</v>
      </c>
      <c r="K136" s="18" t="s">
        <v>23</v>
      </c>
      <c r="L136" s="18">
        <v>567</v>
      </c>
      <c r="M136" s="18" t="s">
        <v>123</v>
      </c>
      <c r="N136" s="19">
        <v>46305.830127314803</v>
      </c>
      <c r="O136" s="18">
        <v>340</v>
      </c>
      <c r="P136" s="18" t="s">
        <v>25</v>
      </c>
      <c r="Q136" s="18">
        <v>40</v>
      </c>
      <c r="R136" s="3" t="str">
        <f>IF(OR(G136="12R",G136="12L"),_xlfn.XLOOKUP(C136,Tabla42[ADEP],Tabla42[SID 12R],""),IF(OR(G136="30L",G136="30R"),_xlfn.XLOOKUP(C136,Tabla42[ADEP],Tabla42[SID 30L],""),""))</f>
        <v>UDGUV</v>
      </c>
      <c r="S136" s="3">
        <f t="shared" si="2"/>
        <v>19</v>
      </c>
      <c r="T136" s="3" t="str">
        <f>_xlfn.XLOOKUP(C136,Tabla42[ADEP],Tabla42[Sector],"")</f>
        <v>Sector 2</v>
      </c>
    </row>
    <row r="137" spans="1:20" x14ac:dyDescent="0.2">
      <c r="A137" s="18" t="s">
        <v>454</v>
      </c>
      <c r="B137" s="18" t="s">
        <v>18</v>
      </c>
      <c r="C137" s="18" t="s">
        <v>242</v>
      </c>
      <c r="D137" s="18" t="s">
        <v>243</v>
      </c>
      <c r="E137" s="18" t="s">
        <v>3673</v>
      </c>
      <c r="F137" s="19">
        <v>46305.801412036999</v>
      </c>
      <c r="G137" s="18" t="s">
        <v>21</v>
      </c>
      <c r="H137" s="18" t="s">
        <v>3674</v>
      </c>
      <c r="I137" s="18">
        <v>370</v>
      </c>
      <c r="J137" s="18" t="s">
        <v>22</v>
      </c>
      <c r="K137" s="18" t="s">
        <v>23</v>
      </c>
      <c r="L137" s="18">
        <v>136</v>
      </c>
      <c r="M137" s="18" t="s">
        <v>612</v>
      </c>
      <c r="N137" s="19">
        <v>46305.810543981497</v>
      </c>
      <c r="O137" s="18">
        <v>227</v>
      </c>
      <c r="P137" s="18" t="s">
        <v>40</v>
      </c>
      <c r="Q137" s="18">
        <v>190</v>
      </c>
      <c r="R137" s="3" t="str">
        <f>IF(OR(G137="12R",G137="12L"),_xlfn.XLOOKUP(C137,Tabla42[ADEP],Tabla42[SID 12R],""),IF(OR(G137="30L",G137="30R"),_xlfn.XLOOKUP(C137,Tabla42[ADEP],Tabla42[SID 30L],""),""))</f>
        <v>NUDAL</v>
      </c>
      <c r="S137" s="3">
        <f t="shared" si="2"/>
        <v>19</v>
      </c>
      <c r="T137" s="3" t="str">
        <f>_xlfn.XLOOKUP(C137,Tabla42[ADEP],Tabla42[Sector],"")</f>
        <v>Sector 3</v>
      </c>
    </row>
    <row r="138" spans="1:20" x14ac:dyDescent="0.2">
      <c r="A138" s="18" t="s">
        <v>248</v>
      </c>
      <c r="B138" s="18" t="s">
        <v>18</v>
      </c>
      <c r="C138" s="18" t="s">
        <v>215</v>
      </c>
      <c r="D138" s="18" t="s">
        <v>117</v>
      </c>
      <c r="E138" s="18" t="s">
        <v>3675</v>
      </c>
      <c r="F138" s="19">
        <v>46305.803124999999</v>
      </c>
      <c r="G138" s="18" t="s">
        <v>21</v>
      </c>
      <c r="H138" s="18" t="s">
        <v>3676</v>
      </c>
      <c r="I138" s="18">
        <v>340</v>
      </c>
      <c r="J138" s="18" t="s">
        <v>22</v>
      </c>
      <c r="K138" s="18" t="s">
        <v>23</v>
      </c>
      <c r="L138" s="18">
        <v>378</v>
      </c>
      <c r="M138" s="18" t="s">
        <v>250</v>
      </c>
      <c r="N138" s="19">
        <v>46305.823900463001</v>
      </c>
      <c r="O138" s="18">
        <v>340</v>
      </c>
      <c r="P138" s="18" t="s">
        <v>25</v>
      </c>
      <c r="Q138" s="18">
        <v>40</v>
      </c>
      <c r="R138" s="3" t="str">
        <f>IF(OR(G138="12R",G138="12L"),_xlfn.XLOOKUP(C138,Tabla42[ADEP],Tabla42[SID 12R],""),IF(OR(G138="30L",G138="30R"),_xlfn.XLOOKUP(C138,Tabla42[ADEP],Tabla42[SID 30L],""),""))</f>
        <v>OMSUK</v>
      </c>
      <c r="S138" s="3">
        <f t="shared" si="2"/>
        <v>19</v>
      </c>
      <c r="T138" s="3" t="str">
        <f>_xlfn.XLOOKUP(C138,Tabla42[ADEP],Tabla42[Sector],"")</f>
        <v>Sector 3</v>
      </c>
    </row>
    <row r="139" spans="1:20" x14ac:dyDescent="0.2">
      <c r="A139" s="18" t="s">
        <v>259</v>
      </c>
      <c r="B139" s="18" t="s">
        <v>18</v>
      </c>
      <c r="C139" s="18" t="s">
        <v>32</v>
      </c>
      <c r="D139" s="18" t="s">
        <v>33</v>
      </c>
      <c r="E139" s="18" t="s">
        <v>754</v>
      </c>
      <c r="F139" s="19">
        <v>46305.804664351897</v>
      </c>
      <c r="G139" s="18" t="s">
        <v>21</v>
      </c>
      <c r="H139" s="18" t="s">
        <v>3677</v>
      </c>
      <c r="I139" s="18">
        <v>320</v>
      </c>
      <c r="J139" s="18" t="s">
        <v>22</v>
      </c>
      <c r="K139" s="18" t="s">
        <v>23</v>
      </c>
      <c r="L139" s="18">
        <v>878</v>
      </c>
      <c r="M139" s="18" t="s">
        <v>35</v>
      </c>
      <c r="N139" s="19">
        <v>46305.852615740703</v>
      </c>
      <c r="O139" s="18">
        <v>320</v>
      </c>
      <c r="P139" s="18" t="s">
        <v>25</v>
      </c>
      <c r="Q139" s="18">
        <v>190</v>
      </c>
      <c r="R139" s="3" t="str">
        <f>IF(OR(G139="12R",G139="12L"),_xlfn.XLOOKUP(C139,Tabla42[ADEP],Tabla42[SID 12R],""),IF(OR(G139="30L",G139="30R"),_xlfn.XLOOKUP(C139,Tabla42[ADEP],Tabla42[SID 30L],""),""))</f>
        <v>UDGUV</v>
      </c>
      <c r="S139" s="3">
        <f t="shared" si="2"/>
        <v>19</v>
      </c>
      <c r="T139" s="3" t="str">
        <f>_xlfn.XLOOKUP(C139,Tabla42[ADEP],Tabla42[Sector],"")</f>
        <v>Sector 2</v>
      </c>
    </row>
    <row r="140" spans="1:20" x14ac:dyDescent="0.2">
      <c r="A140" s="18" t="s">
        <v>600</v>
      </c>
      <c r="B140" s="18" t="s">
        <v>18</v>
      </c>
      <c r="C140" s="18" t="s">
        <v>293</v>
      </c>
      <c r="D140" s="18" t="s">
        <v>20</v>
      </c>
      <c r="E140" s="18" t="s">
        <v>3678</v>
      </c>
      <c r="F140" s="19">
        <v>46305.805682870399</v>
      </c>
      <c r="G140" s="18" t="s">
        <v>21</v>
      </c>
      <c r="H140" s="18" t="s">
        <v>3679</v>
      </c>
      <c r="I140" s="18">
        <v>300</v>
      </c>
      <c r="J140" s="18" t="s">
        <v>22</v>
      </c>
      <c r="K140" s="18" t="s">
        <v>23</v>
      </c>
      <c r="L140" s="18">
        <v>444</v>
      </c>
      <c r="M140" s="18" t="s">
        <v>189</v>
      </c>
      <c r="N140" s="19">
        <v>46305.829525462999</v>
      </c>
      <c r="O140" s="18">
        <v>320</v>
      </c>
      <c r="P140" s="18" t="s">
        <v>25</v>
      </c>
      <c r="Q140" s="18">
        <v>40</v>
      </c>
      <c r="R140" s="3" t="str">
        <f>IF(OR(G140="12R",G140="12L"),_xlfn.XLOOKUP(C140,Tabla42[ADEP],Tabla42[SID 12R],""),IF(OR(G140="30L",G140="30R"),_xlfn.XLOOKUP(C140,Tabla42[ADEP],Tabla42[SID 30L],""),""))</f>
        <v>UDGUV</v>
      </c>
      <c r="S140" s="3">
        <f t="shared" si="2"/>
        <v>19</v>
      </c>
      <c r="T140" s="3" t="str">
        <f>_xlfn.XLOOKUP(C140,Tabla42[ADEP],Tabla42[Sector],"")</f>
        <v>Sector 2</v>
      </c>
    </row>
    <row r="141" spans="1:20" x14ac:dyDescent="0.2">
      <c r="A141" s="18" t="s">
        <v>253</v>
      </c>
      <c r="B141" s="18" t="s">
        <v>18</v>
      </c>
      <c r="C141" s="18" t="s">
        <v>254</v>
      </c>
      <c r="D141" s="18" t="s">
        <v>20</v>
      </c>
      <c r="E141" s="18" t="s">
        <v>3680</v>
      </c>
      <c r="F141" s="19">
        <v>46305.807835648098</v>
      </c>
      <c r="G141" s="18" t="s">
        <v>21</v>
      </c>
      <c r="H141" s="18" t="s">
        <v>3681</v>
      </c>
      <c r="I141" s="18">
        <v>300</v>
      </c>
      <c r="J141" s="18" t="s">
        <v>22</v>
      </c>
      <c r="K141" s="18" t="s">
        <v>23</v>
      </c>
      <c r="L141" s="18">
        <v>883</v>
      </c>
      <c r="M141" s="18" t="s">
        <v>35</v>
      </c>
      <c r="N141" s="19">
        <v>46305.855937499997</v>
      </c>
      <c r="O141" s="18">
        <v>300</v>
      </c>
      <c r="P141" s="18" t="s">
        <v>25</v>
      </c>
      <c r="Q141" s="18">
        <v>190</v>
      </c>
      <c r="R141" s="3" t="str">
        <f>IF(OR(G141="12R",G141="12L"),_xlfn.XLOOKUP(C141,Tabla42[ADEP],Tabla42[SID 12R],""),IF(OR(G141="30L",G141="30R"),_xlfn.XLOOKUP(C141,Tabla42[ADEP],Tabla42[SID 30L],""),""))</f>
        <v>UDGUV</v>
      </c>
      <c r="S141" s="3">
        <f t="shared" si="2"/>
        <v>19</v>
      </c>
      <c r="T141" s="3" t="str">
        <f>_xlfn.XLOOKUP(C141,Tabla42[ADEP],Tabla42[Sector],"")</f>
        <v>Sector 2</v>
      </c>
    </row>
    <row r="142" spans="1:20" x14ac:dyDescent="0.2">
      <c r="A142" s="18" t="s">
        <v>445</v>
      </c>
      <c r="B142" s="18" t="s">
        <v>18</v>
      </c>
      <c r="C142" s="18" t="s">
        <v>263</v>
      </c>
      <c r="D142" s="18" t="s">
        <v>110</v>
      </c>
      <c r="E142" s="18" t="s">
        <v>653</v>
      </c>
      <c r="F142" s="19">
        <v>46305.809212963002</v>
      </c>
      <c r="G142" s="18" t="s">
        <v>21</v>
      </c>
      <c r="H142" s="18" t="s">
        <v>446</v>
      </c>
      <c r="I142" s="18">
        <v>370</v>
      </c>
      <c r="J142" s="18" t="s">
        <v>22</v>
      </c>
      <c r="K142" s="18" t="s">
        <v>23</v>
      </c>
      <c r="L142" s="18">
        <v>136</v>
      </c>
      <c r="M142" s="18" t="s">
        <v>39</v>
      </c>
      <c r="N142" s="19">
        <v>46305.818321759303</v>
      </c>
      <c r="O142" s="18">
        <v>273</v>
      </c>
      <c r="P142" s="18" t="s">
        <v>25</v>
      </c>
      <c r="Q142" s="18">
        <v>190</v>
      </c>
      <c r="R142" s="3" t="str">
        <f>IF(OR(G142="12R",G142="12L"),_xlfn.XLOOKUP(C142,Tabla42[ADEP],Tabla42[SID 12R],""),IF(OR(G142="30L",G142="30R"),_xlfn.XLOOKUP(C142,Tabla42[ADEP],Tabla42[SID 30L],""),""))</f>
        <v>OMSUK</v>
      </c>
      <c r="S142" s="3">
        <f t="shared" si="2"/>
        <v>19</v>
      </c>
      <c r="T142" s="3" t="str">
        <f>_xlfn.XLOOKUP(C142,Tabla42[ADEP],Tabla42[Sector],"")</f>
        <v>Sector 3</v>
      </c>
    </row>
    <row r="143" spans="1:20" x14ac:dyDescent="0.2">
      <c r="A143" s="18" t="s">
        <v>387</v>
      </c>
      <c r="B143" s="18" t="s">
        <v>18</v>
      </c>
      <c r="C143" s="18" t="s">
        <v>388</v>
      </c>
      <c r="D143" s="18" t="s">
        <v>60</v>
      </c>
      <c r="E143" s="18" t="s">
        <v>3682</v>
      </c>
      <c r="F143" s="19">
        <v>46305.810752314799</v>
      </c>
      <c r="G143" s="18" t="s">
        <v>21</v>
      </c>
      <c r="H143" s="18" t="s">
        <v>3683</v>
      </c>
      <c r="I143" s="18">
        <v>320</v>
      </c>
      <c r="J143" s="18" t="s">
        <v>22</v>
      </c>
      <c r="K143" s="18" t="s">
        <v>23</v>
      </c>
      <c r="L143" s="18">
        <v>542</v>
      </c>
      <c r="M143" s="18" t="s">
        <v>123</v>
      </c>
      <c r="N143" s="19">
        <v>46305.840486111098</v>
      </c>
      <c r="O143" s="18">
        <v>320</v>
      </c>
      <c r="P143" s="18" t="s">
        <v>25</v>
      </c>
      <c r="Q143" s="18">
        <v>40</v>
      </c>
      <c r="R143" s="3" t="str">
        <f>IF(OR(G143="12R",G143="12L"),_xlfn.XLOOKUP(C143,Tabla42[ADEP],Tabla42[SID 12R],""),IF(OR(G143="30L",G143="30R"),_xlfn.XLOOKUP(C143,Tabla42[ADEP],Tabla42[SID 30L],""),""))</f>
        <v>ENEBA</v>
      </c>
      <c r="S143" s="3">
        <f t="shared" si="2"/>
        <v>19</v>
      </c>
      <c r="T143" s="3" t="str">
        <f>_xlfn.XLOOKUP(C143,Tabla42[ADEP],Tabla42[Sector],"")</f>
        <v>Sector 3</v>
      </c>
    </row>
    <row r="144" spans="1:20" x14ac:dyDescent="0.2">
      <c r="A144" s="18" t="s">
        <v>3684</v>
      </c>
      <c r="B144" s="18" t="s">
        <v>18</v>
      </c>
      <c r="C144" s="18" t="s">
        <v>184</v>
      </c>
      <c r="D144" s="18" t="s">
        <v>60</v>
      </c>
      <c r="E144" s="18" t="s">
        <v>3387</v>
      </c>
      <c r="F144" s="19">
        <v>46305.812268518501</v>
      </c>
      <c r="G144" s="18" t="s">
        <v>21</v>
      </c>
      <c r="H144" s="18" t="s">
        <v>3685</v>
      </c>
      <c r="I144" s="18">
        <v>330</v>
      </c>
      <c r="J144" s="18" t="s">
        <v>22</v>
      </c>
      <c r="K144" s="18" t="s">
        <v>23</v>
      </c>
      <c r="L144" s="18">
        <v>356</v>
      </c>
      <c r="M144" s="18" t="s">
        <v>30</v>
      </c>
      <c r="N144" s="19">
        <v>46305.833715277797</v>
      </c>
      <c r="O144" s="18">
        <v>330</v>
      </c>
      <c r="P144" s="18" t="s">
        <v>25</v>
      </c>
      <c r="Q144" s="18">
        <v>40</v>
      </c>
      <c r="R144" s="3" t="str">
        <f>IF(OR(G144="12R",G144="12L"),_xlfn.XLOOKUP(C144,Tabla42[ADEP],Tabla42[SID 12R],""),IF(OR(G144="30L",G144="30R"),_xlfn.XLOOKUP(C144,Tabla42[ADEP],Tabla42[SID 30L],""),""))</f>
        <v>OMSUK</v>
      </c>
      <c r="S144" s="3">
        <f t="shared" si="2"/>
        <v>19</v>
      </c>
      <c r="T144" s="3" t="str">
        <f>_xlfn.XLOOKUP(C144,Tabla42[ADEP],Tabla42[Sector],"")</f>
        <v>Sector 3</v>
      </c>
    </row>
    <row r="145" spans="1:20" x14ac:dyDescent="0.2">
      <c r="A145" s="18" t="s">
        <v>261</v>
      </c>
      <c r="B145" s="18" t="s">
        <v>18</v>
      </c>
      <c r="C145" s="18" t="s">
        <v>158</v>
      </c>
      <c r="D145" s="18" t="s">
        <v>33</v>
      </c>
      <c r="E145" s="18" t="s">
        <v>3686</v>
      </c>
      <c r="F145" s="19">
        <v>46305.813796296301</v>
      </c>
      <c r="G145" s="18" t="s">
        <v>21</v>
      </c>
      <c r="H145" s="18" t="s">
        <v>3687</v>
      </c>
      <c r="I145" s="18">
        <v>330</v>
      </c>
      <c r="J145" s="18" t="s">
        <v>22</v>
      </c>
      <c r="K145" s="18" t="s">
        <v>23</v>
      </c>
      <c r="L145" s="18">
        <v>136</v>
      </c>
      <c r="M145" s="18" t="s">
        <v>39</v>
      </c>
      <c r="N145" s="19">
        <v>46305.823692129597</v>
      </c>
      <c r="O145" s="18">
        <v>237</v>
      </c>
      <c r="P145" s="18" t="s">
        <v>25</v>
      </c>
      <c r="Q145" s="18">
        <v>190</v>
      </c>
      <c r="R145" s="3" t="str">
        <f>IF(OR(G145="12R",G145="12L"),_xlfn.XLOOKUP(C145,Tabla42[ADEP],Tabla42[SID 12R],""),IF(OR(G145="30L",G145="30R"),_xlfn.XLOOKUP(C145,Tabla42[ADEP],Tabla42[SID 30L],""),""))</f>
        <v>OMSUK</v>
      </c>
      <c r="S145" s="3">
        <f t="shared" si="2"/>
        <v>19</v>
      </c>
      <c r="T145" s="3" t="str">
        <f>_xlfn.XLOOKUP(C145,Tabla42[ADEP],Tabla42[Sector],"")</f>
        <v>Sector 3</v>
      </c>
    </row>
    <row r="146" spans="1:20" x14ac:dyDescent="0.2">
      <c r="A146" s="18" t="s">
        <v>256</v>
      </c>
      <c r="B146" s="18" t="s">
        <v>18</v>
      </c>
      <c r="C146" s="18" t="s">
        <v>257</v>
      </c>
      <c r="D146" s="18" t="s">
        <v>117</v>
      </c>
      <c r="E146" s="18" t="s">
        <v>3688</v>
      </c>
      <c r="F146" s="19">
        <v>46305.819120370397</v>
      </c>
      <c r="G146" s="18" t="s">
        <v>21</v>
      </c>
      <c r="H146" s="18" t="s">
        <v>3689</v>
      </c>
      <c r="I146" s="18">
        <v>320</v>
      </c>
      <c r="J146" s="18" t="s">
        <v>22</v>
      </c>
      <c r="K146" s="18" t="s">
        <v>23</v>
      </c>
      <c r="L146" s="18">
        <v>871</v>
      </c>
      <c r="M146" s="18" t="s">
        <v>35</v>
      </c>
      <c r="N146" s="19">
        <v>46305.865983796299</v>
      </c>
      <c r="O146" s="18">
        <v>320</v>
      </c>
      <c r="P146" s="18" t="s">
        <v>25</v>
      </c>
      <c r="Q146" s="18">
        <v>190</v>
      </c>
      <c r="R146" s="3" t="str">
        <f>IF(OR(G146="12R",G146="12L"),_xlfn.XLOOKUP(C146,Tabla42[ADEP],Tabla42[SID 12R],""),IF(OR(G146="30L",G146="30R"),_xlfn.XLOOKUP(C146,Tabla42[ADEP],Tabla42[SID 30L],""),""))</f>
        <v>UDGUV</v>
      </c>
      <c r="S146" s="3">
        <f t="shared" si="2"/>
        <v>19</v>
      </c>
      <c r="T146" s="3" t="str">
        <f>_xlfn.XLOOKUP(C146,Tabla42[ADEP],Tabla42[Sector],"")</f>
        <v>Sector 2</v>
      </c>
    </row>
    <row r="147" spans="1:20" x14ac:dyDescent="0.2">
      <c r="A147" s="18" t="s">
        <v>268</v>
      </c>
      <c r="B147" s="18" t="s">
        <v>18</v>
      </c>
      <c r="C147" s="18" t="s">
        <v>42</v>
      </c>
      <c r="D147" s="18" t="s">
        <v>43</v>
      </c>
      <c r="E147" s="18" t="s">
        <v>182</v>
      </c>
      <c r="F147" s="19">
        <v>46305.822129629603</v>
      </c>
      <c r="G147" s="18" t="s">
        <v>21</v>
      </c>
      <c r="H147" s="18" t="s">
        <v>3690</v>
      </c>
      <c r="I147" s="18">
        <v>340</v>
      </c>
      <c r="J147" s="18" t="s">
        <v>22</v>
      </c>
      <c r="K147" s="18" t="s">
        <v>23</v>
      </c>
      <c r="L147" s="18">
        <v>860</v>
      </c>
      <c r="M147" s="18" t="s">
        <v>45</v>
      </c>
      <c r="N147" s="19">
        <v>46305.868587962999</v>
      </c>
      <c r="O147" s="18">
        <v>340</v>
      </c>
      <c r="P147" s="18" t="s">
        <v>25</v>
      </c>
      <c r="Q147" s="18">
        <v>190</v>
      </c>
      <c r="R147" s="3" t="str">
        <f>IF(OR(G147="12R",G147="12L"),_xlfn.XLOOKUP(C147,Tabla42[ADEP],Tabla42[SID 12R],""),IF(OR(G147="30L",G147="30R"),_xlfn.XLOOKUP(C147,Tabla42[ADEP],Tabla42[SID 30L],""),""))</f>
        <v>UDGUV</v>
      </c>
      <c r="S147" s="3">
        <f t="shared" si="2"/>
        <v>19</v>
      </c>
      <c r="T147" s="3" t="str">
        <f>_xlfn.XLOOKUP(C147,Tabla42[ADEP],Tabla42[Sector],"")</f>
        <v>Sector 2</v>
      </c>
    </row>
    <row r="148" spans="1:20" x14ac:dyDescent="0.2">
      <c r="A148" s="18" t="s">
        <v>595</v>
      </c>
      <c r="B148" s="18" t="s">
        <v>18</v>
      </c>
      <c r="C148" s="18" t="s">
        <v>596</v>
      </c>
      <c r="D148" s="18" t="s">
        <v>28</v>
      </c>
      <c r="E148" s="18" t="s">
        <v>3691</v>
      </c>
      <c r="F148" s="19">
        <v>46305.823460648098</v>
      </c>
      <c r="G148" s="18" t="s">
        <v>21</v>
      </c>
      <c r="H148" s="18" t="s">
        <v>3692</v>
      </c>
      <c r="I148" s="18">
        <v>360</v>
      </c>
      <c r="J148" s="18" t="s">
        <v>22</v>
      </c>
      <c r="K148" s="18" t="s">
        <v>23</v>
      </c>
      <c r="L148" s="18">
        <v>425</v>
      </c>
      <c r="M148" s="18" t="s">
        <v>189</v>
      </c>
      <c r="N148" s="19">
        <v>46305.848229166702</v>
      </c>
      <c r="O148" s="18">
        <v>360</v>
      </c>
      <c r="P148" s="18" t="s">
        <v>25</v>
      </c>
      <c r="Q148" s="18">
        <v>40</v>
      </c>
      <c r="R148" s="3" t="str">
        <f>IF(OR(G148="12R",G148="12L"),_xlfn.XLOOKUP(C148,Tabla42[ADEP],Tabla42[SID 12R],""),IF(OR(G148="30L",G148="30R"),_xlfn.XLOOKUP(C148,Tabla42[ADEP],Tabla42[SID 30L],""),""))</f>
        <v>OMSUK</v>
      </c>
      <c r="S148" s="3">
        <f t="shared" si="2"/>
        <v>19</v>
      </c>
      <c r="T148" s="3" t="str">
        <f>_xlfn.XLOOKUP(C148,Tabla42[ADEP],Tabla42[Sector],"")</f>
        <v>Sector 3</v>
      </c>
    </row>
    <row r="149" spans="1:20" x14ac:dyDescent="0.2">
      <c r="A149" s="18" t="s">
        <v>1706</v>
      </c>
      <c r="B149" s="18" t="s">
        <v>18</v>
      </c>
      <c r="C149" s="18" t="s">
        <v>293</v>
      </c>
      <c r="D149" s="18" t="s">
        <v>122</v>
      </c>
      <c r="E149" s="18" t="s">
        <v>2246</v>
      </c>
      <c r="F149" s="19">
        <v>46305.825798611098</v>
      </c>
      <c r="G149" s="18" t="s">
        <v>21</v>
      </c>
      <c r="H149" s="18" t="s">
        <v>3693</v>
      </c>
      <c r="I149" s="18">
        <v>340</v>
      </c>
      <c r="J149" s="18" t="s">
        <v>22</v>
      </c>
      <c r="K149" s="18" t="s">
        <v>23</v>
      </c>
      <c r="L149" s="18">
        <v>429</v>
      </c>
      <c r="M149" s="18" t="s">
        <v>189</v>
      </c>
      <c r="N149" s="19">
        <v>46305.849039351902</v>
      </c>
      <c r="O149" s="18">
        <v>340</v>
      </c>
      <c r="P149" s="18" t="s">
        <v>25</v>
      </c>
      <c r="Q149" s="18">
        <v>40</v>
      </c>
      <c r="R149" s="3" t="str">
        <f>IF(OR(G149="12R",G149="12L"),_xlfn.XLOOKUP(C149,Tabla42[ADEP],Tabla42[SID 12R],""),IF(OR(G149="30L",G149="30R"),_xlfn.XLOOKUP(C149,Tabla42[ADEP],Tabla42[SID 30L],""),""))</f>
        <v>UDGUV</v>
      </c>
      <c r="S149" s="3">
        <f t="shared" si="2"/>
        <v>19</v>
      </c>
      <c r="T149" s="3" t="str">
        <f>_xlfn.XLOOKUP(C149,Tabla42[ADEP],Tabla42[Sector],"")</f>
        <v>Sector 2</v>
      </c>
    </row>
    <row r="150" spans="1:20" x14ac:dyDescent="0.2">
      <c r="A150" s="18" t="s">
        <v>266</v>
      </c>
      <c r="B150" s="18" t="s">
        <v>18</v>
      </c>
      <c r="C150" s="18" t="s">
        <v>184</v>
      </c>
      <c r="D150" s="18" t="s">
        <v>60</v>
      </c>
      <c r="E150" s="18" t="s">
        <v>3694</v>
      </c>
      <c r="F150" s="19">
        <v>46305.827326388899</v>
      </c>
      <c r="G150" s="18" t="s">
        <v>21</v>
      </c>
      <c r="H150" s="18" t="s">
        <v>3695</v>
      </c>
      <c r="I150" s="18">
        <v>340</v>
      </c>
      <c r="J150" s="18" t="s">
        <v>22</v>
      </c>
      <c r="K150" s="18" t="s">
        <v>23</v>
      </c>
      <c r="L150" s="18">
        <v>393</v>
      </c>
      <c r="M150" s="18" t="s">
        <v>3696</v>
      </c>
      <c r="N150" s="19">
        <v>46305.848773148202</v>
      </c>
      <c r="O150" s="18">
        <v>340</v>
      </c>
      <c r="P150" s="18" t="s">
        <v>25</v>
      </c>
      <c r="Q150" s="18">
        <v>40</v>
      </c>
      <c r="R150" s="3" t="str">
        <f>IF(OR(G150="12R",G150="12L"),_xlfn.XLOOKUP(C150,Tabla42[ADEP],Tabla42[SID 12R],""),IF(OR(G150="30L",G150="30R"),_xlfn.XLOOKUP(C150,Tabla42[ADEP],Tabla42[SID 30L],""),""))</f>
        <v>OMSUK</v>
      </c>
      <c r="S150" s="3">
        <f t="shared" si="2"/>
        <v>19</v>
      </c>
      <c r="T150" s="3" t="str">
        <f>_xlfn.XLOOKUP(C150,Tabla42[ADEP],Tabla42[Sector],"")</f>
        <v>Sector 3</v>
      </c>
    </row>
    <row r="151" spans="1:20" x14ac:dyDescent="0.2">
      <c r="A151" s="18" t="s">
        <v>272</v>
      </c>
      <c r="B151" s="18" t="s">
        <v>18</v>
      </c>
      <c r="C151" s="18" t="s">
        <v>42</v>
      </c>
      <c r="D151" s="18" t="s">
        <v>20</v>
      </c>
      <c r="E151" s="18" t="s">
        <v>562</v>
      </c>
      <c r="F151" s="19">
        <v>46305.828854166699</v>
      </c>
      <c r="G151" s="18" t="s">
        <v>21</v>
      </c>
      <c r="H151" s="18" t="s">
        <v>3697</v>
      </c>
      <c r="I151" s="18">
        <v>340</v>
      </c>
      <c r="J151" s="18" t="s">
        <v>22</v>
      </c>
      <c r="K151" s="18" t="s">
        <v>23</v>
      </c>
      <c r="L151" s="18">
        <v>867</v>
      </c>
      <c r="M151" s="18" t="s">
        <v>45</v>
      </c>
      <c r="N151" s="19">
        <v>46305.875648148103</v>
      </c>
      <c r="O151" s="18">
        <v>340</v>
      </c>
      <c r="P151" s="18" t="s">
        <v>25</v>
      </c>
      <c r="Q151" s="18">
        <v>190</v>
      </c>
      <c r="R151" s="3" t="str">
        <f>IF(OR(G151="12R",G151="12L"),_xlfn.XLOOKUP(C151,Tabla42[ADEP],Tabla42[SID 12R],""),IF(OR(G151="30L",G151="30R"),_xlfn.XLOOKUP(C151,Tabla42[ADEP],Tabla42[SID 30L],""),""))</f>
        <v>UDGUV</v>
      </c>
      <c r="S151" s="3">
        <f t="shared" si="2"/>
        <v>19</v>
      </c>
      <c r="T151" s="3" t="str">
        <f>_xlfn.XLOOKUP(C151,Tabla42[ADEP],Tabla42[Sector],"")</f>
        <v>Sector 2</v>
      </c>
    </row>
    <row r="152" spans="1:20" x14ac:dyDescent="0.2">
      <c r="A152" s="18" t="s">
        <v>597</v>
      </c>
      <c r="B152" s="18" t="s">
        <v>18</v>
      </c>
      <c r="C152" s="18" t="s">
        <v>598</v>
      </c>
      <c r="D152" s="18" t="s">
        <v>28</v>
      </c>
      <c r="E152" s="18" t="s">
        <v>3698</v>
      </c>
      <c r="F152" s="19">
        <v>46305.829965277801</v>
      </c>
      <c r="G152" s="18" t="s">
        <v>21</v>
      </c>
      <c r="H152" s="18" t="s">
        <v>3699</v>
      </c>
      <c r="I152" s="18">
        <v>340</v>
      </c>
      <c r="J152" s="18" t="s">
        <v>22</v>
      </c>
      <c r="K152" s="18" t="s">
        <v>23</v>
      </c>
      <c r="L152" s="18">
        <v>431</v>
      </c>
      <c r="M152" s="18" t="s">
        <v>189</v>
      </c>
      <c r="N152" s="19">
        <v>46305.853101851899</v>
      </c>
      <c r="O152" s="18">
        <v>320</v>
      </c>
      <c r="P152" s="18" t="s">
        <v>25</v>
      </c>
      <c r="Q152" s="18">
        <v>40</v>
      </c>
      <c r="R152" s="3" t="str">
        <f>IF(OR(G152="12R",G152="12L"),_xlfn.XLOOKUP(C152,Tabla42[ADEP],Tabla42[SID 12R],""),IF(OR(G152="30L",G152="30R"),_xlfn.XLOOKUP(C152,Tabla42[ADEP],Tabla42[SID 30L],""),""))</f>
        <v>OMSUK</v>
      </c>
      <c r="S152" s="3">
        <f t="shared" si="2"/>
        <v>19</v>
      </c>
      <c r="T152" s="3" t="str">
        <f>_xlfn.XLOOKUP(C152,Tabla42[ADEP],Tabla42[Sector],"")</f>
        <v>Sector 3</v>
      </c>
    </row>
    <row r="153" spans="1:20" x14ac:dyDescent="0.2">
      <c r="A153" s="18" t="s">
        <v>271</v>
      </c>
      <c r="B153" s="18" t="s">
        <v>18</v>
      </c>
      <c r="C153" s="18" t="s">
        <v>116</v>
      </c>
      <c r="D153" s="18" t="s">
        <v>43</v>
      </c>
      <c r="E153" s="18" t="s">
        <v>979</v>
      </c>
      <c r="F153" s="19">
        <v>46305.831412036998</v>
      </c>
      <c r="G153" s="18" t="s">
        <v>21</v>
      </c>
      <c r="H153" s="18" t="s">
        <v>3700</v>
      </c>
      <c r="I153" s="18">
        <v>340</v>
      </c>
      <c r="J153" s="18" t="s">
        <v>22</v>
      </c>
      <c r="K153" s="18" t="s">
        <v>23</v>
      </c>
      <c r="L153" s="18">
        <v>534</v>
      </c>
      <c r="M153" s="18" t="s">
        <v>123</v>
      </c>
      <c r="N153" s="19">
        <v>46305.860312500001</v>
      </c>
      <c r="O153" s="18">
        <v>321</v>
      </c>
      <c r="P153" s="18" t="s">
        <v>25</v>
      </c>
      <c r="Q153" s="18">
        <v>40</v>
      </c>
      <c r="R153" s="3" t="str">
        <f>IF(OR(G153="12R",G153="12L"),_xlfn.XLOOKUP(C153,Tabla42[ADEP],Tabla42[SID 12R],""),IF(OR(G153="30L",G153="30R"),_xlfn.XLOOKUP(C153,Tabla42[ADEP],Tabla42[SID 30L],""),""))</f>
        <v>ENEBA</v>
      </c>
      <c r="S153" s="3">
        <f t="shared" si="2"/>
        <v>19</v>
      </c>
      <c r="T153" s="3" t="str">
        <f>_xlfn.XLOOKUP(C153,Tabla42[ADEP],Tabla42[Sector],"")</f>
        <v>Sector 3</v>
      </c>
    </row>
    <row r="154" spans="1:20" x14ac:dyDescent="0.2">
      <c r="A154" s="18" t="s">
        <v>278</v>
      </c>
      <c r="B154" s="18" t="s">
        <v>18</v>
      </c>
      <c r="C154" s="18" t="s">
        <v>265</v>
      </c>
      <c r="D154" s="18" t="s">
        <v>53</v>
      </c>
      <c r="E154" s="18" t="s">
        <v>325</v>
      </c>
      <c r="F154" s="19">
        <v>46305.832407407397</v>
      </c>
      <c r="G154" s="18" t="s">
        <v>21</v>
      </c>
      <c r="H154" s="18" t="s">
        <v>3701</v>
      </c>
      <c r="I154" s="18">
        <v>380</v>
      </c>
      <c r="J154" s="18" t="s">
        <v>22</v>
      </c>
      <c r="K154" s="18" t="s">
        <v>23</v>
      </c>
      <c r="L154" s="18">
        <v>881</v>
      </c>
      <c r="M154" s="18" t="s">
        <v>751</v>
      </c>
      <c r="N154" s="19">
        <v>46305.881273148101</v>
      </c>
      <c r="O154" s="18">
        <v>380</v>
      </c>
      <c r="P154" s="18" t="s">
        <v>25</v>
      </c>
      <c r="Q154" s="18">
        <v>190</v>
      </c>
      <c r="R154" s="3" t="str">
        <f>IF(OR(G154="12R",G154="12L"),_xlfn.XLOOKUP(C154,Tabla42[ADEP],Tabla42[SID 12R],""),IF(OR(G154="30L",G154="30R"),_xlfn.XLOOKUP(C154,Tabla42[ADEP],Tabla42[SID 30L],""),""))</f>
        <v>UDGUV</v>
      </c>
      <c r="S154" s="3">
        <f t="shared" si="2"/>
        <v>19</v>
      </c>
      <c r="T154" s="3" t="str">
        <f>_xlfn.XLOOKUP(C154,Tabla42[ADEP],Tabla42[Sector],"")</f>
        <v>Sector 2</v>
      </c>
    </row>
    <row r="155" spans="1:20" x14ac:dyDescent="0.2">
      <c r="A155" s="18" t="s">
        <v>744</v>
      </c>
      <c r="B155" s="18" t="s">
        <v>18</v>
      </c>
      <c r="C155" s="18" t="s">
        <v>188</v>
      </c>
      <c r="D155" s="18" t="s">
        <v>122</v>
      </c>
      <c r="E155" s="18" t="s">
        <v>3702</v>
      </c>
      <c r="F155" s="19">
        <v>46305.834131944401</v>
      </c>
      <c r="G155" s="18" t="s">
        <v>21</v>
      </c>
      <c r="H155" s="18" t="s">
        <v>3703</v>
      </c>
      <c r="I155" s="18">
        <v>360</v>
      </c>
      <c r="J155" s="18" t="s">
        <v>22</v>
      </c>
      <c r="K155" s="18" t="s">
        <v>23</v>
      </c>
      <c r="L155" s="18">
        <v>428</v>
      </c>
      <c r="M155" s="18" t="s">
        <v>189</v>
      </c>
      <c r="N155" s="19">
        <v>46305.857824074097</v>
      </c>
      <c r="O155" s="18">
        <v>360</v>
      </c>
      <c r="P155" s="18" t="s">
        <v>25</v>
      </c>
      <c r="Q155" s="18">
        <v>40</v>
      </c>
      <c r="R155" s="3" t="str">
        <f>IF(OR(G155="12R",G155="12L"),_xlfn.XLOOKUP(C155,Tabla42[ADEP],Tabla42[SID 12R],""),IF(OR(G155="30L",G155="30R"),_xlfn.XLOOKUP(C155,Tabla42[ADEP],Tabla42[SID 30L],""),""))</f>
        <v>ENEBA</v>
      </c>
      <c r="S155" s="3">
        <f t="shared" si="2"/>
        <v>20</v>
      </c>
      <c r="T155" s="3" t="str">
        <f>_xlfn.XLOOKUP(C155,Tabla42[ADEP],Tabla42[Sector],"")</f>
        <v>Sector 3</v>
      </c>
    </row>
    <row r="156" spans="1:20" x14ac:dyDescent="0.2">
      <c r="A156" s="18" t="s">
        <v>251</v>
      </c>
      <c r="B156" s="18" t="s">
        <v>18</v>
      </c>
      <c r="C156" s="18" t="s">
        <v>126</v>
      </c>
      <c r="D156" s="18" t="s">
        <v>60</v>
      </c>
      <c r="E156" s="18" t="s">
        <v>3704</v>
      </c>
      <c r="F156" s="19">
        <v>46305.835567129601</v>
      </c>
      <c r="G156" s="18" t="s">
        <v>21</v>
      </c>
      <c r="H156" s="18" t="s">
        <v>3705</v>
      </c>
      <c r="I156" s="18">
        <v>340</v>
      </c>
      <c r="J156" s="18" t="s">
        <v>22</v>
      </c>
      <c r="K156" s="18" t="s">
        <v>23</v>
      </c>
      <c r="L156" s="18">
        <v>438</v>
      </c>
      <c r="M156" s="18" t="s">
        <v>189</v>
      </c>
      <c r="N156" s="19">
        <v>46305.8600462963</v>
      </c>
      <c r="O156" s="18">
        <v>340</v>
      </c>
      <c r="P156" s="18" t="s">
        <v>25</v>
      </c>
      <c r="Q156" s="18">
        <v>40</v>
      </c>
      <c r="R156" s="3" t="str">
        <f>IF(OR(G156="12R",G156="12L"),_xlfn.XLOOKUP(C156,Tabla42[ADEP],Tabla42[SID 12R],""),IF(OR(G156="30L",G156="30R"),_xlfn.XLOOKUP(C156,Tabla42[ADEP],Tabla42[SID 30L],""),""))</f>
        <v>ENEBA</v>
      </c>
      <c r="S156" s="3">
        <f t="shared" si="2"/>
        <v>20</v>
      </c>
      <c r="T156" s="3" t="str">
        <f>_xlfn.XLOOKUP(C156,Tabla42[ADEP],Tabla42[Sector],"")</f>
        <v>Sector 3</v>
      </c>
    </row>
    <row r="157" spans="1:20" x14ac:dyDescent="0.2">
      <c r="A157" s="18" t="s">
        <v>274</v>
      </c>
      <c r="B157" s="18" t="s">
        <v>18</v>
      </c>
      <c r="C157" s="18" t="s">
        <v>96</v>
      </c>
      <c r="D157" s="18" t="s">
        <v>53</v>
      </c>
      <c r="E157" s="18" t="s">
        <v>3124</v>
      </c>
      <c r="F157" s="19">
        <v>46305.839155092603</v>
      </c>
      <c r="G157" s="18" t="s">
        <v>21</v>
      </c>
      <c r="H157" s="18" t="s">
        <v>3706</v>
      </c>
      <c r="I157" s="18">
        <v>380</v>
      </c>
      <c r="J157" s="18" t="s">
        <v>22</v>
      </c>
      <c r="K157" s="18" t="s">
        <v>23</v>
      </c>
      <c r="L157" s="18">
        <v>858</v>
      </c>
      <c r="M157" s="18" t="s">
        <v>45</v>
      </c>
      <c r="N157" s="19">
        <v>46305.886273148099</v>
      </c>
      <c r="O157" s="18">
        <v>380</v>
      </c>
      <c r="P157" s="18" t="s">
        <v>25</v>
      </c>
      <c r="Q157" s="18">
        <v>190</v>
      </c>
      <c r="R157" s="3" t="str">
        <f>IF(OR(G157="12R",G157="12L"),_xlfn.XLOOKUP(C157,Tabla42[ADEP],Tabla42[SID 12R],""),IF(OR(G157="30L",G157="30R"),_xlfn.XLOOKUP(C157,Tabla42[ADEP],Tabla42[SID 30L],""),""))</f>
        <v>UDGUV</v>
      </c>
      <c r="S157" s="3">
        <f t="shared" si="2"/>
        <v>20</v>
      </c>
      <c r="T157" s="3" t="str">
        <f>_xlfn.XLOOKUP(C157,Tabla42[ADEP],Tabla42[Sector],"")</f>
        <v>Sector 2</v>
      </c>
    </row>
    <row r="158" spans="1:20" x14ac:dyDescent="0.2">
      <c r="A158" s="18" t="s">
        <v>177</v>
      </c>
      <c r="B158" s="18" t="s">
        <v>18</v>
      </c>
      <c r="C158" s="18" t="s">
        <v>109</v>
      </c>
      <c r="D158" s="18" t="s">
        <v>122</v>
      </c>
      <c r="E158" s="18" t="s">
        <v>576</v>
      </c>
      <c r="F158" s="19">
        <v>46305.839918981503</v>
      </c>
      <c r="G158" s="18" t="s">
        <v>21</v>
      </c>
      <c r="H158" s="18" t="s">
        <v>3707</v>
      </c>
      <c r="I158" s="18">
        <v>350</v>
      </c>
      <c r="J158" s="18" t="s">
        <v>22</v>
      </c>
      <c r="K158" s="18" t="s">
        <v>23</v>
      </c>
      <c r="L158" s="18">
        <v>150</v>
      </c>
      <c r="M158" s="18" t="s">
        <v>111</v>
      </c>
      <c r="N158" s="19">
        <v>46305.849618055603</v>
      </c>
      <c r="O158" s="18">
        <v>262</v>
      </c>
      <c r="P158" s="18" t="s">
        <v>25</v>
      </c>
      <c r="Q158" s="18">
        <v>190</v>
      </c>
      <c r="R158" s="3" t="str">
        <f>IF(OR(G158="12R",G158="12L"),_xlfn.XLOOKUP(C158,Tabla42[ADEP],Tabla42[SID 12R],""),IF(OR(G158="30L",G158="30R"),_xlfn.XLOOKUP(C158,Tabla42[ADEP],Tabla42[SID 30L],""),""))</f>
        <v>TAKUX</v>
      </c>
      <c r="S158" s="3">
        <f t="shared" si="2"/>
        <v>20</v>
      </c>
      <c r="T158" s="3" t="str">
        <f>_xlfn.XLOOKUP(C158,Tabla42[ADEP],Tabla42[Sector],"")</f>
        <v>Sector 7</v>
      </c>
    </row>
    <row r="159" spans="1:20" x14ac:dyDescent="0.2">
      <c r="A159" s="18" t="s">
        <v>745</v>
      </c>
      <c r="B159" s="18" t="s">
        <v>18</v>
      </c>
      <c r="C159" s="18" t="s">
        <v>121</v>
      </c>
      <c r="D159" s="18" t="s">
        <v>60</v>
      </c>
      <c r="E159" s="18" t="s">
        <v>1736</v>
      </c>
      <c r="F159" s="19">
        <v>46305.841296296298</v>
      </c>
      <c r="G159" s="18" t="s">
        <v>21</v>
      </c>
      <c r="H159" s="18" t="s">
        <v>3708</v>
      </c>
      <c r="I159" s="18">
        <v>340</v>
      </c>
      <c r="J159" s="18" t="s">
        <v>22</v>
      </c>
      <c r="K159" s="18" t="s">
        <v>23</v>
      </c>
      <c r="L159" s="18">
        <v>528</v>
      </c>
      <c r="M159" s="18" t="s">
        <v>123</v>
      </c>
      <c r="N159" s="19">
        <v>46305.8698842593</v>
      </c>
      <c r="O159" s="18">
        <v>340</v>
      </c>
      <c r="P159" s="18" t="s">
        <v>25</v>
      </c>
      <c r="Q159" s="18">
        <v>40</v>
      </c>
      <c r="R159" s="3" t="str">
        <f>IF(OR(G159="12R",G159="12L"),_xlfn.XLOOKUP(C159,Tabla42[ADEP],Tabla42[SID 12R],""),IF(OR(G159="30L",G159="30R"),_xlfn.XLOOKUP(C159,Tabla42[ADEP],Tabla42[SID 30L],""),""))</f>
        <v>ENEBA</v>
      </c>
      <c r="S159" s="3">
        <f t="shared" si="2"/>
        <v>20</v>
      </c>
      <c r="T159" s="3" t="str">
        <f>_xlfn.XLOOKUP(C159,Tabla42[ADEP],Tabla42[Sector],"")</f>
        <v>Sector 3</v>
      </c>
    </row>
    <row r="160" spans="1:20" x14ac:dyDescent="0.2">
      <c r="A160" s="18" t="s">
        <v>460</v>
      </c>
      <c r="B160" s="18" t="s">
        <v>18</v>
      </c>
      <c r="C160" s="18" t="s">
        <v>126</v>
      </c>
      <c r="D160" s="18" t="s">
        <v>60</v>
      </c>
      <c r="E160" s="18" t="s">
        <v>3709</v>
      </c>
      <c r="F160" s="19">
        <v>46305.842615740701</v>
      </c>
      <c r="G160" s="18" t="s">
        <v>21</v>
      </c>
      <c r="H160" s="18" t="s">
        <v>3710</v>
      </c>
      <c r="I160" s="18">
        <v>340</v>
      </c>
      <c r="J160" s="18" t="s">
        <v>22</v>
      </c>
      <c r="K160" s="18" t="s">
        <v>23</v>
      </c>
      <c r="L160" s="18">
        <v>448</v>
      </c>
      <c r="M160" s="18" t="s">
        <v>189</v>
      </c>
      <c r="N160" s="19">
        <v>46305.867002314801</v>
      </c>
      <c r="O160" s="18">
        <v>340</v>
      </c>
      <c r="P160" s="18" t="s">
        <v>25</v>
      </c>
      <c r="Q160" s="18">
        <v>40</v>
      </c>
      <c r="R160" s="3" t="str">
        <f>IF(OR(G160="12R",G160="12L"),_xlfn.XLOOKUP(C160,Tabla42[ADEP],Tabla42[SID 12R],""),IF(OR(G160="30L",G160="30R"),_xlfn.XLOOKUP(C160,Tabla42[ADEP],Tabla42[SID 30L],""),""))</f>
        <v>ENEBA</v>
      </c>
      <c r="S160" s="3">
        <f t="shared" si="2"/>
        <v>20</v>
      </c>
      <c r="T160" s="3" t="str">
        <f>_xlfn.XLOOKUP(C160,Tabla42[ADEP],Tabla42[Sector],"")</f>
        <v>Sector 3</v>
      </c>
    </row>
    <row r="161" spans="1:20" x14ac:dyDescent="0.2">
      <c r="A161" s="18" t="s">
        <v>604</v>
      </c>
      <c r="B161" s="18" t="s">
        <v>18</v>
      </c>
      <c r="C161" s="18" t="s">
        <v>403</v>
      </c>
      <c r="D161" s="18" t="s">
        <v>340</v>
      </c>
      <c r="E161" s="18" t="s">
        <v>702</v>
      </c>
      <c r="F161" s="19">
        <v>46305.843958333302</v>
      </c>
      <c r="G161" s="18" t="s">
        <v>21</v>
      </c>
      <c r="H161" s="18" t="s">
        <v>3711</v>
      </c>
      <c r="I161" s="18">
        <v>390</v>
      </c>
      <c r="J161" s="18" t="s">
        <v>22</v>
      </c>
      <c r="K161" s="18" t="s">
        <v>23</v>
      </c>
      <c r="L161" s="18">
        <v>136</v>
      </c>
      <c r="M161" s="18" t="s">
        <v>2393</v>
      </c>
      <c r="N161" s="19">
        <v>46305.852291666699</v>
      </c>
      <c r="O161" s="18">
        <v>234</v>
      </c>
      <c r="P161" s="18" t="s">
        <v>40</v>
      </c>
      <c r="Q161" s="18">
        <v>190</v>
      </c>
      <c r="R161" s="3" t="str">
        <f>IF(OR(G161="12R",G161="12L"),_xlfn.XLOOKUP(C161,Tabla42[ADEP],Tabla42[SID 12R],""),IF(OR(G161="30L",G161="30R"),_xlfn.XLOOKUP(C161,Tabla42[ADEP],Tabla42[SID 30L],""),""))</f>
        <v>NUDAL</v>
      </c>
      <c r="S161" s="3">
        <f t="shared" si="2"/>
        <v>20</v>
      </c>
      <c r="T161" s="3" t="str">
        <f>_xlfn.XLOOKUP(C161,Tabla42[ADEP],Tabla42[Sector],"")</f>
        <v>Sector 3</v>
      </c>
    </row>
    <row r="162" spans="1:20" x14ac:dyDescent="0.2">
      <c r="A162" s="18" t="s">
        <v>1715</v>
      </c>
      <c r="B162" s="18" t="s">
        <v>18</v>
      </c>
      <c r="C162" s="18" t="s">
        <v>814</v>
      </c>
      <c r="D162" s="18" t="s">
        <v>110</v>
      </c>
      <c r="E162" s="18" t="s">
        <v>663</v>
      </c>
      <c r="F162" s="19">
        <v>46305.8452314815</v>
      </c>
      <c r="G162" s="18" t="s">
        <v>21</v>
      </c>
      <c r="H162" s="18" t="s">
        <v>3712</v>
      </c>
      <c r="I162" s="18">
        <v>400</v>
      </c>
      <c r="J162" s="18" t="s">
        <v>22</v>
      </c>
      <c r="K162" s="18" t="s">
        <v>23</v>
      </c>
      <c r="L162" s="18">
        <v>384</v>
      </c>
      <c r="M162" s="18" t="s">
        <v>250</v>
      </c>
      <c r="N162" s="19">
        <v>46305.867337962998</v>
      </c>
      <c r="O162" s="18">
        <v>400</v>
      </c>
      <c r="P162" s="18" t="s">
        <v>25</v>
      </c>
      <c r="Q162" s="18">
        <v>40</v>
      </c>
      <c r="R162" s="3" t="str">
        <f>IF(OR(G162="12R",G162="12L"),_xlfn.XLOOKUP(C162,Tabla42[ADEP],Tabla42[SID 12R],""),IF(OR(G162="30L",G162="30R"),_xlfn.XLOOKUP(C162,Tabla42[ADEP],Tabla42[SID 30L],""),""))</f>
        <v>ENEBA</v>
      </c>
      <c r="S162" s="3">
        <f t="shared" si="2"/>
        <v>20</v>
      </c>
      <c r="T162" s="3" t="str">
        <f>_xlfn.XLOOKUP(C162,Tabla42[ADEP],Tabla42[Sector],"")</f>
        <v>Sector 3</v>
      </c>
    </row>
    <row r="163" spans="1:20" x14ac:dyDescent="0.2">
      <c r="A163" s="18" t="s">
        <v>280</v>
      </c>
      <c r="B163" s="18" t="s">
        <v>18</v>
      </c>
      <c r="C163" s="18" t="s">
        <v>49</v>
      </c>
      <c r="D163" s="18" t="s">
        <v>53</v>
      </c>
      <c r="E163" s="18" t="s">
        <v>376</v>
      </c>
      <c r="F163" s="19">
        <v>46305.846458333297</v>
      </c>
      <c r="G163" s="18" t="s">
        <v>21</v>
      </c>
      <c r="H163" s="18" t="s">
        <v>3713</v>
      </c>
      <c r="I163" s="18">
        <v>380</v>
      </c>
      <c r="J163" s="18" t="s">
        <v>22</v>
      </c>
      <c r="K163" s="18" t="s">
        <v>23</v>
      </c>
      <c r="L163" s="18">
        <v>859</v>
      </c>
      <c r="M163" s="18" t="s">
        <v>45</v>
      </c>
      <c r="N163" s="19">
        <v>46305.893993055601</v>
      </c>
      <c r="O163" s="18">
        <v>380</v>
      </c>
      <c r="P163" s="18" t="s">
        <v>25</v>
      </c>
      <c r="Q163" s="18">
        <v>190</v>
      </c>
      <c r="R163" s="3" t="str">
        <f>IF(OR(G163="12R",G163="12L"),_xlfn.XLOOKUP(C163,Tabla42[ADEP],Tabla42[SID 12R],""),IF(OR(G163="30L",G163="30R"),_xlfn.XLOOKUP(C163,Tabla42[ADEP],Tabla42[SID 30L],""),""))</f>
        <v>UDGUV</v>
      </c>
      <c r="S163" s="3">
        <f t="shared" si="2"/>
        <v>20</v>
      </c>
      <c r="T163" s="3" t="str">
        <f>_xlfn.XLOOKUP(C163,Tabla42[ADEP],Tabla42[Sector],"")</f>
        <v>Sector 2</v>
      </c>
    </row>
    <row r="164" spans="1:20" x14ac:dyDescent="0.2">
      <c r="A164" s="18" t="s">
        <v>282</v>
      </c>
      <c r="B164" s="18" t="s">
        <v>18</v>
      </c>
      <c r="C164" s="18" t="s">
        <v>42</v>
      </c>
      <c r="D164" s="18" t="s">
        <v>20</v>
      </c>
      <c r="E164" s="18" t="s">
        <v>3714</v>
      </c>
      <c r="F164" s="19">
        <v>46305.848078703697</v>
      </c>
      <c r="G164" s="18" t="s">
        <v>21</v>
      </c>
      <c r="H164" s="18" t="s">
        <v>3715</v>
      </c>
      <c r="I164" s="18">
        <v>340</v>
      </c>
      <c r="J164" s="18" t="s">
        <v>22</v>
      </c>
      <c r="K164" s="18" t="s">
        <v>23</v>
      </c>
      <c r="L164" s="18">
        <v>858</v>
      </c>
      <c r="M164" s="18" t="s">
        <v>45</v>
      </c>
      <c r="N164" s="19">
        <v>46305.896249999998</v>
      </c>
      <c r="O164" s="18">
        <v>340</v>
      </c>
      <c r="P164" s="18" t="s">
        <v>25</v>
      </c>
      <c r="Q164" s="18">
        <v>190</v>
      </c>
      <c r="R164" s="3" t="str">
        <f>IF(OR(G164="12R",G164="12L"),_xlfn.XLOOKUP(C164,Tabla42[ADEP],Tabla42[SID 12R],""),IF(OR(G164="30L",G164="30R"),_xlfn.XLOOKUP(C164,Tabla42[ADEP],Tabla42[SID 30L],""),""))</f>
        <v>UDGUV</v>
      </c>
      <c r="S164" s="3">
        <f t="shared" si="2"/>
        <v>20</v>
      </c>
      <c r="T164" s="3" t="str">
        <f>_xlfn.XLOOKUP(C164,Tabla42[ADEP],Tabla42[Sector],"")</f>
        <v>Sector 2</v>
      </c>
    </row>
    <row r="165" spans="1:20" x14ac:dyDescent="0.2">
      <c r="A165" s="18" t="s">
        <v>2076</v>
      </c>
      <c r="B165" s="18" t="s">
        <v>18</v>
      </c>
      <c r="C165" s="18" t="s">
        <v>18</v>
      </c>
      <c r="D165" s="18" t="s">
        <v>2077</v>
      </c>
      <c r="E165" s="18"/>
      <c r="F165" s="19">
        <v>46305.851782407401</v>
      </c>
      <c r="G165" s="18" t="s">
        <v>21</v>
      </c>
      <c r="H165" s="18" t="s">
        <v>3716</v>
      </c>
      <c r="I165" s="18">
        <v>15</v>
      </c>
      <c r="J165" s="18" t="s">
        <v>130</v>
      </c>
      <c r="K165" s="18" t="s">
        <v>50</v>
      </c>
      <c r="L165" s="18">
        <v>119</v>
      </c>
      <c r="M165" s="18" t="s">
        <v>18</v>
      </c>
      <c r="N165" s="19">
        <v>46305.8811921296</v>
      </c>
      <c r="O165" s="18">
        <v>0</v>
      </c>
      <c r="P165" s="18" t="s">
        <v>129</v>
      </c>
      <c r="Q165" s="18">
        <v>15</v>
      </c>
      <c r="R165" s="3" t="str">
        <f>IF(OR(G165="12R",G165="12L"),_xlfn.XLOOKUP(C165,Tabla42[ADEP],Tabla42[SID 12R],""),IF(OR(G165="30L",G165="30R"),_xlfn.XLOOKUP(C165,Tabla42[ADEP],Tabla42[SID 30L],""),""))</f>
        <v/>
      </c>
      <c r="S165" s="3">
        <f t="shared" si="2"/>
        <v>20</v>
      </c>
      <c r="T165" s="3" t="str">
        <f>_xlfn.XLOOKUP(C165,Tabla42[ADEP],Tabla42[Sector],"")</f>
        <v/>
      </c>
    </row>
    <row r="166" spans="1:20" x14ac:dyDescent="0.2">
      <c r="A166" s="18" t="s">
        <v>262</v>
      </c>
      <c r="B166" s="18" t="s">
        <v>18</v>
      </c>
      <c r="C166" s="18" t="s">
        <v>263</v>
      </c>
      <c r="D166" s="18" t="s">
        <v>33</v>
      </c>
      <c r="E166" s="18" t="s">
        <v>3717</v>
      </c>
      <c r="F166" s="19">
        <v>46305.854861111096</v>
      </c>
      <c r="G166" s="18" t="s">
        <v>21</v>
      </c>
      <c r="H166" s="18" t="s">
        <v>3718</v>
      </c>
      <c r="I166" s="18">
        <v>370</v>
      </c>
      <c r="J166" s="18" t="s">
        <v>22</v>
      </c>
      <c r="K166" s="18" t="s">
        <v>23</v>
      </c>
      <c r="L166" s="18">
        <v>135</v>
      </c>
      <c r="M166" s="18" t="s">
        <v>2960</v>
      </c>
      <c r="N166" s="19">
        <v>46305.864189814798</v>
      </c>
      <c r="O166" s="18">
        <v>248</v>
      </c>
      <c r="P166" s="18" t="s">
        <v>25</v>
      </c>
      <c r="Q166" s="18">
        <v>190</v>
      </c>
      <c r="R166" s="3" t="str">
        <f>IF(OR(G166="12R",G166="12L"),_xlfn.XLOOKUP(C166,Tabla42[ADEP],Tabla42[SID 12R],""),IF(OR(G166="30L",G166="30R"),_xlfn.XLOOKUP(C166,Tabla42[ADEP],Tabla42[SID 30L],""),""))</f>
        <v>OMSUK</v>
      </c>
      <c r="S166" s="3">
        <f t="shared" si="2"/>
        <v>20</v>
      </c>
      <c r="T166" s="3" t="str">
        <f>_xlfn.XLOOKUP(C166,Tabla42[ADEP],Tabla42[Sector],"")</f>
        <v>Sector 3</v>
      </c>
    </row>
    <row r="167" spans="1:20" x14ac:dyDescent="0.2">
      <c r="A167" s="18" t="s">
        <v>471</v>
      </c>
      <c r="B167" s="18" t="s">
        <v>18</v>
      </c>
      <c r="C167" s="18" t="s">
        <v>19</v>
      </c>
      <c r="D167" s="18" t="s">
        <v>33</v>
      </c>
      <c r="E167" s="18" t="s">
        <v>3719</v>
      </c>
      <c r="F167" s="19">
        <v>46305.8581597222</v>
      </c>
      <c r="G167" s="18" t="s">
        <v>21</v>
      </c>
      <c r="H167" s="18" t="s">
        <v>3720</v>
      </c>
      <c r="I167" s="18">
        <v>360</v>
      </c>
      <c r="J167" s="18" t="s">
        <v>22</v>
      </c>
      <c r="K167" s="18" t="s">
        <v>23</v>
      </c>
      <c r="L167" s="18">
        <v>913</v>
      </c>
      <c r="M167" s="18" t="s">
        <v>3721</v>
      </c>
      <c r="N167" s="19">
        <v>46305.908483796302</v>
      </c>
      <c r="O167" s="18">
        <v>360</v>
      </c>
      <c r="P167" s="18" t="s">
        <v>25</v>
      </c>
      <c r="Q167" s="18">
        <v>190</v>
      </c>
      <c r="R167" s="3" t="str">
        <f>IF(OR(G167="12R",G167="12L"),_xlfn.XLOOKUP(C167,Tabla42[ADEP],Tabla42[SID 12R],""),IF(OR(G167="30L",G167="30R"),_xlfn.XLOOKUP(C167,Tabla42[ADEP],Tabla42[SID 30L],""),""))</f>
        <v>UDGUV</v>
      </c>
      <c r="S167" s="3">
        <f t="shared" si="2"/>
        <v>20</v>
      </c>
      <c r="T167" s="3" t="str">
        <f>_xlfn.XLOOKUP(C167,Tabla42[ADEP],Tabla42[Sector],"")</f>
        <v>Sector 2</v>
      </c>
    </row>
    <row r="168" spans="1:20" x14ac:dyDescent="0.2">
      <c r="A168" s="18" t="s">
        <v>3722</v>
      </c>
      <c r="B168" s="18" t="s">
        <v>18</v>
      </c>
      <c r="C168" s="18" t="s">
        <v>388</v>
      </c>
      <c r="D168" s="18" t="s">
        <v>60</v>
      </c>
      <c r="E168" s="18" t="s">
        <v>659</v>
      </c>
      <c r="F168" s="19">
        <v>46305.8601388889</v>
      </c>
      <c r="G168" s="18" t="s">
        <v>21</v>
      </c>
      <c r="H168" s="18" t="s">
        <v>3723</v>
      </c>
      <c r="I168" s="18">
        <v>340</v>
      </c>
      <c r="J168" s="18" t="s">
        <v>22</v>
      </c>
      <c r="K168" s="18" t="s">
        <v>23</v>
      </c>
      <c r="L168" s="18">
        <v>535</v>
      </c>
      <c r="M168" s="18" t="s">
        <v>123</v>
      </c>
      <c r="N168" s="19">
        <v>46305.889282407399</v>
      </c>
      <c r="O168" s="18">
        <v>320</v>
      </c>
      <c r="P168" s="18" t="s">
        <v>25</v>
      </c>
      <c r="Q168" s="18">
        <v>40</v>
      </c>
      <c r="R168" s="3" t="str">
        <f>IF(OR(G168="12R",G168="12L"),_xlfn.XLOOKUP(C168,Tabla42[ADEP],Tabla42[SID 12R],""),IF(OR(G168="30L",G168="30R"),_xlfn.XLOOKUP(C168,Tabla42[ADEP],Tabla42[SID 30L],""),""))</f>
        <v>ENEBA</v>
      </c>
      <c r="S168" s="3">
        <f t="shared" si="2"/>
        <v>20</v>
      </c>
      <c r="T168" s="3" t="str">
        <f>_xlfn.XLOOKUP(C168,Tabla42[ADEP],Tabla42[Sector],"")</f>
        <v>Sector 3</v>
      </c>
    </row>
    <row r="169" spans="1:20" x14ac:dyDescent="0.2">
      <c r="A169" s="18" t="s">
        <v>978</v>
      </c>
      <c r="B169" s="18" t="s">
        <v>18</v>
      </c>
      <c r="C169" s="18" t="s">
        <v>286</v>
      </c>
      <c r="D169" s="18" t="s">
        <v>53</v>
      </c>
      <c r="E169" s="18" t="s">
        <v>3160</v>
      </c>
      <c r="F169" s="19">
        <v>46305.862442129597</v>
      </c>
      <c r="G169" s="18" t="s">
        <v>21</v>
      </c>
      <c r="H169" s="18" t="s">
        <v>3724</v>
      </c>
      <c r="I169" s="18">
        <v>300</v>
      </c>
      <c r="J169" s="18" t="s">
        <v>22</v>
      </c>
      <c r="K169" s="18" t="s">
        <v>23</v>
      </c>
      <c r="L169" s="18">
        <v>261</v>
      </c>
      <c r="M169" s="18" t="s">
        <v>3725</v>
      </c>
      <c r="N169" s="19">
        <v>46305.877951388902</v>
      </c>
      <c r="O169" s="18">
        <v>350</v>
      </c>
      <c r="P169" s="18" t="s">
        <v>25</v>
      </c>
      <c r="Q169" s="18">
        <v>190</v>
      </c>
      <c r="R169" s="3" t="str">
        <f>IF(OR(G169="12R",G169="12L"),_xlfn.XLOOKUP(C169,Tabla42[ADEP],Tabla42[SID 12R],""),IF(OR(G169="30L",G169="30R"),_xlfn.XLOOKUP(C169,Tabla42[ADEP],Tabla42[SID 30L],""),""))</f>
        <v>CZM</v>
      </c>
      <c r="S169" s="3">
        <f t="shared" si="2"/>
        <v>20</v>
      </c>
      <c r="T169" s="3" t="str">
        <f>_xlfn.XLOOKUP(C169,Tabla42[ADEP],Tabla42[Sector],"")</f>
        <v>Sector 7</v>
      </c>
    </row>
    <row r="170" spans="1:20" x14ac:dyDescent="0.2">
      <c r="A170" s="18" t="s">
        <v>241</v>
      </c>
      <c r="B170" s="18" t="s">
        <v>18</v>
      </c>
      <c r="C170" s="18" t="s">
        <v>121</v>
      </c>
      <c r="D170" s="18" t="s">
        <v>20</v>
      </c>
      <c r="E170" s="18" t="s">
        <v>3726</v>
      </c>
      <c r="F170" s="19">
        <v>46305.8657060185</v>
      </c>
      <c r="G170" s="18" t="s">
        <v>21</v>
      </c>
      <c r="H170" s="18" t="s">
        <v>3727</v>
      </c>
      <c r="I170" s="18">
        <v>360</v>
      </c>
      <c r="J170" s="18" t="s">
        <v>22</v>
      </c>
      <c r="K170" s="18" t="s">
        <v>23</v>
      </c>
      <c r="L170" s="18">
        <v>525</v>
      </c>
      <c r="M170" s="18" t="s">
        <v>123</v>
      </c>
      <c r="N170" s="19">
        <v>46305.894837963002</v>
      </c>
      <c r="O170" s="18">
        <v>360</v>
      </c>
      <c r="P170" s="18" t="s">
        <v>25</v>
      </c>
      <c r="Q170" s="18">
        <v>40</v>
      </c>
      <c r="R170" s="3" t="str">
        <f>IF(OR(G170="12R",G170="12L"),_xlfn.XLOOKUP(C170,Tabla42[ADEP],Tabla42[SID 12R],""),IF(OR(G170="30L",G170="30R"),_xlfn.XLOOKUP(C170,Tabla42[ADEP],Tabla42[SID 30L],""),""))</f>
        <v>ENEBA</v>
      </c>
      <c r="S170" s="3">
        <f t="shared" si="2"/>
        <v>20</v>
      </c>
      <c r="T170" s="3" t="str">
        <f>_xlfn.XLOOKUP(C170,Tabla42[ADEP],Tabla42[Sector],"")</f>
        <v>Sector 3</v>
      </c>
    </row>
    <row r="171" spans="1:20" x14ac:dyDescent="0.2">
      <c r="A171" s="18" t="s">
        <v>605</v>
      </c>
      <c r="B171" s="18" t="s">
        <v>18</v>
      </c>
      <c r="C171" s="18" t="s">
        <v>606</v>
      </c>
      <c r="D171" s="18" t="s">
        <v>33</v>
      </c>
      <c r="E171" s="18" t="s">
        <v>368</v>
      </c>
      <c r="F171" s="19">
        <v>46305.871446759302</v>
      </c>
      <c r="G171" s="18" t="s">
        <v>21</v>
      </c>
      <c r="H171" s="18" t="s">
        <v>3728</v>
      </c>
      <c r="I171" s="18">
        <v>360</v>
      </c>
      <c r="J171" s="18" t="s">
        <v>22</v>
      </c>
      <c r="K171" s="18" t="s">
        <v>23</v>
      </c>
      <c r="L171" s="18">
        <v>519</v>
      </c>
      <c r="M171" s="18" t="s">
        <v>123</v>
      </c>
      <c r="N171" s="19">
        <v>46305.899826388901</v>
      </c>
      <c r="O171" s="18">
        <v>320</v>
      </c>
      <c r="P171" s="18" t="s">
        <v>25</v>
      </c>
      <c r="Q171" s="18">
        <v>40</v>
      </c>
      <c r="R171" s="3" t="str">
        <f>IF(OR(G171="12R",G171="12L"),_xlfn.XLOOKUP(C171,Tabla42[ADEP],Tabla42[SID 12R],""),IF(OR(G171="30L",G171="30R"),_xlfn.XLOOKUP(C171,Tabla42[ADEP],Tabla42[SID 30L],""),""))</f>
        <v>OMSUK</v>
      </c>
      <c r="S171" s="3">
        <f t="shared" si="2"/>
        <v>20</v>
      </c>
      <c r="T171" s="3" t="str">
        <f>_xlfn.XLOOKUP(C171,Tabla42[ADEP],Tabla42[Sector],"")</f>
        <v>Sector 3</v>
      </c>
    </row>
    <row r="172" spans="1:20" x14ac:dyDescent="0.2">
      <c r="A172" s="18" t="s">
        <v>292</v>
      </c>
      <c r="B172" s="18" t="s">
        <v>18</v>
      </c>
      <c r="C172" s="18" t="s">
        <v>293</v>
      </c>
      <c r="D172" s="18" t="s">
        <v>43</v>
      </c>
      <c r="E172" s="18" t="s">
        <v>3729</v>
      </c>
      <c r="F172" s="19">
        <v>46305.875034722201</v>
      </c>
      <c r="G172" s="18" t="s">
        <v>21</v>
      </c>
      <c r="H172" s="18" t="s">
        <v>3730</v>
      </c>
      <c r="I172" s="18">
        <v>320</v>
      </c>
      <c r="J172" s="18" t="s">
        <v>22</v>
      </c>
      <c r="K172" s="18" t="s">
        <v>23</v>
      </c>
      <c r="L172" s="18">
        <v>517</v>
      </c>
      <c r="M172" s="18" t="s">
        <v>123</v>
      </c>
      <c r="N172" s="19">
        <v>46305.903726851902</v>
      </c>
      <c r="O172" s="18">
        <v>310</v>
      </c>
      <c r="P172" s="18" t="s">
        <v>25</v>
      </c>
      <c r="Q172" s="18">
        <v>40</v>
      </c>
      <c r="R172" s="3" t="str">
        <f>IF(OR(G172="12R",G172="12L"),_xlfn.XLOOKUP(C172,Tabla42[ADEP],Tabla42[SID 12R],""),IF(OR(G172="30L",G172="30R"),_xlfn.XLOOKUP(C172,Tabla42[ADEP],Tabla42[SID 30L],""),""))</f>
        <v>UDGUV</v>
      </c>
      <c r="S172" s="3">
        <f t="shared" si="2"/>
        <v>21</v>
      </c>
      <c r="T172" s="3" t="str">
        <f>_xlfn.XLOOKUP(C172,Tabla42[ADEP],Tabla42[Sector],"")</f>
        <v>Sector 2</v>
      </c>
    </row>
    <row r="173" spans="1:20" x14ac:dyDescent="0.2">
      <c r="A173" s="18" t="s">
        <v>467</v>
      </c>
      <c r="B173" s="18" t="s">
        <v>18</v>
      </c>
      <c r="C173" s="18" t="s">
        <v>184</v>
      </c>
      <c r="D173" s="18" t="s">
        <v>60</v>
      </c>
      <c r="E173" s="18" t="s">
        <v>2738</v>
      </c>
      <c r="F173" s="19">
        <v>46305.876238425903</v>
      </c>
      <c r="G173" s="18" t="s">
        <v>21</v>
      </c>
      <c r="H173" s="18" t="s">
        <v>3731</v>
      </c>
      <c r="I173" s="18">
        <v>330</v>
      </c>
      <c r="J173" s="18" t="s">
        <v>22</v>
      </c>
      <c r="K173" s="18" t="s">
        <v>23</v>
      </c>
      <c r="L173" s="18">
        <v>220</v>
      </c>
      <c r="M173" s="18" t="s">
        <v>355</v>
      </c>
      <c r="N173" s="19">
        <v>46305.890069444402</v>
      </c>
      <c r="O173" s="18">
        <v>266</v>
      </c>
      <c r="P173" s="18" t="s">
        <v>25</v>
      </c>
      <c r="Q173" s="18">
        <v>40</v>
      </c>
      <c r="R173" s="3" t="str">
        <f>IF(OR(G173="12R",G173="12L"),_xlfn.XLOOKUP(C173,Tabla42[ADEP],Tabla42[SID 12R],""),IF(OR(G173="30L",G173="30R"),_xlfn.XLOOKUP(C173,Tabla42[ADEP],Tabla42[SID 30L],""),""))</f>
        <v>OMSUK</v>
      </c>
      <c r="S173" s="3">
        <f t="shared" si="2"/>
        <v>21</v>
      </c>
      <c r="T173" s="3" t="str">
        <f>_xlfn.XLOOKUP(C173,Tabla42[ADEP],Tabla42[Sector],"")</f>
        <v>Sector 3</v>
      </c>
    </row>
    <row r="174" spans="1:20" x14ac:dyDescent="0.2">
      <c r="A174" s="18" t="s">
        <v>461</v>
      </c>
      <c r="B174" s="18" t="s">
        <v>18</v>
      </c>
      <c r="C174" s="18" t="s">
        <v>223</v>
      </c>
      <c r="D174" s="18" t="s">
        <v>28</v>
      </c>
      <c r="E174" s="18" t="s">
        <v>3732</v>
      </c>
      <c r="F174" s="19">
        <v>46305.877534722204</v>
      </c>
      <c r="G174" s="18" t="s">
        <v>21</v>
      </c>
      <c r="H174" s="18" t="s">
        <v>3733</v>
      </c>
      <c r="I174" s="18">
        <v>330</v>
      </c>
      <c r="J174" s="18" t="s">
        <v>22</v>
      </c>
      <c r="K174" s="18" t="s">
        <v>23</v>
      </c>
      <c r="L174" s="18">
        <v>136</v>
      </c>
      <c r="M174" s="18" t="s">
        <v>39</v>
      </c>
      <c r="N174" s="19">
        <v>46305.886666666702</v>
      </c>
      <c r="O174" s="18">
        <v>225</v>
      </c>
      <c r="P174" s="18" t="s">
        <v>25</v>
      </c>
      <c r="Q174" s="18">
        <v>190</v>
      </c>
      <c r="R174" s="3" t="str">
        <f>IF(OR(G174="12R",G174="12L"),_xlfn.XLOOKUP(C174,Tabla42[ADEP],Tabla42[SID 12R],""),IF(OR(G174="30L",G174="30R"),_xlfn.XLOOKUP(C174,Tabla42[ADEP],Tabla42[SID 30L],""),""))</f>
        <v>OMSUK</v>
      </c>
      <c r="S174" s="3">
        <f t="shared" si="2"/>
        <v>21</v>
      </c>
      <c r="T174" s="3" t="str">
        <f>_xlfn.XLOOKUP(C174,Tabla42[ADEP],Tabla42[Sector],"")</f>
        <v>Sector 3</v>
      </c>
    </row>
    <row r="175" spans="1:20" x14ac:dyDescent="0.2">
      <c r="A175" s="18" t="s">
        <v>289</v>
      </c>
      <c r="B175" s="18" t="s">
        <v>18</v>
      </c>
      <c r="C175" s="18" t="s">
        <v>290</v>
      </c>
      <c r="D175" s="18" t="s">
        <v>33</v>
      </c>
      <c r="E175" s="18" t="s">
        <v>3734</v>
      </c>
      <c r="F175" s="19">
        <v>46305.878379629597</v>
      </c>
      <c r="G175" s="18" t="s">
        <v>21</v>
      </c>
      <c r="H175" s="18" t="s">
        <v>3735</v>
      </c>
      <c r="I175" s="18">
        <v>330</v>
      </c>
      <c r="J175" s="18" t="s">
        <v>22</v>
      </c>
      <c r="K175" s="18" t="s">
        <v>23</v>
      </c>
      <c r="L175" s="18">
        <v>207</v>
      </c>
      <c r="M175" s="18" t="s">
        <v>3736</v>
      </c>
      <c r="N175" s="19">
        <v>46305.891585648104</v>
      </c>
      <c r="O175" s="18">
        <v>259</v>
      </c>
      <c r="P175" s="18" t="s">
        <v>25</v>
      </c>
      <c r="Q175" s="18">
        <v>190</v>
      </c>
      <c r="R175" s="3" t="str">
        <f>IF(OR(G175="12R",G175="12L"),_xlfn.XLOOKUP(C175,Tabla42[ADEP],Tabla42[SID 12R],""),IF(OR(G175="30L",G175="30R"),_xlfn.XLOOKUP(C175,Tabla42[ADEP],Tabla42[SID 30L],""),""))</f>
        <v>CZM</v>
      </c>
      <c r="S175" s="3">
        <f t="shared" si="2"/>
        <v>21</v>
      </c>
      <c r="T175" s="3" t="str">
        <f>_xlfn.XLOOKUP(C175,Tabla42[ADEP],Tabla42[Sector],"")</f>
        <v>Sector 7</v>
      </c>
    </row>
    <row r="176" spans="1:20" x14ac:dyDescent="0.2">
      <c r="A176" s="18" t="s">
        <v>296</v>
      </c>
      <c r="B176" s="18" t="s">
        <v>18</v>
      </c>
      <c r="C176" s="18" t="s">
        <v>121</v>
      </c>
      <c r="D176" s="18" t="s">
        <v>60</v>
      </c>
      <c r="E176" s="18" t="s">
        <v>3737</v>
      </c>
      <c r="F176" s="19">
        <v>46305.879062499997</v>
      </c>
      <c r="G176" s="18" t="s">
        <v>21</v>
      </c>
      <c r="H176" s="18" t="s">
        <v>3738</v>
      </c>
      <c r="I176" s="18">
        <v>340</v>
      </c>
      <c r="J176" s="18" t="s">
        <v>22</v>
      </c>
      <c r="K176" s="18" t="s">
        <v>23</v>
      </c>
      <c r="L176" s="18">
        <v>577</v>
      </c>
      <c r="M176" s="18" t="s">
        <v>123</v>
      </c>
      <c r="N176" s="19">
        <v>46305.909606481502</v>
      </c>
      <c r="O176" s="18">
        <v>300</v>
      </c>
      <c r="P176" s="18" t="s">
        <v>25</v>
      </c>
      <c r="Q176" s="18">
        <v>40</v>
      </c>
      <c r="R176" s="3" t="str">
        <f>IF(OR(G176="12R",G176="12L"),_xlfn.XLOOKUP(C176,Tabla42[ADEP],Tabla42[SID 12R],""),IF(OR(G176="30L",G176="30R"),_xlfn.XLOOKUP(C176,Tabla42[ADEP],Tabla42[SID 30L],""),""))</f>
        <v>ENEBA</v>
      </c>
      <c r="S176" s="3">
        <f t="shared" si="2"/>
        <v>21</v>
      </c>
      <c r="T176" s="3" t="str">
        <f>_xlfn.XLOOKUP(C176,Tabla42[ADEP],Tabla42[Sector],"")</f>
        <v>Sector 3</v>
      </c>
    </row>
    <row r="177" spans="1:20" x14ac:dyDescent="0.2">
      <c r="A177" s="18" t="s">
        <v>291</v>
      </c>
      <c r="B177" s="18" t="s">
        <v>18</v>
      </c>
      <c r="C177" s="18" t="s">
        <v>209</v>
      </c>
      <c r="D177" s="18" t="s">
        <v>28</v>
      </c>
      <c r="E177" s="18" t="s">
        <v>3739</v>
      </c>
      <c r="F177" s="19">
        <v>46305.880416666703</v>
      </c>
      <c r="G177" s="18" t="s">
        <v>21</v>
      </c>
      <c r="H177" s="18" t="s">
        <v>3740</v>
      </c>
      <c r="I177" s="18">
        <v>340</v>
      </c>
      <c r="J177" s="18" t="s">
        <v>22</v>
      </c>
      <c r="K177" s="18" t="s">
        <v>23</v>
      </c>
      <c r="L177" s="18">
        <v>546</v>
      </c>
      <c r="M177" s="18" t="s">
        <v>123</v>
      </c>
      <c r="N177" s="19">
        <v>46305.908356481501</v>
      </c>
      <c r="O177" s="18">
        <v>317</v>
      </c>
      <c r="P177" s="18" t="s">
        <v>25</v>
      </c>
      <c r="Q177" s="18">
        <v>40</v>
      </c>
      <c r="R177" s="3" t="str">
        <f>IF(OR(G177="12R",G177="12L"),_xlfn.XLOOKUP(C177,Tabla42[ADEP],Tabla42[SID 12R],""),IF(OR(G177="30L",G177="30R"),_xlfn.XLOOKUP(C177,Tabla42[ADEP],Tabla42[SID 30L],""),""))</f>
        <v>ENEBA</v>
      </c>
      <c r="S177" s="3">
        <f t="shared" si="2"/>
        <v>21</v>
      </c>
      <c r="T177" s="3" t="str">
        <f>_xlfn.XLOOKUP(C177,Tabla42[ADEP],Tabla42[Sector],"")</f>
        <v>Sector 3</v>
      </c>
    </row>
    <row r="178" spans="1:20" x14ac:dyDescent="0.2">
      <c r="A178" s="18" t="s">
        <v>765</v>
      </c>
      <c r="B178" s="18" t="s">
        <v>18</v>
      </c>
      <c r="C178" s="18" t="s">
        <v>158</v>
      </c>
      <c r="D178" s="18" t="s">
        <v>60</v>
      </c>
      <c r="E178" s="18" t="s">
        <v>3469</v>
      </c>
      <c r="F178" s="19">
        <v>46305.881874999999</v>
      </c>
      <c r="G178" s="18" t="s">
        <v>21</v>
      </c>
      <c r="H178" s="18" t="s">
        <v>3741</v>
      </c>
      <c r="I178" s="18">
        <v>330</v>
      </c>
      <c r="J178" s="18" t="s">
        <v>22</v>
      </c>
      <c r="K178" s="18" t="s">
        <v>23</v>
      </c>
      <c r="L178" s="18">
        <v>134</v>
      </c>
      <c r="M178" s="18" t="s">
        <v>39</v>
      </c>
      <c r="N178" s="19">
        <v>46305.890960648103</v>
      </c>
      <c r="O178" s="18">
        <v>195</v>
      </c>
      <c r="P178" s="18" t="s">
        <v>25</v>
      </c>
      <c r="Q178" s="18">
        <v>190</v>
      </c>
      <c r="R178" s="3" t="str">
        <f>IF(OR(G178="12R",G178="12L"),_xlfn.XLOOKUP(C178,Tabla42[ADEP],Tabla42[SID 12R],""),IF(OR(G178="30L",G178="30R"),_xlfn.XLOOKUP(C178,Tabla42[ADEP],Tabla42[SID 30L],""),""))</f>
        <v>OMSUK</v>
      </c>
      <c r="S178" s="3">
        <f t="shared" si="2"/>
        <v>21</v>
      </c>
      <c r="T178" s="3" t="str">
        <f>_xlfn.XLOOKUP(C178,Tabla42[ADEP],Tabla42[Sector],"")</f>
        <v>Sector 3</v>
      </c>
    </row>
    <row r="179" spans="1:20" x14ac:dyDescent="0.2">
      <c r="A179" s="18" t="s">
        <v>302</v>
      </c>
      <c r="B179" s="18" t="s">
        <v>18</v>
      </c>
      <c r="C179" s="18" t="s">
        <v>303</v>
      </c>
      <c r="D179" s="18" t="s">
        <v>28</v>
      </c>
      <c r="E179" s="18" t="s">
        <v>3742</v>
      </c>
      <c r="F179" s="19">
        <v>46305.883125</v>
      </c>
      <c r="G179" s="18" t="s">
        <v>21</v>
      </c>
      <c r="H179" s="18" t="s">
        <v>3743</v>
      </c>
      <c r="I179" s="18">
        <v>360</v>
      </c>
      <c r="J179" s="18" t="s">
        <v>22</v>
      </c>
      <c r="K179" s="18" t="s">
        <v>23</v>
      </c>
      <c r="L179" s="18">
        <v>553</v>
      </c>
      <c r="M179" s="18" t="s">
        <v>123</v>
      </c>
      <c r="N179" s="19">
        <v>46305.9132986111</v>
      </c>
      <c r="O179" s="18">
        <v>310</v>
      </c>
      <c r="P179" s="18" t="s">
        <v>25</v>
      </c>
      <c r="Q179" s="18">
        <v>40</v>
      </c>
      <c r="R179" s="3" t="str">
        <f>IF(OR(G179="12R",G179="12L"),_xlfn.XLOOKUP(C179,Tabla42[ADEP],Tabla42[SID 12R],""),IF(OR(G179="30L",G179="30R"),_xlfn.XLOOKUP(C179,Tabla42[ADEP],Tabla42[SID 30L],""),""))</f>
        <v>OMSUK</v>
      </c>
      <c r="S179" s="3">
        <f t="shared" si="2"/>
        <v>21</v>
      </c>
      <c r="T179" s="3" t="str">
        <f>_xlfn.XLOOKUP(C179,Tabla42[ADEP],Tabla42[Sector],"")</f>
        <v>Sector 3</v>
      </c>
    </row>
    <row r="180" spans="1:20" x14ac:dyDescent="0.2">
      <c r="A180" s="18" t="s">
        <v>477</v>
      </c>
      <c r="B180" s="18" t="s">
        <v>18</v>
      </c>
      <c r="C180" s="18" t="s">
        <v>478</v>
      </c>
      <c r="D180" s="18" t="s">
        <v>20</v>
      </c>
      <c r="E180" s="18" t="s">
        <v>3744</v>
      </c>
      <c r="F180" s="19">
        <v>46305.884537037004</v>
      </c>
      <c r="G180" s="18" t="s">
        <v>21</v>
      </c>
      <c r="H180" s="18" t="s">
        <v>3745</v>
      </c>
      <c r="I180" s="18">
        <v>320</v>
      </c>
      <c r="J180" s="18" t="s">
        <v>22</v>
      </c>
      <c r="K180" s="18" t="s">
        <v>23</v>
      </c>
      <c r="L180" s="18">
        <v>564</v>
      </c>
      <c r="M180" s="18" t="s">
        <v>123</v>
      </c>
      <c r="N180" s="19">
        <v>46305.914305555598</v>
      </c>
      <c r="O180" s="18">
        <v>280</v>
      </c>
      <c r="P180" s="18" t="s">
        <v>25</v>
      </c>
      <c r="Q180" s="18">
        <v>40</v>
      </c>
      <c r="R180" s="3" t="str">
        <f>IF(OR(G180="12R",G180="12L"),_xlfn.XLOOKUP(C180,Tabla42[ADEP],Tabla42[SID 12R],""),IF(OR(G180="30L",G180="30R"),_xlfn.XLOOKUP(C180,Tabla42[ADEP],Tabla42[SID 30L],""),""))</f>
        <v>ENEBA</v>
      </c>
      <c r="S180" s="3">
        <f t="shared" si="2"/>
        <v>21</v>
      </c>
      <c r="T180" s="3" t="str">
        <f>_xlfn.XLOOKUP(C180,Tabla42[ADEP],Tabla42[Sector],"")</f>
        <v>Sector 3</v>
      </c>
    </row>
    <row r="181" spans="1:20" x14ac:dyDescent="0.2">
      <c r="A181" s="18" t="s">
        <v>304</v>
      </c>
      <c r="B181" s="18" t="s">
        <v>18</v>
      </c>
      <c r="C181" s="18" t="s">
        <v>305</v>
      </c>
      <c r="D181" s="18" t="s">
        <v>60</v>
      </c>
      <c r="E181" s="18" t="s">
        <v>593</v>
      </c>
      <c r="F181" s="19">
        <v>46305.886157407404</v>
      </c>
      <c r="G181" s="18" t="s">
        <v>21</v>
      </c>
      <c r="H181" s="18" t="s">
        <v>3746</v>
      </c>
      <c r="I181" s="18">
        <v>370</v>
      </c>
      <c r="J181" s="18" t="s">
        <v>22</v>
      </c>
      <c r="K181" s="18" t="s">
        <v>23</v>
      </c>
      <c r="L181" s="18">
        <v>136</v>
      </c>
      <c r="M181" s="18" t="s">
        <v>39</v>
      </c>
      <c r="N181" s="19">
        <v>46305.895821759303</v>
      </c>
      <c r="O181" s="18">
        <v>234</v>
      </c>
      <c r="P181" s="18" t="s">
        <v>25</v>
      </c>
      <c r="Q181" s="18">
        <v>190</v>
      </c>
      <c r="R181" s="3" t="str">
        <f>IF(OR(G181="12R",G181="12L"),_xlfn.XLOOKUP(C181,Tabla42[ADEP],Tabla42[SID 12R],""),IF(OR(G181="30L",G181="30R"),_xlfn.XLOOKUP(C181,Tabla42[ADEP],Tabla42[SID 30L],""),""))</f>
        <v>OMSUK</v>
      </c>
      <c r="S181" s="3">
        <f t="shared" si="2"/>
        <v>21</v>
      </c>
      <c r="T181" s="3" t="str">
        <f>_xlfn.XLOOKUP(C181,Tabla42[ADEP],Tabla42[Sector],"")</f>
        <v>Sector 3</v>
      </c>
    </row>
    <row r="182" spans="1:20" x14ac:dyDescent="0.2">
      <c r="A182" s="18" t="s">
        <v>3747</v>
      </c>
      <c r="B182" s="18" t="s">
        <v>18</v>
      </c>
      <c r="C182" s="18" t="s">
        <v>109</v>
      </c>
      <c r="D182" s="18" t="s">
        <v>38</v>
      </c>
      <c r="E182" s="18" t="s">
        <v>3748</v>
      </c>
      <c r="F182" s="19">
        <v>46305.888217592597</v>
      </c>
      <c r="G182" s="18" t="s">
        <v>21</v>
      </c>
      <c r="H182" s="18" t="s">
        <v>3749</v>
      </c>
      <c r="I182" s="18">
        <v>410</v>
      </c>
      <c r="J182" s="18" t="s">
        <v>22</v>
      </c>
      <c r="K182" s="18" t="s">
        <v>23</v>
      </c>
      <c r="L182" s="18">
        <v>136</v>
      </c>
      <c r="M182" s="18" t="s">
        <v>39</v>
      </c>
      <c r="N182" s="19">
        <v>46305.897951388899</v>
      </c>
      <c r="O182" s="18">
        <v>237</v>
      </c>
      <c r="P182" s="18" t="s">
        <v>40</v>
      </c>
      <c r="Q182" s="18">
        <v>190</v>
      </c>
      <c r="R182" s="3" t="str">
        <f>IF(OR(G182="12R",G182="12L"),_xlfn.XLOOKUP(C182,Tabla42[ADEP],Tabla42[SID 12R],""),IF(OR(G182="30L",G182="30R"),_xlfn.XLOOKUP(C182,Tabla42[ADEP],Tabla42[SID 30L],""),""))</f>
        <v>TAKUX</v>
      </c>
      <c r="S182" s="3">
        <f t="shared" si="2"/>
        <v>21</v>
      </c>
      <c r="T182" s="3" t="str">
        <f>_xlfn.XLOOKUP(C182,Tabla42[ADEP],Tabla42[Sector],"")</f>
        <v>Sector 7</v>
      </c>
    </row>
    <row r="183" spans="1:20" x14ac:dyDescent="0.2">
      <c r="A183" s="18" t="s">
        <v>299</v>
      </c>
      <c r="B183" s="18" t="s">
        <v>18</v>
      </c>
      <c r="C183" s="18" t="s">
        <v>300</v>
      </c>
      <c r="D183" s="18" t="s">
        <v>117</v>
      </c>
      <c r="E183" s="18" t="s">
        <v>3750</v>
      </c>
      <c r="F183" s="19">
        <v>46305.889513888898</v>
      </c>
      <c r="G183" s="18" t="s">
        <v>21</v>
      </c>
      <c r="H183" s="18" t="s">
        <v>3751</v>
      </c>
      <c r="I183" s="18">
        <v>320</v>
      </c>
      <c r="J183" s="18" t="s">
        <v>22</v>
      </c>
      <c r="K183" s="18" t="s">
        <v>23</v>
      </c>
      <c r="L183" s="18">
        <v>549</v>
      </c>
      <c r="M183" s="18" t="s">
        <v>123</v>
      </c>
      <c r="N183" s="19">
        <v>46305.918333333299</v>
      </c>
      <c r="O183" s="18">
        <v>290</v>
      </c>
      <c r="P183" s="18" t="s">
        <v>25</v>
      </c>
      <c r="Q183" s="18">
        <v>40</v>
      </c>
      <c r="R183" s="3" t="str">
        <f>IF(OR(G183="12R",G183="12L"),_xlfn.XLOOKUP(C183,Tabla42[ADEP],Tabla42[SID 12R],""),IF(OR(G183="30L",G183="30R"),_xlfn.XLOOKUP(C183,Tabla42[ADEP],Tabla42[SID 30L],""),""))</f>
        <v>OMSUK</v>
      </c>
      <c r="S183" s="3">
        <f t="shared" si="2"/>
        <v>21</v>
      </c>
      <c r="T183" s="3" t="str">
        <f>_xlfn.XLOOKUP(C183,Tabla42[ADEP],Tabla42[Sector],"")</f>
        <v>Sector 3</v>
      </c>
    </row>
    <row r="184" spans="1:20" x14ac:dyDescent="0.2">
      <c r="A184" s="18" t="s">
        <v>476</v>
      </c>
      <c r="B184" s="18" t="s">
        <v>18</v>
      </c>
      <c r="C184" s="18" t="s">
        <v>188</v>
      </c>
      <c r="D184" s="18" t="s">
        <v>43</v>
      </c>
      <c r="E184" s="18" t="s">
        <v>954</v>
      </c>
      <c r="F184" s="19">
        <v>46305.891516203701</v>
      </c>
      <c r="G184" s="18" t="s">
        <v>21</v>
      </c>
      <c r="H184" s="18" t="s">
        <v>3752</v>
      </c>
      <c r="I184" s="18">
        <v>340</v>
      </c>
      <c r="J184" s="18" t="s">
        <v>22</v>
      </c>
      <c r="K184" s="18" t="s">
        <v>23</v>
      </c>
      <c r="L184" s="18">
        <v>575</v>
      </c>
      <c r="M184" s="18" t="s">
        <v>123</v>
      </c>
      <c r="N184" s="19">
        <v>46305.922986111102</v>
      </c>
      <c r="O184" s="18">
        <v>300</v>
      </c>
      <c r="P184" s="18" t="s">
        <v>25</v>
      </c>
      <c r="Q184" s="18">
        <v>40</v>
      </c>
      <c r="R184" s="3" t="str">
        <f>IF(OR(G184="12R",G184="12L"),_xlfn.XLOOKUP(C184,Tabla42[ADEP],Tabla42[SID 12R],""),IF(OR(G184="30L",G184="30R"),_xlfn.XLOOKUP(C184,Tabla42[ADEP],Tabla42[SID 30L],""),""))</f>
        <v>ENEBA</v>
      </c>
      <c r="S184" s="3">
        <f t="shared" si="2"/>
        <v>21</v>
      </c>
      <c r="T184" s="3" t="str">
        <f>_xlfn.XLOOKUP(C184,Tabla42[ADEP],Tabla42[Sector],"")</f>
        <v>Sector 3</v>
      </c>
    </row>
    <row r="185" spans="1:20" x14ac:dyDescent="0.2">
      <c r="A185" s="18" t="s">
        <v>283</v>
      </c>
      <c r="B185" s="18" t="s">
        <v>18</v>
      </c>
      <c r="C185" s="18" t="s">
        <v>126</v>
      </c>
      <c r="D185" s="18" t="s">
        <v>117</v>
      </c>
      <c r="E185" s="18" t="s">
        <v>3753</v>
      </c>
      <c r="F185" s="19">
        <v>46305.894861111097</v>
      </c>
      <c r="G185" s="18" t="s">
        <v>21</v>
      </c>
      <c r="H185" s="18" t="s">
        <v>3754</v>
      </c>
      <c r="I185" s="18">
        <v>340</v>
      </c>
      <c r="J185" s="18" t="s">
        <v>22</v>
      </c>
      <c r="K185" s="18" t="s">
        <v>23</v>
      </c>
      <c r="L185" s="18">
        <v>541</v>
      </c>
      <c r="M185" s="18" t="s">
        <v>123</v>
      </c>
      <c r="N185" s="19">
        <v>46305.922534722202</v>
      </c>
      <c r="O185" s="18">
        <v>280</v>
      </c>
      <c r="P185" s="18" t="s">
        <v>25</v>
      </c>
      <c r="Q185" s="18">
        <v>40</v>
      </c>
      <c r="R185" s="3" t="str">
        <f>IF(OR(G185="12R",G185="12L"),_xlfn.XLOOKUP(C185,Tabla42[ADEP],Tabla42[SID 12R],""),IF(OR(G185="30L",G185="30R"),_xlfn.XLOOKUP(C185,Tabla42[ADEP],Tabla42[SID 30L],""),""))</f>
        <v>ENEBA</v>
      </c>
      <c r="S185" s="3">
        <f t="shared" si="2"/>
        <v>21</v>
      </c>
      <c r="T185" s="3" t="str">
        <f>_xlfn.XLOOKUP(C185,Tabla42[ADEP],Tabla42[Sector],"")</f>
        <v>Sector 3</v>
      </c>
    </row>
    <row r="186" spans="1:20" x14ac:dyDescent="0.2">
      <c r="A186" s="18" t="s">
        <v>308</v>
      </c>
      <c r="B186" s="18" t="s">
        <v>18</v>
      </c>
      <c r="C186" s="18" t="s">
        <v>137</v>
      </c>
      <c r="D186" s="18" t="s">
        <v>122</v>
      </c>
      <c r="E186" s="18" t="s">
        <v>3755</v>
      </c>
      <c r="F186" s="19">
        <v>46305.896377314799</v>
      </c>
      <c r="G186" s="18" t="s">
        <v>21</v>
      </c>
      <c r="H186" s="18" t="s">
        <v>3756</v>
      </c>
      <c r="I186" s="18">
        <v>370</v>
      </c>
      <c r="J186" s="18" t="s">
        <v>22</v>
      </c>
      <c r="K186" s="18" t="s">
        <v>23</v>
      </c>
      <c r="L186" s="18">
        <v>137</v>
      </c>
      <c r="M186" s="18" t="s">
        <v>588</v>
      </c>
      <c r="N186" s="19">
        <v>46305.905381944402</v>
      </c>
      <c r="O186" s="18">
        <v>252</v>
      </c>
      <c r="P186" s="18" t="s">
        <v>25</v>
      </c>
      <c r="Q186" s="18">
        <v>190</v>
      </c>
      <c r="R186" s="3" t="str">
        <f>IF(OR(G186="12R",G186="12L"),_xlfn.XLOOKUP(C186,Tabla42[ADEP],Tabla42[SID 12R],""),IF(OR(G186="30L",G186="30R"),_xlfn.XLOOKUP(C186,Tabla42[ADEP],Tabla42[SID 30L],""),""))</f>
        <v>NUDAL</v>
      </c>
      <c r="S186" s="3">
        <f t="shared" si="2"/>
        <v>21</v>
      </c>
      <c r="T186" s="3" t="str">
        <f>_xlfn.XLOOKUP(C186,Tabla42[ADEP],Tabla42[Sector],"")</f>
        <v>Sector 3</v>
      </c>
    </row>
    <row r="187" spans="1:20" x14ac:dyDescent="0.2">
      <c r="A187" s="18" t="s">
        <v>294</v>
      </c>
      <c r="B187" s="18" t="s">
        <v>18</v>
      </c>
      <c r="C187" s="18" t="s">
        <v>128</v>
      </c>
      <c r="D187" s="18" t="s">
        <v>43</v>
      </c>
      <c r="E187" s="18" t="s">
        <v>3757</v>
      </c>
      <c r="F187" s="19">
        <v>46305.9</v>
      </c>
      <c r="G187" s="18" t="s">
        <v>21</v>
      </c>
      <c r="H187" s="18" t="s">
        <v>3758</v>
      </c>
      <c r="I187" s="18">
        <v>320</v>
      </c>
      <c r="J187" s="18" t="s">
        <v>22</v>
      </c>
      <c r="K187" s="18" t="s">
        <v>23</v>
      </c>
      <c r="L187" s="18">
        <v>575</v>
      </c>
      <c r="M187" s="18" t="s">
        <v>123</v>
      </c>
      <c r="N187" s="19">
        <v>46305.930428240703</v>
      </c>
      <c r="O187" s="18">
        <v>300</v>
      </c>
      <c r="P187" s="18" t="s">
        <v>25</v>
      </c>
      <c r="Q187" s="18">
        <v>40</v>
      </c>
      <c r="R187" s="3" t="str">
        <f>IF(OR(G187="12R",G187="12L"),_xlfn.XLOOKUP(C187,Tabla42[ADEP],Tabla42[SID 12R],""),IF(OR(G187="30L",G187="30R"),_xlfn.XLOOKUP(C187,Tabla42[ADEP],Tabla42[SID 30L],""),""))</f>
        <v>OMSUK</v>
      </c>
      <c r="S187" s="3">
        <f t="shared" si="2"/>
        <v>21</v>
      </c>
      <c r="T187" s="3" t="str">
        <f>_xlfn.XLOOKUP(C187,Tabla42[ADEP],Tabla42[Sector],"")</f>
        <v>Sector 3</v>
      </c>
    </row>
    <row r="188" spans="1:20" x14ac:dyDescent="0.2">
      <c r="A188" s="18" t="s">
        <v>1983</v>
      </c>
      <c r="B188" s="18" t="s">
        <v>18</v>
      </c>
      <c r="C188" s="18" t="s">
        <v>814</v>
      </c>
      <c r="D188" s="18" t="s">
        <v>124</v>
      </c>
      <c r="E188" s="18"/>
      <c r="F188" s="19">
        <v>46305.901273148098</v>
      </c>
      <c r="G188" s="18" t="s">
        <v>21</v>
      </c>
      <c r="H188" s="18" t="s">
        <v>3759</v>
      </c>
      <c r="I188" s="18">
        <v>360</v>
      </c>
      <c r="J188" s="18" t="s">
        <v>22</v>
      </c>
      <c r="K188" s="18" t="s">
        <v>50</v>
      </c>
      <c r="L188" s="18">
        <v>537</v>
      </c>
      <c r="M188" s="18" t="s">
        <v>123</v>
      </c>
      <c r="N188" s="19">
        <v>46305.932280092602</v>
      </c>
      <c r="O188" s="18">
        <v>320</v>
      </c>
      <c r="P188" s="18" t="s">
        <v>25</v>
      </c>
      <c r="Q188" s="18">
        <v>40</v>
      </c>
      <c r="R188" s="3" t="str">
        <f>IF(OR(G188="12R",G188="12L"),_xlfn.XLOOKUP(C188,Tabla42[ADEP],Tabla42[SID 12R],""),IF(OR(G188="30L",G188="30R"),_xlfn.XLOOKUP(C188,Tabla42[ADEP],Tabla42[SID 30L],""),""))</f>
        <v>ENEBA</v>
      </c>
      <c r="S188" s="3">
        <f t="shared" si="2"/>
        <v>21</v>
      </c>
      <c r="T188" s="3" t="str">
        <f>_xlfn.XLOOKUP(C188,Tabla42[ADEP],Tabla42[Sector],"")</f>
        <v>Sector 3</v>
      </c>
    </row>
    <row r="189" spans="1:20" x14ac:dyDescent="0.2">
      <c r="A189" s="18" t="s">
        <v>309</v>
      </c>
      <c r="B189" s="18" t="s">
        <v>18</v>
      </c>
      <c r="C189" s="18" t="s">
        <v>19</v>
      </c>
      <c r="D189" s="18" t="s">
        <v>53</v>
      </c>
      <c r="E189" s="18" t="s">
        <v>433</v>
      </c>
      <c r="F189" s="19">
        <v>46305.903032407397</v>
      </c>
      <c r="G189" s="18" t="s">
        <v>21</v>
      </c>
      <c r="H189" s="18" t="s">
        <v>3760</v>
      </c>
      <c r="I189" s="18">
        <v>380</v>
      </c>
      <c r="J189" s="18" t="s">
        <v>22</v>
      </c>
      <c r="K189" s="18" t="s">
        <v>23</v>
      </c>
      <c r="L189" s="18">
        <v>869</v>
      </c>
      <c r="M189" s="18" t="s">
        <v>24</v>
      </c>
      <c r="N189" s="19">
        <v>46305.950682870403</v>
      </c>
      <c r="O189" s="18">
        <v>380</v>
      </c>
      <c r="P189" s="18" t="s">
        <v>25</v>
      </c>
      <c r="Q189" s="18">
        <v>190</v>
      </c>
      <c r="R189" s="3" t="str">
        <f>IF(OR(G189="12R",G189="12L"),_xlfn.XLOOKUP(C189,Tabla42[ADEP],Tabla42[SID 12R],""),IF(OR(G189="30L",G189="30R"),_xlfn.XLOOKUP(C189,Tabla42[ADEP],Tabla42[SID 30L],""),""))</f>
        <v>UDGUV</v>
      </c>
      <c r="S189" s="3">
        <f t="shared" si="2"/>
        <v>21</v>
      </c>
      <c r="T189" s="3" t="str">
        <f>_xlfn.XLOOKUP(C189,Tabla42[ADEP],Tabla42[Sector],"")</f>
        <v>Sector 2</v>
      </c>
    </row>
    <row r="190" spans="1:20" x14ac:dyDescent="0.2">
      <c r="A190" s="18" t="s">
        <v>2076</v>
      </c>
      <c r="B190" s="18" t="s">
        <v>18</v>
      </c>
      <c r="C190" s="18" t="s">
        <v>18</v>
      </c>
      <c r="D190" s="18" t="s">
        <v>2077</v>
      </c>
      <c r="E190" s="18"/>
      <c r="F190" s="19">
        <v>46305.904386574097</v>
      </c>
      <c r="G190" s="18" t="s">
        <v>21</v>
      </c>
      <c r="H190" s="18" t="s">
        <v>3761</v>
      </c>
      <c r="I190" s="18">
        <v>15</v>
      </c>
      <c r="J190" s="18" t="s">
        <v>130</v>
      </c>
      <c r="K190" s="18" t="s">
        <v>50</v>
      </c>
      <c r="L190" s="18">
        <v>69</v>
      </c>
      <c r="M190" s="18" t="s">
        <v>18</v>
      </c>
      <c r="N190" s="19">
        <v>46305.938599537003</v>
      </c>
      <c r="O190" s="18">
        <v>0</v>
      </c>
      <c r="P190" s="18" t="s">
        <v>129</v>
      </c>
      <c r="Q190" s="18">
        <v>15</v>
      </c>
      <c r="R190" s="3" t="str">
        <f>IF(OR(G190="12R",G190="12L"),_xlfn.XLOOKUP(C190,Tabla42[ADEP],Tabla42[SID 12R],""),IF(OR(G190="30L",G190="30R"),_xlfn.XLOOKUP(C190,Tabla42[ADEP],Tabla42[SID 30L],""),""))</f>
        <v/>
      </c>
      <c r="S190" s="3">
        <f t="shared" si="2"/>
        <v>21</v>
      </c>
      <c r="T190" s="3" t="str">
        <f>_xlfn.XLOOKUP(C190,Tabla42[ADEP],Tabla42[Sector],"")</f>
        <v/>
      </c>
    </row>
    <row r="191" spans="1:20" x14ac:dyDescent="0.2">
      <c r="A191" s="18" t="s">
        <v>495</v>
      </c>
      <c r="B191" s="18" t="s">
        <v>18</v>
      </c>
      <c r="C191" s="18" t="s">
        <v>154</v>
      </c>
      <c r="D191" s="18" t="s">
        <v>458</v>
      </c>
      <c r="E191" s="18"/>
      <c r="F191" s="19">
        <v>46305.905648148102</v>
      </c>
      <c r="G191" s="18" t="s">
        <v>21</v>
      </c>
      <c r="H191" s="18" t="s">
        <v>155</v>
      </c>
      <c r="I191" s="18">
        <v>15</v>
      </c>
      <c r="J191" s="18" t="s">
        <v>130</v>
      </c>
      <c r="K191" s="18" t="s">
        <v>50</v>
      </c>
      <c r="L191" s="18">
        <v>58</v>
      </c>
      <c r="M191" s="18" t="s">
        <v>154</v>
      </c>
      <c r="N191" s="19">
        <v>46305.916921296302</v>
      </c>
      <c r="O191" s="18">
        <v>0</v>
      </c>
      <c r="P191" s="18" t="s">
        <v>129</v>
      </c>
      <c r="Q191" s="18">
        <v>15</v>
      </c>
      <c r="R191" s="3" t="str">
        <f>IF(OR(G191="12R",G191="12L"),_xlfn.XLOOKUP(C191,Tabla42[ADEP],Tabla42[SID 12R],""),IF(OR(G191="30L",G191="30R"),_xlfn.XLOOKUP(C191,Tabla42[ADEP],Tabla42[SID 30L],""),""))</f>
        <v>CZM</v>
      </c>
      <c r="S191" s="3">
        <f t="shared" si="2"/>
        <v>21</v>
      </c>
      <c r="T191" s="3" t="str">
        <f>_xlfn.XLOOKUP(C191,Tabla42[ADEP],Tabla42[Sector],"")</f>
        <v>Sector 7</v>
      </c>
    </row>
    <row r="192" spans="1:20" x14ac:dyDescent="0.2">
      <c r="A192" s="18" t="s">
        <v>312</v>
      </c>
      <c r="B192" s="18" t="s">
        <v>18</v>
      </c>
      <c r="C192" s="18" t="s">
        <v>204</v>
      </c>
      <c r="D192" s="18" t="s">
        <v>33</v>
      </c>
      <c r="E192" s="18" t="s">
        <v>3762</v>
      </c>
      <c r="F192" s="19">
        <v>46305.918784722198</v>
      </c>
      <c r="G192" s="18" t="s">
        <v>21</v>
      </c>
      <c r="H192" s="18" t="s">
        <v>3763</v>
      </c>
      <c r="I192" s="18">
        <v>330</v>
      </c>
      <c r="J192" s="18" t="s">
        <v>22</v>
      </c>
      <c r="K192" s="18" t="s">
        <v>23</v>
      </c>
      <c r="L192" s="18">
        <v>151</v>
      </c>
      <c r="M192" s="18" t="s">
        <v>111</v>
      </c>
      <c r="N192" s="19">
        <v>46305.929212962998</v>
      </c>
      <c r="O192" s="18">
        <v>262</v>
      </c>
      <c r="P192" s="18" t="s">
        <v>25</v>
      </c>
      <c r="Q192" s="18">
        <v>190</v>
      </c>
      <c r="R192" s="3" t="str">
        <f>IF(OR(G192="12R",G192="12L"),_xlfn.XLOOKUP(C192,Tabla42[ADEP],Tabla42[SID 12R],""),IF(OR(G192="30L",G192="30R"),_xlfn.XLOOKUP(C192,Tabla42[ADEP],Tabla42[SID 30L],""),""))</f>
        <v>TAKUX</v>
      </c>
      <c r="S192" s="3">
        <f t="shared" si="2"/>
        <v>22</v>
      </c>
      <c r="T192" s="3" t="str">
        <f>_xlfn.XLOOKUP(C192,Tabla42[ADEP],Tabla42[Sector],"")</f>
        <v>Sector 7</v>
      </c>
    </row>
    <row r="193" spans="1:20" x14ac:dyDescent="0.2">
      <c r="A193" s="18" t="s">
        <v>1201</v>
      </c>
      <c r="B193" s="18" t="s">
        <v>18</v>
      </c>
      <c r="C193" s="18" t="s">
        <v>592</v>
      </c>
      <c r="D193" s="18" t="s">
        <v>110</v>
      </c>
      <c r="E193" s="18" t="s">
        <v>3764</v>
      </c>
      <c r="F193" s="19">
        <v>46305.920034722199</v>
      </c>
      <c r="G193" s="18" t="s">
        <v>21</v>
      </c>
      <c r="H193" s="18" t="s">
        <v>3765</v>
      </c>
      <c r="I193" s="18">
        <v>360</v>
      </c>
      <c r="J193" s="18" t="s">
        <v>22</v>
      </c>
      <c r="K193" s="18" t="s">
        <v>23</v>
      </c>
      <c r="L193" s="18">
        <v>551</v>
      </c>
      <c r="M193" s="18" t="s">
        <v>123</v>
      </c>
      <c r="N193" s="19">
        <v>46305.949699074103</v>
      </c>
      <c r="O193" s="18">
        <v>360</v>
      </c>
      <c r="P193" s="18" t="s">
        <v>25</v>
      </c>
      <c r="Q193" s="18">
        <v>40</v>
      </c>
      <c r="R193" s="3" t="str">
        <f>IF(OR(G193="12R",G193="12L"),_xlfn.XLOOKUP(C193,Tabla42[ADEP],Tabla42[SID 12R],""),IF(OR(G193="30L",G193="30R"),_xlfn.XLOOKUP(C193,Tabla42[ADEP],Tabla42[SID 30L],""),""))</f>
        <v>ENEBA</v>
      </c>
      <c r="S193" s="3">
        <f t="shared" si="2"/>
        <v>22</v>
      </c>
      <c r="T193" s="3" t="str">
        <f>_xlfn.XLOOKUP(C193,Tabla42[ADEP],Tabla42[Sector],"")</f>
        <v>Sector 3</v>
      </c>
    </row>
    <row r="194" spans="1:20" x14ac:dyDescent="0.2">
      <c r="A194" s="18" t="s">
        <v>1751</v>
      </c>
      <c r="B194" s="18" t="s">
        <v>18</v>
      </c>
      <c r="C194" s="18" t="s">
        <v>814</v>
      </c>
      <c r="D194" s="18" t="s">
        <v>306</v>
      </c>
      <c r="E194" s="18" t="s">
        <v>3766</v>
      </c>
      <c r="F194" s="19">
        <v>46305.9214699074</v>
      </c>
      <c r="G194" s="18" t="s">
        <v>21</v>
      </c>
      <c r="H194" s="18" t="s">
        <v>3767</v>
      </c>
      <c r="I194" s="18">
        <v>340</v>
      </c>
      <c r="J194" s="18" t="s">
        <v>22</v>
      </c>
      <c r="K194" s="18" t="s">
        <v>23</v>
      </c>
      <c r="L194" s="18">
        <v>535</v>
      </c>
      <c r="M194" s="18" t="s">
        <v>123</v>
      </c>
      <c r="N194" s="19">
        <v>46305.950949074097</v>
      </c>
      <c r="O194" s="18">
        <v>320</v>
      </c>
      <c r="P194" s="18" t="s">
        <v>25</v>
      </c>
      <c r="Q194" s="18">
        <v>40</v>
      </c>
      <c r="R194" s="3" t="str">
        <f>IF(OR(G194="12R",G194="12L"),_xlfn.XLOOKUP(C194,Tabla42[ADEP],Tabla42[SID 12R],""),IF(OR(G194="30L",G194="30R"),_xlfn.XLOOKUP(C194,Tabla42[ADEP],Tabla42[SID 30L],""),""))</f>
        <v>ENEBA</v>
      </c>
      <c r="S194" s="3">
        <f t="shared" si="2"/>
        <v>22</v>
      </c>
      <c r="T194" s="3" t="str">
        <f>_xlfn.XLOOKUP(C194,Tabla42[ADEP],Tabla42[Sector],"")</f>
        <v>Sector 3</v>
      </c>
    </row>
    <row r="195" spans="1:20" x14ac:dyDescent="0.2">
      <c r="A195" s="18" t="s">
        <v>3768</v>
      </c>
      <c r="B195" s="18" t="s">
        <v>18</v>
      </c>
      <c r="C195" s="18" t="s">
        <v>49</v>
      </c>
      <c r="D195" s="18" t="s">
        <v>124</v>
      </c>
      <c r="E195" s="18"/>
      <c r="F195" s="19">
        <v>46305.922465277799</v>
      </c>
      <c r="G195" s="18" t="s">
        <v>21</v>
      </c>
      <c r="H195" s="18" t="s">
        <v>3769</v>
      </c>
      <c r="I195" s="18">
        <v>400</v>
      </c>
      <c r="J195" s="18" t="s">
        <v>22</v>
      </c>
      <c r="K195" s="18" t="s">
        <v>50</v>
      </c>
      <c r="L195" s="18">
        <v>859</v>
      </c>
      <c r="M195" s="18" t="s">
        <v>45</v>
      </c>
      <c r="N195" s="19">
        <v>46305.973449074103</v>
      </c>
      <c r="O195" s="18">
        <v>400</v>
      </c>
      <c r="P195" s="18" t="s">
        <v>25</v>
      </c>
      <c r="Q195" s="18">
        <v>30</v>
      </c>
      <c r="R195" s="3" t="str">
        <f>IF(OR(G195="12R",G195="12L"),_xlfn.XLOOKUP(C195,Tabla42[ADEP],Tabla42[SID 12R],""),IF(OR(G195="30L",G195="30R"),_xlfn.XLOOKUP(C195,Tabla42[ADEP],Tabla42[SID 30L],""),""))</f>
        <v>UDGUV</v>
      </c>
      <c r="S195" s="3">
        <f t="shared" ref="S195:S220" si="3">HOUR(F195)</f>
        <v>22</v>
      </c>
      <c r="T195" s="3" t="str">
        <f>_xlfn.XLOOKUP(C195,Tabla42[ADEP],Tabla42[Sector],"")</f>
        <v>Sector 2</v>
      </c>
    </row>
    <row r="196" spans="1:20" x14ac:dyDescent="0.2">
      <c r="A196" s="18" t="s">
        <v>611</v>
      </c>
      <c r="B196" s="18" t="s">
        <v>18</v>
      </c>
      <c r="C196" s="18" t="s">
        <v>297</v>
      </c>
      <c r="D196" s="18" t="s">
        <v>243</v>
      </c>
      <c r="E196" s="18" t="s">
        <v>298</v>
      </c>
      <c r="F196" s="19">
        <v>46305.923460648097</v>
      </c>
      <c r="G196" s="18" t="s">
        <v>21</v>
      </c>
      <c r="H196" s="18" t="s">
        <v>3770</v>
      </c>
      <c r="I196" s="18">
        <v>370</v>
      </c>
      <c r="J196" s="18" t="s">
        <v>22</v>
      </c>
      <c r="K196" s="18" t="s">
        <v>23</v>
      </c>
      <c r="L196" s="18">
        <v>136</v>
      </c>
      <c r="M196" s="18" t="s">
        <v>39</v>
      </c>
      <c r="N196" s="19">
        <v>46305.933344907397</v>
      </c>
      <c r="O196" s="18">
        <v>240</v>
      </c>
      <c r="P196" s="18" t="s">
        <v>40</v>
      </c>
      <c r="Q196" s="18">
        <v>190</v>
      </c>
      <c r="R196" s="3" t="str">
        <f>IF(OR(G196="12R",G196="12L"),_xlfn.XLOOKUP(C196,Tabla42[ADEP],Tabla42[SID 12R],""),IF(OR(G196="30L",G196="30R"),_xlfn.XLOOKUP(C196,Tabla42[ADEP],Tabla42[SID 30L],""),""))</f>
        <v>NUDAL</v>
      </c>
      <c r="S196" s="3">
        <f t="shared" si="3"/>
        <v>22</v>
      </c>
      <c r="T196" s="3" t="str">
        <f>_xlfn.XLOOKUP(C196,Tabla42[ADEP],Tabla42[Sector],"")</f>
        <v>Sector 3</v>
      </c>
    </row>
    <row r="197" spans="1:20" x14ac:dyDescent="0.2">
      <c r="A197" s="18" t="s">
        <v>488</v>
      </c>
      <c r="B197" s="18" t="s">
        <v>18</v>
      </c>
      <c r="C197" s="18" t="s">
        <v>489</v>
      </c>
      <c r="D197" s="18" t="s">
        <v>28</v>
      </c>
      <c r="E197" s="18" t="s">
        <v>2774</v>
      </c>
      <c r="F197" s="19">
        <v>46305.935914351903</v>
      </c>
      <c r="G197" s="18" t="s">
        <v>21</v>
      </c>
      <c r="H197" s="18" t="s">
        <v>3771</v>
      </c>
      <c r="I197" s="18">
        <v>340</v>
      </c>
      <c r="J197" s="18" t="s">
        <v>22</v>
      </c>
      <c r="K197" s="18" t="s">
        <v>23</v>
      </c>
      <c r="L197" s="18">
        <v>532</v>
      </c>
      <c r="M197" s="18" t="s">
        <v>123</v>
      </c>
      <c r="N197" s="19">
        <v>46305.964907407397</v>
      </c>
      <c r="O197" s="18">
        <v>340</v>
      </c>
      <c r="P197" s="18" t="s">
        <v>25</v>
      </c>
      <c r="Q197" s="18">
        <v>40</v>
      </c>
      <c r="R197" s="3" t="str">
        <f>IF(OR(G197="12R",G197="12L"),_xlfn.XLOOKUP(C197,Tabla42[ADEP],Tabla42[SID 12R],""),IF(OR(G197="30L",G197="30R"),_xlfn.XLOOKUP(C197,Tabla42[ADEP],Tabla42[SID 30L],""),""))</f>
        <v>OMSUK</v>
      </c>
      <c r="S197" s="3">
        <f t="shared" si="3"/>
        <v>22</v>
      </c>
      <c r="T197" s="3" t="str">
        <f>_xlfn.XLOOKUP(C197,Tabla42[ADEP],Tabla42[Sector],"")</f>
        <v>Sector 3</v>
      </c>
    </row>
    <row r="198" spans="1:20" x14ac:dyDescent="0.2">
      <c r="A198" s="18" t="s">
        <v>503</v>
      </c>
      <c r="B198" s="18" t="s">
        <v>18</v>
      </c>
      <c r="C198" s="18" t="s">
        <v>489</v>
      </c>
      <c r="D198" s="18" t="s">
        <v>28</v>
      </c>
      <c r="E198" s="18" t="s">
        <v>2782</v>
      </c>
      <c r="F198" s="19">
        <v>46305.940011574101</v>
      </c>
      <c r="G198" s="18" t="s">
        <v>21</v>
      </c>
      <c r="H198" s="18" t="s">
        <v>3772</v>
      </c>
      <c r="I198" s="18">
        <v>340</v>
      </c>
      <c r="J198" s="18" t="s">
        <v>22</v>
      </c>
      <c r="K198" s="18" t="s">
        <v>23</v>
      </c>
      <c r="L198" s="18">
        <v>539</v>
      </c>
      <c r="M198" s="18" t="s">
        <v>123</v>
      </c>
      <c r="N198" s="19">
        <v>46305.969166666699</v>
      </c>
      <c r="O198" s="18">
        <v>324</v>
      </c>
      <c r="P198" s="18" t="s">
        <v>25</v>
      </c>
      <c r="Q198" s="18">
        <v>40</v>
      </c>
      <c r="R198" s="3" t="str">
        <f>IF(OR(G198="12R",G198="12L"),_xlfn.XLOOKUP(C198,Tabla42[ADEP],Tabla42[SID 12R],""),IF(OR(G198="30L",G198="30R"),_xlfn.XLOOKUP(C198,Tabla42[ADEP],Tabla42[SID 30L],""),""))</f>
        <v>OMSUK</v>
      </c>
      <c r="S198" s="3">
        <f t="shared" si="3"/>
        <v>22</v>
      </c>
      <c r="T198" s="3" t="str">
        <f>_xlfn.XLOOKUP(C198,Tabla42[ADEP],Tabla42[Sector],"")</f>
        <v>Sector 3</v>
      </c>
    </row>
    <row r="199" spans="1:20" x14ac:dyDescent="0.2">
      <c r="A199" s="18" t="s">
        <v>1754</v>
      </c>
      <c r="B199" s="18" t="s">
        <v>18</v>
      </c>
      <c r="C199" s="18" t="s">
        <v>874</v>
      </c>
      <c r="D199" s="18" t="s">
        <v>110</v>
      </c>
      <c r="E199" s="18" t="s">
        <v>3773</v>
      </c>
      <c r="F199" s="19">
        <v>46305.941412036998</v>
      </c>
      <c r="G199" s="18" t="s">
        <v>21</v>
      </c>
      <c r="H199" s="18" t="s">
        <v>3774</v>
      </c>
      <c r="I199" s="18">
        <v>380</v>
      </c>
      <c r="J199" s="18" t="s">
        <v>22</v>
      </c>
      <c r="K199" s="18" t="s">
        <v>23</v>
      </c>
      <c r="L199" s="18">
        <v>532</v>
      </c>
      <c r="M199" s="18" t="s">
        <v>123</v>
      </c>
      <c r="N199" s="19">
        <v>46305.971157407403</v>
      </c>
      <c r="O199" s="18">
        <v>380</v>
      </c>
      <c r="P199" s="18" t="s">
        <v>25</v>
      </c>
      <c r="Q199" s="18">
        <v>40</v>
      </c>
      <c r="R199" s="3" t="str">
        <f>IF(OR(G199="12R",G199="12L"),_xlfn.XLOOKUP(C199,Tabla42[ADEP],Tabla42[SID 12R],""),IF(OR(G199="30L",G199="30R"),_xlfn.XLOOKUP(C199,Tabla42[ADEP],Tabla42[SID 30L],""),""))</f>
        <v>ENEBA</v>
      </c>
      <c r="S199" s="3">
        <f t="shared" si="3"/>
        <v>22</v>
      </c>
      <c r="T199" s="3" t="str">
        <f>_xlfn.XLOOKUP(C199,Tabla42[ADEP],Tabla42[Sector],"")</f>
        <v>Sector 3</v>
      </c>
    </row>
    <row r="200" spans="1:20" x14ac:dyDescent="0.2">
      <c r="A200" s="18" t="s">
        <v>323</v>
      </c>
      <c r="B200" s="18" t="s">
        <v>18</v>
      </c>
      <c r="C200" s="18" t="s">
        <v>32</v>
      </c>
      <c r="D200" s="18" t="s">
        <v>53</v>
      </c>
      <c r="E200" s="18" t="s">
        <v>2511</v>
      </c>
      <c r="F200" s="19">
        <v>46305.942164351902</v>
      </c>
      <c r="G200" s="18" t="s">
        <v>21</v>
      </c>
      <c r="H200" s="18" t="s">
        <v>3775</v>
      </c>
      <c r="I200" s="18">
        <v>360</v>
      </c>
      <c r="J200" s="18" t="s">
        <v>22</v>
      </c>
      <c r="K200" s="18" t="s">
        <v>23</v>
      </c>
      <c r="L200" s="18">
        <v>864</v>
      </c>
      <c r="M200" s="18" t="s">
        <v>35</v>
      </c>
      <c r="N200" s="19">
        <v>46305.989074074103</v>
      </c>
      <c r="O200" s="18">
        <v>360</v>
      </c>
      <c r="P200" s="18" t="s">
        <v>25</v>
      </c>
      <c r="Q200" s="18">
        <v>190</v>
      </c>
      <c r="R200" s="3" t="str">
        <f>IF(OR(G200="12R",G200="12L"),_xlfn.XLOOKUP(C200,Tabla42[ADEP],Tabla42[SID 12R],""),IF(OR(G200="30L",G200="30R"),_xlfn.XLOOKUP(C200,Tabla42[ADEP],Tabla42[SID 30L],""),""))</f>
        <v>UDGUV</v>
      </c>
      <c r="S200" s="3">
        <f t="shared" si="3"/>
        <v>22</v>
      </c>
      <c r="T200" s="3" t="str">
        <f>_xlfn.XLOOKUP(C200,Tabla42[ADEP],Tabla42[Sector],"")</f>
        <v>Sector 2</v>
      </c>
    </row>
    <row r="201" spans="1:20" x14ac:dyDescent="0.2">
      <c r="A201" s="18" t="s">
        <v>318</v>
      </c>
      <c r="B201" s="18" t="s">
        <v>18</v>
      </c>
      <c r="C201" s="18" t="s">
        <v>116</v>
      </c>
      <c r="D201" s="18" t="s">
        <v>43</v>
      </c>
      <c r="E201" s="18" t="s">
        <v>2391</v>
      </c>
      <c r="F201" s="19">
        <v>46305.942708333299</v>
      </c>
      <c r="G201" s="18" t="s">
        <v>21</v>
      </c>
      <c r="H201" s="18" t="s">
        <v>3776</v>
      </c>
      <c r="I201" s="18">
        <v>340</v>
      </c>
      <c r="J201" s="18" t="s">
        <v>22</v>
      </c>
      <c r="K201" s="18" t="s">
        <v>23</v>
      </c>
      <c r="L201" s="18">
        <v>564</v>
      </c>
      <c r="M201" s="18" t="s">
        <v>123</v>
      </c>
      <c r="N201" s="19">
        <v>46305.973009259302</v>
      </c>
      <c r="O201" s="18">
        <v>340</v>
      </c>
      <c r="P201" s="18" t="s">
        <v>25</v>
      </c>
      <c r="Q201" s="18">
        <v>40</v>
      </c>
      <c r="R201" s="3" t="str">
        <f>IF(OR(G201="12R",G201="12L"),_xlfn.XLOOKUP(C201,Tabla42[ADEP],Tabla42[SID 12R],""),IF(OR(G201="30L",G201="30R"),_xlfn.XLOOKUP(C201,Tabla42[ADEP],Tabla42[SID 30L],""),""))</f>
        <v>ENEBA</v>
      </c>
      <c r="S201" s="3">
        <f t="shared" si="3"/>
        <v>22</v>
      </c>
      <c r="T201" s="3" t="str">
        <f>_xlfn.XLOOKUP(C201,Tabla42[ADEP],Tabla42[Sector],"")</f>
        <v>Sector 3</v>
      </c>
    </row>
    <row r="202" spans="1:20" x14ac:dyDescent="0.2">
      <c r="A202" s="18" t="s">
        <v>328</v>
      </c>
      <c r="B202" s="18" t="s">
        <v>18</v>
      </c>
      <c r="C202" s="18" t="s">
        <v>42</v>
      </c>
      <c r="D202" s="18" t="s">
        <v>43</v>
      </c>
      <c r="E202" s="18" t="s">
        <v>509</v>
      </c>
      <c r="F202" s="19">
        <v>46305.943634259304</v>
      </c>
      <c r="G202" s="18" t="s">
        <v>21</v>
      </c>
      <c r="H202" s="18" t="s">
        <v>3777</v>
      </c>
      <c r="I202" s="18">
        <v>340</v>
      </c>
      <c r="J202" s="18" t="s">
        <v>22</v>
      </c>
      <c r="K202" s="18" t="s">
        <v>23</v>
      </c>
      <c r="L202" s="18">
        <v>860</v>
      </c>
      <c r="M202" s="18" t="s">
        <v>45</v>
      </c>
      <c r="N202" s="19">
        <v>46305.988449074102</v>
      </c>
      <c r="O202" s="18">
        <v>340</v>
      </c>
      <c r="P202" s="18" t="s">
        <v>25</v>
      </c>
      <c r="Q202" s="18">
        <v>190</v>
      </c>
      <c r="R202" s="3" t="str">
        <f>IF(OR(G202="12R",G202="12L"),_xlfn.XLOOKUP(C202,Tabla42[ADEP],Tabla42[SID 12R],""),IF(OR(G202="30L",G202="30R"),_xlfn.XLOOKUP(C202,Tabla42[ADEP],Tabla42[SID 30L],""),""))</f>
        <v>UDGUV</v>
      </c>
      <c r="S202" s="3">
        <f t="shared" si="3"/>
        <v>22</v>
      </c>
      <c r="T202" s="3" t="str">
        <f>_xlfn.XLOOKUP(C202,Tabla42[ADEP],Tabla42[Sector],"")</f>
        <v>Sector 2</v>
      </c>
    </row>
    <row r="203" spans="1:20" x14ac:dyDescent="0.2">
      <c r="A203" s="18" t="s">
        <v>480</v>
      </c>
      <c r="B203" s="18" t="s">
        <v>18</v>
      </c>
      <c r="C203" s="18" t="s">
        <v>164</v>
      </c>
      <c r="D203" s="18" t="s">
        <v>43</v>
      </c>
      <c r="E203" s="18" t="s">
        <v>832</v>
      </c>
      <c r="F203" s="19">
        <v>46305.946909722203</v>
      </c>
      <c r="G203" s="18" t="s">
        <v>21</v>
      </c>
      <c r="H203" s="18" t="s">
        <v>3778</v>
      </c>
      <c r="I203" s="18">
        <v>320</v>
      </c>
      <c r="J203" s="18" t="s">
        <v>22</v>
      </c>
      <c r="K203" s="18" t="s">
        <v>23</v>
      </c>
      <c r="L203" s="18">
        <v>525</v>
      </c>
      <c r="M203" s="18" t="s">
        <v>3779</v>
      </c>
      <c r="N203" s="19">
        <v>46305.975613425901</v>
      </c>
      <c r="O203" s="18">
        <v>320</v>
      </c>
      <c r="P203" s="18" t="s">
        <v>25</v>
      </c>
      <c r="Q203" s="18">
        <v>40</v>
      </c>
      <c r="R203" s="3" t="str">
        <f>IF(OR(G203="12R",G203="12L"),_xlfn.XLOOKUP(C203,Tabla42[ADEP],Tabla42[SID 12R],""),IF(OR(G203="30L",G203="30R"),_xlfn.XLOOKUP(C203,Tabla42[ADEP],Tabla42[SID 30L],""),""))</f>
        <v>OMSUK</v>
      </c>
      <c r="S203" s="3">
        <f t="shared" si="3"/>
        <v>22</v>
      </c>
      <c r="T203" s="3" t="str">
        <f>_xlfn.XLOOKUP(C203,Tabla42[ADEP],Tabla42[Sector],"")</f>
        <v>Sector 3</v>
      </c>
    </row>
    <row r="204" spans="1:20" x14ac:dyDescent="0.2">
      <c r="A204" s="18" t="s">
        <v>615</v>
      </c>
      <c r="B204" s="18" t="s">
        <v>18</v>
      </c>
      <c r="C204" s="18" t="s">
        <v>303</v>
      </c>
      <c r="D204" s="18" t="s">
        <v>28</v>
      </c>
      <c r="E204" s="18" t="s">
        <v>3780</v>
      </c>
      <c r="F204" s="19">
        <v>46305.948622685202</v>
      </c>
      <c r="G204" s="18" t="s">
        <v>21</v>
      </c>
      <c r="H204" s="18" t="s">
        <v>3781</v>
      </c>
      <c r="I204" s="18">
        <v>360</v>
      </c>
      <c r="J204" s="18" t="s">
        <v>22</v>
      </c>
      <c r="K204" s="18" t="s">
        <v>23</v>
      </c>
      <c r="L204" s="18">
        <v>578</v>
      </c>
      <c r="M204" s="18" t="s">
        <v>123</v>
      </c>
      <c r="N204" s="19">
        <v>46305.981284722198</v>
      </c>
      <c r="O204" s="18">
        <v>360</v>
      </c>
      <c r="P204" s="18" t="s">
        <v>25</v>
      </c>
      <c r="Q204" s="18">
        <v>40</v>
      </c>
      <c r="R204" s="3" t="str">
        <f>IF(OR(G204="12R",G204="12L"),_xlfn.XLOOKUP(C204,Tabla42[ADEP],Tabla42[SID 12R],""),IF(OR(G204="30L",G204="30R"),_xlfn.XLOOKUP(C204,Tabla42[ADEP],Tabla42[SID 30L],""),""))</f>
        <v>OMSUK</v>
      </c>
      <c r="S204" s="3">
        <f t="shared" si="3"/>
        <v>22</v>
      </c>
      <c r="T204" s="3" t="str">
        <f>_xlfn.XLOOKUP(C204,Tabla42[ADEP],Tabla42[Sector],"")</f>
        <v>Sector 3</v>
      </c>
    </row>
    <row r="205" spans="1:20" x14ac:dyDescent="0.2">
      <c r="A205" s="18" t="s">
        <v>319</v>
      </c>
      <c r="B205" s="18" t="s">
        <v>18</v>
      </c>
      <c r="C205" s="18" t="s">
        <v>320</v>
      </c>
      <c r="D205" s="18" t="s">
        <v>33</v>
      </c>
      <c r="E205" s="18" t="s">
        <v>558</v>
      </c>
      <c r="F205" s="19">
        <v>46305.952465277798</v>
      </c>
      <c r="G205" s="18" t="s">
        <v>21</v>
      </c>
      <c r="H205" s="18" t="s">
        <v>3782</v>
      </c>
      <c r="I205" s="18">
        <v>360</v>
      </c>
      <c r="J205" s="18" t="s">
        <v>22</v>
      </c>
      <c r="K205" s="18" t="s">
        <v>23</v>
      </c>
      <c r="L205" s="18">
        <v>872</v>
      </c>
      <c r="M205" s="18" t="s">
        <v>3783</v>
      </c>
      <c r="N205" s="19">
        <v>46305.999976851897</v>
      </c>
      <c r="O205" s="18">
        <v>360</v>
      </c>
      <c r="P205" s="18" t="s">
        <v>25</v>
      </c>
      <c r="Q205" s="18">
        <v>190</v>
      </c>
      <c r="R205" s="3" t="str">
        <f>IF(OR(G205="12R",G205="12L"),_xlfn.XLOOKUP(C205,Tabla42[ADEP],Tabla42[SID 12R],""),IF(OR(G205="30L",G205="30R"),_xlfn.XLOOKUP(C205,Tabla42[ADEP],Tabla42[SID 30L],""),""))</f>
        <v>UDGUV</v>
      </c>
      <c r="S205" s="3">
        <f t="shared" si="3"/>
        <v>22</v>
      </c>
      <c r="T205" s="3" t="str">
        <f>_xlfn.XLOOKUP(C205,Tabla42[ADEP],Tabla42[Sector],"")</f>
        <v>Sector 2</v>
      </c>
    </row>
    <row r="206" spans="1:20" x14ac:dyDescent="0.2">
      <c r="A206" s="18" t="s">
        <v>3784</v>
      </c>
      <c r="B206" s="18" t="s">
        <v>18</v>
      </c>
      <c r="C206" s="18" t="s">
        <v>27</v>
      </c>
      <c r="D206" s="18" t="s">
        <v>226</v>
      </c>
      <c r="E206" s="18" t="s">
        <v>3785</v>
      </c>
      <c r="F206" s="19">
        <v>46305.9537962963</v>
      </c>
      <c r="G206" s="18" t="s">
        <v>21</v>
      </c>
      <c r="H206" s="18" t="s">
        <v>3786</v>
      </c>
      <c r="I206" s="18">
        <v>330</v>
      </c>
      <c r="J206" s="18" t="s">
        <v>22</v>
      </c>
      <c r="K206" s="18" t="s">
        <v>23</v>
      </c>
      <c r="L206" s="18">
        <v>360</v>
      </c>
      <c r="M206" s="18" t="s">
        <v>30</v>
      </c>
      <c r="N206" s="19">
        <v>46305.974861111099</v>
      </c>
      <c r="O206" s="18">
        <v>330</v>
      </c>
      <c r="P206" s="18" t="s">
        <v>25</v>
      </c>
      <c r="Q206" s="18">
        <v>40</v>
      </c>
      <c r="R206" s="3" t="str">
        <f>IF(OR(G206="12R",G206="12L"),_xlfn.XLOOKUP(C206,Tabla42[ADEP],Tabla42[SID 12R],""),IF(OR(G206="30L",G206="30R"),_xlfn.XLOOKUP(C206,Tabla42[ADEP],Tabla42[SID 30L],""),""))</f>
        <v>OMSUK</v>
      </c>
      <c r="S206" s="3">
        <f t="shared" si="3"/>
        <v>22</v>
      </c>
      <c r="T206" s="3" t="str">
        <f>_xlfn.XLOOKUP(C206,Tabla42[ADEP],Tabla42[Sector],"")</f>
        <v>Sector 3</v>
      </c>
    </row>
    <row r="207" spans="1:20" x14ac:dyDescent="0.2">
      <c r="A207" s="18" t="s">
        <v>324</v>
      </c>
      <c r="B207" s="18" t="s">
        <v>18</v>
      </c>
      <c r="C207" s="18" t="s">
        <v>206</v>
      </c>
      <c r="D207" s="18" t="s">
        <v>53</v>
      </c>
      <c r="E207" s="18" t="s">
        <v>2036</v>
      </c>
      <c r="F207" s="19">
        <v>46305.9546527778</v>
      </c>
      <c r="G207" s="18" t="s">
        <v>21</v>
      </c>
      <c r="H207" s="18" t="s">
        <v>3787</v>
      </c>
      <c r="I207" s="18">
        <v>380</v>
      </c>
      <c r="J207" s="18" t="s">
        <v>22</v>
      </c>
      <c r="K207" s="18" t="s">
        <v>23</v>
      </c>
      <c r="L207" s="18">
        <v>917</v>
      </c>
      <c r="M207" s="18" t="s">
        <v>1532</v>
      </c>
      <c r="N207" s="19">
        <v>46306.003900463002</v>
      </c>
      <c r="O207" s="18">
        <v>380</v>
      </c>
      <c r="P207" s="18" t="s">
        <v>25</v>
      </c>
      <c r="Q207" s="18">
        <v>190</v>
      </c>
      <c r="R207" s="3" t="str">
        <f>IF(OR(G207="12R",G207="12L"),_xlfn.XLOOKUP(C207,Tabla42[ADEP],Tabla42[SID 12R],""),IF(OR(G207="30L",G207="30R"),_xlfn.XLOOKUP(C207,Tabla42[ADEP],Tabla42[SID 30L],""),""))</f>
        <v>UDGUV</v>
      </c>
      <c r="S207" s="3">
        <f t="shared" si="3"/>
        <v>22</v>
      </c>
      <c r="T207" s="3" t="str">
        <f>_xlfn.XLOOKUP(C207,Tabla42[ADEP],Tabla42[Sector],"")</f>
        <v>Sector 2</v>
      </c>
    </row>
    <row r="208" spans="1:20" ht="16" customHeight="1" x14ac:dyDescent="0.2">
      <c r="A208" s="18" t="s">
        <v>3788</v>
      </c>
      <c r="B208" s="18" t="s">
        <v>18</v>
      </c>
      <c r="C208" s="18" t="s">
        <v>18</v>
      </c>
      <c r="D208" s="18" t="s">
        <v>3789</v>
      </c>
      <c r="E208" s="18"/>
      <c r="F208" s="19">
        <v>46305.966145833299</v>
      </c>
      <c r="G208" s="18" t="s">
        <v>21</v>
      </c>
      <c r="H208" s="18" t="s">
        <v>2078</v>
      </c>
      <c r="I208" s="18">
        <v>10</v>
      </c>
      <c r="J208" s="18" t="s">
        <v>130</v>
      </c>
      <c r="K208" s="18" t="s">
        <v>50</v>
      </c>
      <c r="L208" s="18">
        <v>105</v>
      </c>
      <c r="M208" s="18" t="s">
        <v>18</v>
      </c>
      <c r="N208" s="19">
        <v>46306.001805555599</v>
      </c>
      <c r="O208" s="18">
        <v>0</v>
      </c>
      <c r="P208" s="18" t="s">
        <v>129</v>
      </c>
      <c r="Q208" s="18">
        <v>10</v>
      </c>
      <c r="R208" s="3" t="str">
        <f>IF(OR(G208="12R",G208="12L"),_xlfn.XLOOKUP(C208,Tabla42[ADEP],Tabla42[SID 12R],""),IF(OR(G208="30L",G208="30R"),_xlfn.XLOOKUP(C208,Tabla42[ADEP],Tabla42[SID 30L],""),""))</f>
        <v/>
      </c>
      <c r="S208" s="3">
        <f t="shared" si="3"/>
        <v>23</v>
      </c>
      <c r="T208" s="3" t="str">
        <f>_xlfn.XLOOKUP(C208,Tabla42[ADEP],Tabla42[Sector],"")</f>
        <v/>
      </c>
    </row>
    <row r="209" spans="1:20" ht="16" customHeight="1" x14ac:dyDescent="0.2">
      <c r="A209" s="18" t="s">
        <v>330</v>
      </c>
      <c r="B209" s="18" t="s">
        <v>18</v>
      </c>
      <c r="C209" s="18" t="s">
        <v>62</v>
      </c>
      <c r="D209" s="18" t="s">
        <v>33</v>
      </c>
      <c r="E209" s="18" t="s">
        <v>281</v>
      </c>
      <c r="F209" s="19">
        <v>46305.967905092599</v>
      </c>
      <c r="G209" s="18" t="s">
        <v>21</v>
      </c>
      <c r="H209" s="18" t="s">
        <v>3790</v>
      </c>
      <c r="I209" s="18">
        <v>360</v>
      </c>
      <c r="J209" s="18" t="s">
        <v>22</v>
      </c>
      <c r="K209" s="18" t="s">
        <v>23</v>
      </c>
      <c r="L209" s="18">
        <v>864</v>
      </c>
      <c r="M209" s="18" t="s">
        <v>505</v>
      </c>
      <c r="N209" s="19">
        <v>46306.015694444402</v>
      </c>
      <c r="O209" s="18">
        <v>360</v>
      </c>
      <c r="P209" s="18" t="s">
        <v>25</v>
      </c>
      <c r="Q209" s="18">
        <v>190</v>
      </c>
      <c r="R209" s="3" t="str">
        <f>IF(OR(G209="12R",G209="12L"),_xlfn.XLOOKUP(C209,Tabla42[ADEP],Tabla42[SID 12R],""),IF(OR(G209="30L",G209="30R"),_xlfn.XLOOKUP(C209,Tabla42[ADEP],Tabla42[SID 30L],""),""))</f>
        <v>UDGUV</v>
      </c>
      <c r="S209" s="3">
        <f t="shared" si="3"/>
        <v>23</v>
      </c>
      <c r="T209" s="3" t="str">
        <f>_xlfn.XLOOKUP(C209,Tabla42[ADEP],Tabla42[Sector],"")</f>
        <v>Sector 2</v>
      </c>
    </row>
    <row r="210" spans="1:20" x14ac:dyDescent="0.2">
      <c r="A210" s="18" t="s">
        <v>332</v>
      </c>
      <c r="B210" s="18" t="s">
        <v>18</v>
      </c>
      <c r="C210" s="18" t="s">
        <v>257</v>
      </c>
      <c r="D210" s="18" t="s">
        <v>122</v>
      </c>
      <c r="E210" s="18" t="s">
        <v>1580</v>
      </c>
      <c r="F210" s="19">
        <v>46305.969351851898</v>
      </c>
      <c r="G210" s="18" t="s">
        <v>21</v>
      </c>
      <c r="H210" s="18" t="s">
        <v>3791</v>
      </c>
      <c r="I210" s="18">
        <v>340</v>
      </c>
      <c r="J210" s="18" t="s">
        <v>22</v>
      </c>
      <c r="K210" s="18" t="s">
        <v>23</v>
      </c>
      <c r="L210" s="18">
        <v>864</v>
      </c>
      <c r="M210" s="18" t="s">
        <v>35</v>
      </c>
      <c r="N210" s="19">
        <v>46306.014479166697</v>
      </c>
      <c r="O210" s="18">
        <v>340</v>
      </c>
      <c r="P210" s="18" t="s">
        <v>25</v>
      </c>
      <c r="Q210" s="18">
        <v>190</v>
      </c>
      <c r="R210" s="3" t="str">
        <f>IF(OR(G210="12R",G210="12L"),_xlfn.XLOOKUP(C210,Tabla42[ADEP],Tabla42[SID 12R],""),IF(OR(G210="30L",G210="30R"),_xlfn.XLOOKUP(C210,Tabla42[ADEP],Tabla42[SID 30L],""),""))</f>
        <v>UDGUV</v>
      </c>
      <c r="S210" s="3">
        <f t="shared" si="3"/>
        <v>23</v>
      </c>
      <c r="T210" s="3" t="str">
        <f>_xlfn.XLOOKUP(C210,Tabla42[ADEP],Tabla42[Sector],"")</f>
        <v>Sector 2</v>
      </c>
    </row>
    <row r="211" spans="1:20" x14ac:dyDescent="0.2">
      <c r="A211" s="18" t="s">
        <v>317</v>
      </c>
      <c r="B211" s="18" t="s">
        <v>18</v>
      </c>
      <c r="C211" s="18" t="s">
        <v>32</v>
      </c>
      <c r="D211" s="18" t="s">
        <v>20</v>
      </c>
      <c r="E211" s="18" t="s">
        <v>2141</v>
      </c>
      <c r="F211" s="19">
        <v>46305.980624999997</v>
      </c>
      <c r="G211" s="18" t="s">
        <v>21</v>
      </c>
      <c r="H211" s="18" t="s">
        <v>3792</v>
      </c>
      <c r="I211" s="18">
        <v>340</v>
      </c>
      <c r="J211" s="18" t="s">
        <v>22</v>
      </c>
      <c r="K211" s="18" t="s">
        <v>23</v>
      </c>
      <c r="L211" s="18">
        <v>867</v>
      </c>
      <c r="M211" s="18" t="s">
        <v>35</v>
      </c>
      <c r="N211" s="19">
        <v>46306.028078703697</v>
      </c>
      <c r="O211" s="18">
        <v>340</v>
      </c>
      <c r="P211" s="18" t="s">
        <v>25</v>
      </c>
      <c r="Q211" s="18">
        <v>190</v>
      </c>
      <c r="R211" s="3" t="str">
        <f>IF(OR(G211="12R",G211="12L"),_xlfn.XLOOKUP(C211,Tabla42[ADEP],Tabla42[SID 12R],""),IF(OR(G211="30L",G211="30R"),_xlfn.XLOOKUP(C211,Tabla42[ADEP],Tabla42[SID 30L],""),""))</f>
        <v>UDGUV</v>
      </c>
      <c r="S211" s="3">
        <f t="shared" si="3"/>
        <v>23</v>
      </c>
      <c r="T211" s="3" t="str">
        <f>_xlfn.XLOOKUP(C211,Tabla42[ADEP],Tabla42[Sector],"")</f>
        <v>Sector 2</v>
      </c>
    </row>
    <row r="212" spans="1:20" x14ac:dyDescent="0.2">
      <c r="A212" s="18" t="s">
        <v>334</v>
      </c>
      <c r="B212" s="18" t="s">
        <v>18</v>
      </c>
      <c r="C212" s="18" t="s">
        <v>42</v>
      </c>
      <c r="D212" s="18" t="s">
        <v>122</v>
      </c>
      <c r="E212" s="18" t="s">
        <v>752</v>
      </c>
      <c r="F212" s="19">
        <v>46305.984988425902</v>
      </c>
      <c r="G212" s="18" t="s">
        <v>21</v>
      </c>
      <c r="H212" s="18" t="s">
        <v>3793</v>
      </c>
      <c r="I212" s="18">
        <v>380</v>
      </c>
      <c r="J212" s="18" t="s">
        <v>22</v>
      </c>
      <c r="K212" s="18" t="s">
        <v>23</v>
      </c>
      <c r="L212" s="18">
        <v>862</v>
      </c>
      <c r="M212" s="18" t="s">
        <v>45</v>
      </c>
      <c r="N212" s="19">
        <v>46306.032280092601</v>
      </c>
      <c r="O212" s="18">
        <v>380</v>
      </c>
      <c r="P212" s="18" t="s">
        <v>25</v>
      </c>
      <c r="Q212" s="18">
        <v>190</v>
      </c>
      <c r="R212" s="3" t="str">
        <f>IF(OR(G212="12R",G212="12L"),_xlfn.XLOOKUP(C212,Tabla42[ADEP],Tabla42[SID 12R],""),IF(OR(G212="30L",G212="30R"),_xlfn.XLOOKUP(C212,Tabla42[ADEP],Tabla42[SID 30L],""),""))</f>
        <v>UDGUV</v>
      </c>
      <c r="S212" s="3">
        <f t="shared" si="3"/>
        <v>23</v>
      </c>
      <c r="T212" s="3" t="str">
        <f>_xlfn.XLOOKUP(C212,Tabla42[ADEP],Tabla42[Sector],"")</f>
        <v>Sector 2</v>
      </c>
    </row>
    <row r="213" spans="1:20" x14ac:dyDescent="0.2">
      <c r="A213" s="18" t="s">
        <v>313</v>
      </c>
      <c r="B213" s="18" t="s">
        <v>18</v>
      </c>
      <c r="C213" s="18" t="s">
        <v>73</v>
      </c>
      <c r="D213" s="18" t="s">
        <v>53</v>
      </c>
      <c r="E213" s="18" t="s">
        <v>393</v>
      </c>
      <c r="F213" s="19">
        <v>46305.987939814797</v>
      </c>
      <c r="G213" s="18" t="s">
        <v>21</v>
      </c>
      <c r="H213" s="18" t="s">
        <v>3794</v>
      </c>
      <c r="I213" s="18">
        <v>380</v>
      </c>
      <c r="J213" s="18" t="s">
        <v>22</v>
      </c>
      <c r="K213" s="18" t="s">
        <v>23</v>
      </c>
      <c r="L213" s="18">
        <v>724</v>
      </c>
      <c r="M213" s="18" t="s">
        <v>73</v>
      </c>
      <c r="N213" s="19">
        <v>46306.0307986111</v>
      </c>
      <c r="O213" s="18">
        <v>0</v>
      </c>
      <c r="P213" s="18" t="s">
        <v>25</v>
      </c>
      <c r="Q213" s="18">
        <v>190</v>
      </c>
      <c r="R213" s="3" t="str">
        <f>IF(OR(G213="12R",G213="12L"),_xlfn.XLOOKUP(C213,Tabla42[ADEP],Tabla42[SID 12R],""),IF(OR(G213="30L",G213="30R"),_xlfn.XLOOKUP(C213,Tabla42[ADEP],Tabla42[SID 30L],""),""))</f>
        <v>UDGUV</v>
      </c>
      <c r="S213" s="3">
        <f t="shared" si="3"/>
        <v>23</v>
      </c>
      <c r="T213" s="3" t="str">
        <f>_xlfn.XLOOKUP(C213,Tabla42[ADEP],Tabla42[Sector],"")</f>
        <v>Sector 2</v>
      </c>
    </row>
    <row r="214" spans="1:20" x14ac:dyDescent="0.2">
      <c r="A214" s="18" t="s">
        <v>333</v>
      </c>
      <c r="B214" s="18" t="s">
        <v>18</v>
      </c>
      <c r="C214" s="18" t="s">
        <v>204</v>
      </c>
      <c r="D214" s="18" t="s">
        <v>53</v>
      </c>
      <c r="E214" s="18" t="s">
        <v>1986</v>
      </c>
      <c r="F214" s="19">
        <v>46305.9928587963</v>
      </c>
      <c r="G214" s="18" t="s">
        <v>21</v>
      </c>
      <c r="H214" s="18" t="s">
        <v>3795</v>
      </c>
      <c r="I214" s="18">
        <v>370</v>
      </c>
      <c r="J214" s="18" t="s">
        <v>22</v>
      </c>
      <c r="K214" s="18" t="s">
        <v>23</v>
      </c>
      <c r="L214" s="18">
        <v>149</v>
      </c>
      <c r="M214" s="18" t="s">
        <v>111</v>
      </c>
      <c r="N214" s="19">
        <v>46306.003287036998</v>
      </c>
      <c r="O214" s="18">
        <v>290</v>
      </c>
      <c r="P214" s="18" t="s">
        <v>25</v>
      </c>
      <c r="Q214" s="18">
        <v>190</v>
      </c>
      <c r="R214" s="3" t="str">
        <f>IF(OR(G214="12R",G214="12L"),_xlfn.XLOOKUP(C214,Tabla42[ADEP],Tabla42[SID 12R],""),IF(OR(G214="30L",G214="30R"),_xlfn.XLOOKUP(C214,Tabla42[ADEP],Tabla42[SID 30L],""),""))</f>
        <v>TAKUX</v>
      </c>
      <c r="S214" s="3">
        <f t="shared" si="3"/>
        <v>23</v>
      </c>
      <c r="T214" s="3" t="str">
        <f>_xlfn.XLOOKUP(C214,Tabla42[ADEP],Tabla42[Sector],"")</f>
        <v>Sector 7</v>
      </c>
    </row>
    <row r="215" spans="1:20" x14ac:dyDescent="0.2">
      <c r="A215" s="18" t="s">
        <v>617</v>
      </c>
      <c r="B215" s="18" t="s">
        <v>18</v>
      </c>
      <c r="C215" s="18" t="s">
        <v>618</v>
      </c>
      <c r="D215" s="18" t="s">
        <v>38</v>
      </c>
      <c r="E215" s="18" t="s">
        <v>3796</v>
      </c>
      <c r="F215" s="19">
        <v>46305.994351851798</v>
      </c>
      <c r="G215" s="18" t="s">
        <v>21</v>
      </c>
      <c r="H215" s="18" t="s">
        <v>3797</v>
      </c>
      <c r="I215" s="18">
        <v>390</v>
      </c>
      <c r="J215" s="18" t="s">
        <v>22</v>
      </c>
      <c r="K215" s="18" t="s">
        <v>23</v>
      </c>
      <c r="L215" s="18">
        <v>359</v>
      </c>
      <c r="M215" s="18" t="s">
        <v>30</v>
      </c>
      <c r="N215" s="19">
        <v>46306.014189814799</v>
      </c>
      <c r="O215" s="18">
        <v>360</v>
      </c>
      <c r="P215" s="18" t="s">
        <v>40</v>
      </c>
      <c r="Q215" s="18">
        <v>40</v>
      </c>
      <c r="R215" s="3" t="str">
        <f>IF(OR(G215="12R",G215="12L"),_xlfn.XLOOKUP(C215,Tabla42[ADEP],Tabla42[SID 12R],""),IF(OR(G215="30L",G215="30R"),_xlfn.XLOOKUP(C215,Tabla42[ADEP],Tabla42[SID 30L],""),""))</f>
        <v>NUDAL</v>
      </c>
      <c r="S215" s="3">
        <f t="shared" si="3"/>
        <v>23</v>
      </c>
      <c r="T215" s="3" t="str">
        <f>_xlfn.XLOOKUP(C215,Tabla42[ADEP],Tabla42[Sector],"")</f>
        <v>Sector 3</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1</v>
      </c>
      <c r="F227" s="8">
        <f t="shared" si="4"/>
        <v>0</v>
      </c>
      <c r="G227" s="8">
        <f t="shared" si="4"/>
        <v>0</v>
      </c>
      <c r="H227" s="8">
        <f t="shared" si="4"/>
        <v>1</v>
      </c>
      <c r="I227" s="9">
        <f t="shared" ref="I227:I235" si="5">SUM(B227:H227)</f>
        <v>2</v>
      </c>
    </row>
    <row r="228" spans="1:9" x14ac:dyDescent="0.2">
      <c r="A228" s="7">
        <v>15</v>
      </c>
      <c r="B228" s="8">
        <f t="shared" si="4"/>
        <v>0</v>
      </c>
      <c r="C228" s="8">
        <f t="shared" si="4"/>
        <v>2</v>
      </c>
      <c r="D228" s="8">
        <f t="shared" si="4"/>
        <v>0</v>
      </c>
      <c r="E228" s="8">
        <f t="shared" si="4"/>
        <v>0</v>
      </c>
      <c r="F228" s="8">
        <f t="shared" si="4"/>
        <v>1</v>
      </c>
      <c r="G228" s="8">
        <f t="shared" si="4"/>
        <v>0</v>
      </c>
      <c r="H228" s="8">
        <f t="shared" si="4"/>
        <v>8</v>
      </c>
      <c r="I228" s="9">
        <f t="shared" si="5"/>
        <v>11</v>
      </c>
    </row>
    <row r="229" spans="1:9" x14ac:dyDescent="0.2">
      <c r="A229" s="7">
        <v>16</v>
      </c>
      <c r="B229" s="8">
        <f t="shared" si="4"/>
        <v>1</v>
      </c>
      <c r="C229" s="8">
        <f t="shared" si="4"/>
        <v>5</v>
      </c>
      <c r="D229" s="8">
        <f t="shared" si="4"/>
        <v>0</v>
      </c>
      <c r="E229" s="8">
        <f t="shared" si="4"/>
        <v>0</v>
      </c>
      <c r="F229" s="8">
        <f t="shared" si="4"/>
        <v>4</v>
      </c>
      <c r="G229" s="8">
        <f t="shared" si="4"/>
        <v>0</v>
      </c>
      <c r="H229" s="8">
        <f t="shared" si="4"/>
        <v>8</v>
      </c>
      <c r="I229" s="9">
        <f t="shared" si="5"/>
        <v>18</v>
      </c>
    </row>
    <row r="230" spans="1:9" x14ac:dyDescent="0.2">
      <c r="A230" s="7">
        <v>17</v>
      </c>
      <c r="B230" s="8">
        <f t="shared" si="4"/>
        <v>0</v>
      </c>
      <c r="C230" s="8">
        <f t="shared" si="4"/>
        <v>5</v>
      </c>
      <c r="D230" s="8">
        <f t="shared" si="4"/>
        <v>1</v>
      </c>
      <c r="E230" s="8">
        <f t="shared" si="4"/>
        <v>2</v>
      </c>
      <c r="F230" s="8">
        <f t="shared" si="4"/>
        <v>3</v>
      </c>
      <c r="G230" s="8">
        <f t="shared" si="4"/>
        <v>1</v>
      </c>
      <c r="H230" s="8">
        <f t="shared" si="4"/>
        <v>6</v>
      </c>
      <c r="I230" s="9">
        <f t="shared" si="5"/>
        <v>18</v>
      </c>
    </row>
    <row r="231" spans="1:9" x14ac:dyDescent="0.2">
      <c r="A231" s="7">
        <v>18</v>
      </c>
      <c r="B231" s="8">
        <f t="shared" si="4"/>
        <v>2</v>
      </c>
      <c r="C231" s="8">
        <f t="shared" si="4"/>
        <v>7</v>
      </c>
      <c r="D231" s="8">
        <f t="shared" si="4"/>
        <v>0</v>
      </c>
      <c r="E231" s="8">
        <f t="shared" si="4"/>
        <v>0</v>
      </c>
      <c r="F231" s="8">
        <f t="shared" si="4"/>
        <v>9</v>
      </c>
      <c r="G231" s="8">
        <f t="shared" si="4"/>
        <v>2</v>
      </c>
      <c r="H231" s="8">
        <f t="shared" si="4"/>
        <v>9</v>
      </c>
      <c r="I231" s="9">
        <f t="shared" si="5"/>
        <v>29</v>
      </c>
    </row>
    <row r="232" spans="1:9" x14ac:dyDescent="0.2">
      <c r="A232" s="7">
        <v>19</v>
      </c>
      <c r="B232" s="8">
        <f t="shared" si="4"/>
        <v>0</v>
      </c>
      <c r="C232" s="8">
        <f t="shared" si="4"/>
        <v>4</v>
      </c>
      <c r="D232" s="8">
        <f t="shared" si="4"/>
        <v>0</v>
      </c>
      <c r="E232" s="8">
        <f t="shared" si="4"/>
        <v>3</v>
      </c>
      <c r="F232" s="8">
        <f t="shared" si="4"/>
        <v>7</v>
      </c>
      <c r="G232" s="8">
        <f t="shared" si="4"/>
        <v>0</v>
      </c>
      <c r="H232" s="8">
        <f t="shared" si="4"/>
        <v>10</v>
      </c>
      <c r="I232" s="9">
        <f t="shared" si="5"/>
        <v>24</v>
      </c>
    </row>
    <row r="233" spans="1:9" x14ac:dyDescent="0.2">
      <c r="A233" s="7">
        <v>20</v>
      </c>
      <c r="B233" s="8">
        <f t="shared" si="4"/>
        <v>1</v>
      </c>
      <c r="C233" s="8">
        <f t="shared" si="4"/>
        <v>7</v>
      </c>
      <c r="D233" s="8">
        <f t="shared" si="4"/>
        <v>0</v>
      </c>
      <c r="E233" s="8">
        <f t="shared" si="4"/>
        <v>1</v>
      </c>
      <c r="F233" s="8">
        <f t="shared" si="4"/>
        <v>2</v>
      </c>
      <c r="G233" s="8">
        <f t="shared" si="4"/>
        <v>1</v>
      </c>
      <c r="H233" s="8">
        <f t="shared" si="4"/>
        <v>4</v>
      </c>
      <c r="I233" s="9">
        <f t="shared" si="5"/>
        <v>16</v>
      </c>
    </row>
    <row r="234" spans="1:9" x14ac:dyDescent="0.2">
      <c r="A234" s="7">
        <v>21</v>
      </c>
      <c r="B234" s="8">
        <f t="shared" si="4"/>
        <v>2</v>
      </c>
      <c r="C234" s="8">
        <f t="shared" si="4"/>
        <v>6</v>
      </c>
      <c r="D234" s="8">
        <f t="shared" si="4"/>
        <v>0</v>
      </c>
      <c r="E234" s="8">
        <f t="shared" si="4"/>
        <v>1</v>
      </c>
      <c r="F234" s="8">
        <f t="shared" si="4"/>
        <v>7</v>
      </c>
      <c r="G234" s="8">
        <f t="shared" si="4"/>
        <v>1</v>
      </c>
      <c r="H234" s="8">
        <f t="shared" si="4"/>
        <v>2</v>
      </c>
      <c r="I234" s="9">
        <f t="shared" si="5"/>
        <v>19</v>
      </c>
    </row>
    <row r="235" spans="1:9" x14ac:dyDescent="0.2">
      <c r="A235" s="10">
        <v>22</v>
      </c>
      <c r="B235" s="11">
        <f t="shared" si="4"/>
        <v>0</v>
      </c>
      <c r="C235" s="11">
        <f t="shared" si="4"/>
        <v>4</v>
      </c>
      <c r="D235" s="11">
        <f t="shared" si="4"/>
        <v>0</v>
      </c>
      <c r="E235" s="11">
        <f t="shared" si="4"/>
        <v>1</v>
      </c>
      <c r="F235" s="11">
        <f t="shared" si="4"/>
        <v>5</v>
      </c>
      <c r="G235" s="11">
        <f t="shared" si="4"/>
        <v>1</v>
      </c>
      <c r="H235" s="11">
        <f t="shared" si="4"/>
        <v>5</v>
      </c>
      <c r="I235" s="12">
        <f t="shared" si="5"/>
        <v>16</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1</v>
      </c>
      <c r="D263" s="8">
        <f t="shared" si="6"/>
        <v>0</v>
      </c>
      <c r="E263" s="9">
        <f t="shared" ref="E263:E272" si="7">SUM(B263:D263)</f>
        <v>2</v>
      </c>
    </row>
    <row r="264" spans="1:9" x14ac:dyDescent="0.2">
      <c r="A264" s="7">
        <v>15</v>
      </c>
      <c r="B264" s="8">
        <f t="shared" si="6"/>
        <v>8</v>
      </c>
      <c r="C264" s="8">
        <f t="shared" si="6"/>
        <v>3</v>
      </c>
      <c r="D264" s="8">
        <f t="shared" si="6"/>
        <v>0</v>
      </c>
      <c r="E264" s="9">
        <f t="shared" si="7"/>
        <v>11</v>
      </c>
    </row>
    <row r="265" spans="1:9" x14ac:dyDescent="0.2">
      <c r="A265" s="7">
        <v>16</v>
      </c>
      <c r="B265" s="8">
        <f t="shared" si="6"/>
        <v>8</v>
      </c>
      <c r="C265" s="8">
        <f t="shared" si="6"/>
        <v>9</v>
      </c>
      <c r="D265" s="8">
        <f t="shared" si="6"/>
        <v>1</v>
      </c>
      <c r="E265" s="9">
        <f t="shared" si="7"/>
        <v>18</v>
      </c>
    </row>
    <row r="266" spans="1:9" x14ac:dyDescent="0.2">
      <c r="A266" s="7">
        <v>17</v>
      </c>
      <c r="B266" s="8">
        <f t="shared" si="6"/>
        <v>6</v>
      </c>
      <c r="C266" s="8">
        <f t="shared" si="6"/>
        <v>10</v>
      </c>
      <c r="D266" s="8">
        <f t="shared" si="6"/>
        <v>2</v>
      </c>
      <c r="E266" s="9">
        <f t="shared" si="7"/>
        <v>18</v>
      </c>
    </row>
    <row r="267" spans="1:9" x14ac:dyDescent="0.2">
      <c r="A267" s="7">
        <v>18</v>
      </c>
      <c r="B267" s="8">
        <f t="shared" si="6"/>
        <v>9</v>
      </c>
      <c r="C267" s="8">
        <f t="shared" si="6"/>
        <v>16</v>
      </c>
      <c r="D267" s="8">
        <f t="shared" si="6"/>
        <v>4</v>
      </c>
      <c r="E267" s="9">
        <f t="shared" si="7"/>
        <v>29</v>
      </c>
    </row>
    <row r="268" spans="1:9" x14ac:dyDescent="0.2">
      <c r="A268" s="7">
        <v>19</v>
      </c>
      <c r="B268" s="8">
        <f t="shared" si="6"/>
        <v>10</v>
      </c>
      <c r="C268" s="8">
        <f t="shared" si="6"/>
        <v>14</v>
      </c>
      <c r="D268" s="8">
        <f t="shared" si="6"/>
        <v>0</v>
      </c>
      <c r="E268" s="9">
        <f t="shared" si="7"/>
        <v>24</v>
      </c>
    </row>
    <row r="269" spans="1:9" x14ac:dyDescent="0.2">
      <c r="A269" s="7">
        <v>20</v>
      </c>
      <c r="B269" s="8">
        <f t="shared" si="6"/>
        <v>4</v>
      </c>
      <c r="C269" s="8">
        <f t="shared" si="6"/>
        <v>10</v>
      </c>
      <c r="D269" s="8">
        <f t="shared" si="6"/>
        <v>2</v>
      </c>
      <c r="E269" s="9">
        <f t="shared" si="7"/>
        <v>16</v>
      </c>
    </row>
    <row r="270" spans="1:9" x14ac:dyDescent="0.2">
      <c r="A270" s="7">
        <v>21</v>
      </c>
      <c r="B270" s="8">
        <f t="shared" si="6"/>
        <v>2</v>
      </c>
      <c r="C270" s="8">
        <f t="shared" si="6"/>
        <v>14</v>
      </c>
      <c r="D270" s="8">
        <f t="shared" si="6"/>
        <v>3</v>
      </c>
      <c r="E270" s="9">
        <f t="shared" si="7"/>
        <v>19</v>
      </c>
    </row>
    <row r="271" spans="1:9" x14ac:dyDescent="0.2">
      <c r="A271" s="7">
        <v>22</v>
      </c>
      <c r="B271" s="8">
        <f t="shared" si="6"/>
        <v>5</v>
      </c>
      <c r="C271" s="8">
        <f t="shared" si="6"/>
        <v>10</v>
      </c>
      <c r="D271" s="8">
        <f t="shared" si="6"/>
        <v>1</v>
      </c>
      <c r="E271" s="9">
        <f t="shared" si="7"/>
        <v>16</v>
      </c>
    </row>
    <row r="272" spans="1:9" x14ac:dyDescent="0.2">
      <c r="A272" s="10">
        <v>23</v>
      </c>
      <c r="B272" s="11">
        <f t="shared" si="6"/>
        <v>5</v>
      </c>
      <c r="C272" s="11">
        <f t="shared" si="6"/>
        <v>1</v>
      </c>
      <c r="D272" s="11">
        <f t="shared" si="6"/>
        <v>1</v>
      </c>
      <c r="E272" s="12">
        <f t="shared" si="7"/>
        <v>7</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8764-AFCA-D24E-B637-7F6BB961F095}">
  <dimension ref="A1:T272"/>
  <sheetViews>
    <sheetView showGridLines="0" zoomScale="110" zoomScaleNormal="110" workbookViewId="0">
      <selection activeCell="A2" sqref="A2:Q197"/>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18" t="s">
        <v>336</v>
      </c>
      <c r="B2" s="18" t="s">
        <v>18</v>
      </c>
      <c r="C2" s="18" t="s">
        <v>290</v>
      </c>
      <c r="D2" s="18" t="s">
        <v>33</v>
      </c>
      <c r="E2" s="18" t="s">
        <v>3798</v>
      </c>
      <c r="F2" s="19">
        <v>46306.000277777799</v>
      </c>
      <c r="G2" s="18" t="s">
        <v>21</v>
      </c>
      <c r="H2" s="18" t="s">
        <v>3799</v>
      </c>
      <c r="I2" s="18">
        <v>330</v>
      </c>
      <c r="J2" s="18" t="s">
        <v>22</v>
      </c>
      <c r="K2" s="18" t="s">
        <v>23</v>
      </c>
      <c r="L2" s="18">
        <v>218</v>
      </c>
      <c r="M2" s="18" t="s">
        <v>55</v>
      </c>
      <c r="N2" s="19">
        <v>46306.015405092599</v>
      </c>
      <c r="O2" s="18">
        <v>275</v>
      </c>
      <c r="P2" s="18" t="s">
        <v>25</v>
      </c>
      <c r="Q2" s="18">
        <v>190</v>
      </c>
      <c r="R2" s="3" t="str">
        <f>IF(OR(G2="12R",G2="12L"),_xlfn.XLOOKUP(C2,Tabla42[ADEP],Tabla42[SID 12R],""),IF(OR(G2="30L",G2="30R"),_xlfn.XLOOKUP(C2,Tabla42[ADEP],Tabla42[SID 30L],""),""))</f>
        <v>CZM</v>
      </c>
      <c r="S2" s="3">
        <f>HOUR(F2)</f>
        <v>0</v>
      </c>
      <c r="T2" s="3" t="str">
        <f>_xlfn.XLOOKUP(C2,Tabla42[ADEP],Tabla42[Sector],"")</f>
        <v>Sector 7</v>
      </c>
    </row>
    <row r="3" spans="1:20" x14ac:dyDescent="0.2">
      <c r="A3" s="18" t="s">
        <v>17</v>
      </c>
      <c r="B3" s="18" t="s">
        <v>18</v>
      </c>
      <c r="C3" s="18" t="s">
        <v>19</v>
      </c>
      <c r="D3" s="18" t="s">
        <v>53</v>
      </c>
      <c r="E3" s="18" t="s">
        <v>631</v>
      </c>
      <c r="F3" s="19">
        <v>46306.011215277802</v>
      </c>
      <c r="G3" s="18" t="s">
        <v>21</v>
      </c>
      <c r="H3" s="18" t="s">
        <v>3800</v>
      </c>
      <c r="I3" s="18">
        <v>380</v>
      </c>
      <c r="J3" s="18" t="s">
        <v>22</v>
      </c>
      <c r="K3" s="18" t="s">
        <v>23</v>
      </c>
      <c r="L3" s="18">
        <v>866</v>
      </c>
      <c r="M3" s="18" t="s">
        <v>167</v>
      </c>
      <c r="N3" s="19">
        <v>46306.059629629599</v>
      </c>
      <c r="O3" s="18">
        <v>380</v>
      </c>
      <c r="P3" s="18" t="s">
        <v>25</v>
      </c>
      <c r="Q3" s="18">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18" t="s">
        <v>1778</v>
      </c>
      <c r="B4" s="18" t="s">
        <v>18</v>
      </c>
      <c r="C4" s="18" t="s">
        <v>32</v>
      </c>
      <c r="D4" s="18" t="s">
        <v>53</v>
      </c>
      <c r="E4" s="18" t="s">
        <v>277</v>
      </c>
      <c r="F4" s="19">
        <v>46306.013854166697</v>
      </c>
      <c r="G4" s="18" t="s">
        <v>21</v>
      </c>
      <c r="H4" s="18" t="s">
        <v>3801</v>
      </c>
      <c r="I4" s="18">
        <v>340</v>
      </c>
      <c r="J4" s="18" t="s">
        <v>22</v>
      </c>
      <c r="K4" s="18" t="s">
        <v>23</v>
      </c>
      <c r="L4" s="18">
        <v>867</v>
      </c>
      <c r="M4" s="18" t="s">
        <v>35</v>
      </c>
      <c r="N4" s="19">
        <v>46306.060150463003</v>
      </c>
      <c r="O4" s="18">
        <v>340</v>
      </c>
      <c r="P4" s="18" t="s">
        <v>25</v>
      </c>
      <c r="Q4" s="18">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18" t="s">
        <v>1777</v>
      </c>
      <c r="B5" s="18" t="s">
        <v>18</v>
      </c>
      <c r="C5" s="18" t="s">
        <v>93</v>
      </c>
      <c r="D5" s="18" t="s">
        <v>60</v>
      </c>
      <c r="E5" s="18" t="s">
        <v>529</v>
      </c>
      <c r="F5" s="19">
        <v>46306.015995370399</v>
      </c>
      <c r="G5" s="18" t="s">
        <v>21</v>
      </c>
      <c r="H5" s="18" t="s">
        <v>3802</v>
      </c>
      <c r="I5" s="18">
        <v>340</v>
      </c>
      <c r="J5" s="18" t="s">
        <v>22</v>
      </c>
      <c r="K5" s="18" t="s">
        <v>23</v>
      </c>
      <c r="L5" s="18">
        <v>903</v>
      </c>
      <c r="M5" s="18" t="s">
        <v>94</v>
      </c>
      <c r="N5" s="19">
        <v>46306.0636226852</v>
      </c>
      <c r="O5" s="18">
        <v>200</v>
      </c>
      <c r="P5" s="18" t="s">
        <v>25</v>
      </c>
      <c r="Q5" s="18">
        <v>190</v>
      </c>
      <c r="R5" s="3" t="str">
        <f>IF(OR(G5="12R",G5="12L"),_xlfn.XLOOKUP(C5,Tabla42[ADEP],Tabla42[SID 12R],""),IF(OR(G5="30L",G5="30R"),_xlfn.XLOOKUP(C5,Tabla42[ADEP],Tabla42[SID 30L],""),""))</f>
        <v>UDGUV</v>
      </c>
      <c r="S5" s="3">
        <f t="shared" si="0"/>
        <v>0</v>
      </c>
      <c r="T5" s="3" t="str">
        <f>_xlfn.XLOOKUP(C5,Tabla42[ADEP],Tabla42[Sector],"")</f>
        <v>Sector 2</v>
      </c>
    </row>
    <row r="6" spans="1:20" x14ac:dyDescent="0.2">
      <c r="A6" s="18" t="s">
        <v>337</v>
      </c>
      <c r="B6" s="18" t="s">
        <v>18</v>
      </c>
      <c r="C6" s="18" t="s">
        <v>27</v>
      </c>
      <c r="D6" s="18" t="s">
        <v>28</v>
      </c>
      <c r="E6" s="18" t="s">
        <v>3803</v>
      </c>
      <c r="F6" s="19">
        <v>46306.026840277802</v>
      </c>
      <c r="G6" s="18" t="s">
        <v>21</v>
      </c>
      <c r="H6" s="18" t="s">
        <v>3804</v>
      </c>
      <c r="I6" s="18">
        <v>360</v>
      </c>
      <c r="J6" s="18" t="s">
        <v>22</v>
      </c>
      <c r="K6" s="18" t="s">
        <v>23</v>
      </c>
      <c r="L6" s="18">
        <v>507</v>
      </c>
      <c r="M6" s="18" t="s">
        <v>3805</v>
      </c>
      <c r="N6" s="19">
        <v>46306.055393518502</v>
      </c>
      <c r="O6" s="18">
        <v>360</v>
      </c>
      <c r="P6" s="18" t="s">
        <v>25</v>
      </c>
      <c r="Q6" s="18">
        <v>40</v>
      </c>
      <c r="R6" s="3" t="str">
        <f>IF(OR(G6="12R",G6="12L"),_xlfn.XLOOKUP(C6,Tabla42[ADEP],Tabla42[SID 12R],""),IF(OR(G6="30L",G6="30R"),_xlfn.XLOOKUP(C6,Tabla42[ADEP],Tabla42[SID 30L],""),""))</f>
        <v>OMSUK</v>
      </c>
      <c r="S6" s="3">
        <f t="shared" si="0"/>
        <v>0</v>
      </c>
      <c r="T6" s="3" t="str">
        <f>_xlfn.XLOOKUP(C6,Tabla42[ADEP],Tabla42[Sector],"")</f>
        <v>Sector 3</v>
      </c>
    </row>
    <row r="7" spans="1:20" x14ac:dyDescent="0.2">
      <c r="A7" s="18" t="s">
        <v>315</v>
      </c>
      <c r="B7" s="18" t="s">
        <v>18</v>
      </c>
      <c r="C7" s="18" t="s">
        <v>96</v>
      </c>
      <c r="D7" s="18" t="s">
        <v>20</v>
      </c>
      <c r="E7" s="18" t="s">
        <v>3806</v>
      </c>
      <c r="F7" s="19">
        <v>46306.028564814798</v>
      </c>
      <c r="G7" s="18" t="s">
        <v>21</v>
      </c>
      <c r="H7" s="18" t="s">
        <v>3807</v>
      </c>
      <c r="I7" s="18">
        <v>340</v>
      </c>
      <c r="J7" s="18" t="s">
        <v>22</v>
      </c>
      <c r="K7" s="18" t="s">
        <v>141</v>
      </c>
      <c r="L7" s="18">
        <v>865</v>
      </c>
      <c r="M7" s="18" t="s">
        <v>45</v>
      </c>
      <c r="N7" s="19">
        <v>46306.073240740698</v>
      </c>
      <c r="O7" s="18">
        <v>340</v>
      </c>
      <c r="P7" s="18" t="s">
        <v>25</v>
      </c>
      <c r="Q7" s="18">
        <v>190</v>
      </c>
      <c r="R7" s="3" t="str">
        <f>IF(OR(G7="12R",G7="12L"),_xlfn.XLOOKUP(C7,Tabla42[ADEP],Tabla42[SID 12R],""),IF(OR(G7="30L",G7="30R"),_xlfn.XLOOKUP(C7,Tabla42[ADEP],Tabla42[SID 30L],""),""))</f>
        <v>UDGUV</v>
      </c>
      <c r="S7" s="3">
        <f t="shared" si="0"/>
        <v>0</v>
      </c>
      <c r="T7" s="3" t="str">
        <f>_xlfn.XLOOKUP(C7,Tabla42[ADEP],Tabla42[Sector],"")</f>
        <v>Sector 2</v>
      </c>
    </row>
    <row r="8" spans="1:20" x14ac:dyDescent="0.2">
      <c r="A8" s="18" t="s">
        <v>31</v>
      </c>
      <c r="B8" s="18" t="s">
        <v>18</v>
      </c>
      <c r="C8" s="18" t="s">
        <v>32</v>
      </c>
      <c r="D8" s="18" t="s">
        <v>20</v>
      </c>
      <c r="E8" s="18" t="s">
        <v>737</v>
      </c>
      <c r="F8" s="19">
        <v>46306.029907407399</v>
      </c>
      <c r="G8" s="18" t="s">
        <v>21</v>
      </c>
      <c r="H8" s="18" t="s">
        <v>3808</v>
      </c>
      <c r="I8" s="18">
        <v>380</v>
      </c>
      <c r="J8" s="18" t="s">
        <v>22</v>
      </c>
      <c r="K8" s="18" t="s">
        <v>23</v>
      </c>
      <c r="L8" s="18">
        <v>870</v>
      </c>
      <c r="M8" s="18" t="s">
        <v>35</v>
      </c>
      <c r="N8" s="19">
        <v>46306.079270833303</v>
      </c>
      <c r="O8" s="18">
        <v>380</v>
      </c>
      <c r="P8" s="18" t="s">
        <v>25</v>
      </c>
      <c r="Q8" s="18">
        <v>190</v>
      </c>
      <c r="R8" s="3" t="str">
        <f>IF(OR(G8="12R",G8="12L"),_xlfn.XLOOKUP(C8,Tabla42[ADEP],Tabla42[SID 12R],""),IF(OR(G8="30L",G8="30R"),_xlfn.XLOOKUP(C8,Tabla42[ADEP],Tabla42[SID 30L],""),""))</f>
        <v>UDGUV</v>
      </c>
      <c r="S8" s="3">
        <f t="shared" si="0"/>
        <v>0</v>
      </c>
      <c r="T8" s="3" t="str">
        <f>_xlfn.XLOOKUP(C8,Tabla42[ADEP],Tabla42[Sector],"")</f>
        <v>Sector 2</v>
      </c>
    </row>
    <row r="9" spans="1:20" x14ac:dyDescent="0.2">
      <c r="A9" s="18" t="s">
        <v>311</v>
      </c>
      <c r="B9" s="18" t="s">
        <v>18</v>
      </c>
      <c r="C9" s="18" t="s">
        <v>109</v>
      </c>
      <c r="D9" s="18" t="s">
        <v>122</v>
      </c>
      <c r="E9" s="18" t="s">
        <v>3809</v>
      </c>
      <c r="F9" s="19">
        <v>46306.035185185203</v>
      </c>
      <c r="G9" s="18" t="s">
        <v>21</v>
      </c>
      <c r="H9" s="18" t="s">
        <v>3810</v>
      </c>
      <c r="I9" s="18">
        <v>350</v>
      </c>
      <c r="J9" s="18" t="s">
        <v>22</v>
      </c>
      <c r="K9" s="18" t="s">
        <v>23</v>
      </c>
      <c r="L9" s="18">
        <v>151</v>
      </c>
      <c r="M9" s="18" t="s">
        <v>111</v>
      </c>
      <c r="N9" s="19">
        <v>46306.045231481497</v>
      </c>
      <c r="O9" s="18">
        <v>279</v>
      </c>
      <c r="P9" s="18" t="s">
        <v>25</v>
      </c>
      <c r="Q9" s="18">
        <v>190</v>
      </c>
      <c r="R9" s="3" t="str">
        <f>IF(OR(G9="12R",G9="12L"),_xlfn.XLOOKUP(C9,Tabla42[ADEP],Tabla42[SID 12R],""),IF(OR(G9="30L",G9="30R"),_xlfn.XLOOKUP(C9,Tabla42[ADEP],Tabla42[SID 30L],""),""))</f>
        <v>TAKUX</v>
      </c>
      <c r="S9" s="3">
        <f t="shared" si="0"/>
        <v>0</v>
      </c>
      <c r="T9" s="3" t="str">
        <f>_xlfn.XLOOKUP(C9,Tabla42[ADEP],Tabla42[Sector],"")</f>
        <v>Sector 7</v>
      </c>
    </row>
    <row r="10" spans="1:20" x14ac:dyDescent="0.2">
      <c r="A10" s="18" t="s">
        <v>36</v>
      </c>
      <c r="B10" s="18" t="s">
        <v>18</v>
      </c>
      <c r="C10" s="18" t="s">
        <v>37</v>
      </c>
      <c r="D10" s="18" t="s">
        <v>38</v>
      </c>
      <c r="E10" s="18" t="s">
        <v>1048</v>
      </c>
      <c r="F10" s="19">
        <v>46306.036909722199</v>
      </c>
      <c r="G10" s="18" t="s">
        <v>21</v>
      </c>
      <c r="H10" s="18" t="s">
        <v>3811</v>
      </c>
      <c r="I10" s="18">
        <v>350</v>
      </c>
      <c r="J10" s="18" t="s">
        <v>22</v>
      </c>
      <c r="K10" s="18" t="s">
        <v>23</v>
      </c>
      <c r="L10" s="18">
        <v>138</v>
      </c>
      <c r="M10" s="18" t="s">
        <v>2465</v>
      </c>
      <c r="N10" s="19">
        <v>46306.046678240702</v>
      </c>
      <c r="O10" s="18">
        <v>220</v>
      </c>
      <c r="P10" s="18" t="s">
        <v>40</v>
      </c>
      <c r="Q10" s="18">
        <v>190</v>
      </c>
      <c r="R10" s="3" t="str">
        <f>IF(OR(G10="12R",G10="12L"),_xlfn.XLOOKUP(C10,Tabla42[ADEP],Tabla42[SID 12R],""),IF(OR(G10="30L",G10="30R"),_xlfn.XLOOKUP(C10,Tabla42[ADEP],Tabla42[SID 30L],""),""))</f>
        <v>NUDAL</v>
      </c>
      <c r="S10" s="3">
        <f t="shared" si="0"/>
        <v>0</v>
      </c>
      <c r="T10" s="3" t="str">
        <f>_xlfn.XLOOKUP(C10,Tabla42[ADEP],Tabla42[Sector],"")</f>
        <v>Sector 3</v>
      </c>
    </row>
    <row r="11" spans="1:20" x14ac:dyDescent="0.2">
      <c r="A11" s="18" t="s">
        <v>46</v>
      </c>
      <c r="B11" s="18" t="s">
        <v>18</v>
      </c>
      <c r="C11" s="18" t="s">
        <v>47</v>
      </c>
      <c r="D11" s="18" t="s">
        <v>48</v>
      </c>
      <c r="E11" s="18" t="s">
        <v>619</v>
      </c>
      <c r="F11" s="19">
        <v>46306.050520833298</v>
      </c>
      <c r="G11" s="18" t="s">
        <v>21</v>
      </c>
      <c r="H11" s="18" t="s">
        <v>3812</v>
      </c>
      <c r="I11" s="18">
        <v>370</v>
      </c>
      <c r="J11" s="18" t="s">
        <v>22</v>
      </c>
      <c r="K11" s="18" t="s">
        <v>23</v>
      </c>
      <c r="L11" s="18">
        <v>144</v>
      </c>
      <c r="M11" s="18" t="s">
        <v>39</v>
      </c>
      <c r="N11" s="19">
        <v>46306.0605671296</v>
      </c>
      <c r="O11" s="18">
        <v>238</v>
      </c>
      <c r="P11" s="18" t="s">
        <v>40</v>
      </c>
      <c r="Q11" s="18">
        <v>190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18" t="s">
        <v>41</v>
      </c>
      <c r="B12" s="18" t="s">
        <v>18</v>
      </c>
      <c r="C12" s="18" t="s">
        <v>42</v>
      </c>
      <c r="D12" s="18" t="s">
        <v>43</v>
      </c>
      <c r="E12" s="18" t="s">
        <v>450</v>
      </c>
      <c r="F12" s="19">
        <v>46306.053032407399</v>
      </c>
      <c r="G12" s="18" t="s">
        <v>21</v>
      </c>
      <c r="H12" s="18" t="s">
        <v>3813</v>
      </c>
      <c r="I12" s="18">
        <v>360</v>
      </c>
      <c r="J12" s="18" t="s">
        <v>22</v>
      </c>
      <c r="K12" s="18" t="s">
        <v>23</v>
      </c>
      <c r="L12" s="18">
        <v>865</v>
      </c>
      <c r="M12" s="18" t="s">
        <v>24</v>
      </c>
      <c r="N12" s="19">
        <v>46306.099409722199</v>
      </c>
      <c r="O12" s="18">
        <v>360</v>
      </c>
      <c r="P12" s="18" t="s">
        <v>25</v>
      </c>
      <c r="Q12" s="18">
        <v>190</v>
      </c>
      <c r="R12" s="3" t="str">
        <f>IF(OR(G12="12R",G12="12L"),_xlfn.XLOOKUP(C12,Tabla42[ADEP],Tabla42[SID 12R],""),IF(OR(G12="30L",G12="30R"),_xlfn.XLOOKUP(C12,Tabla42[ADEP],Tabla42[SID 30L],""),""))</f>
        <v>UDGUV</v>
      </c>
      <c r="S12" s="3">
        <f t="shared" si="0"/>
        <v>1</v>
      </c>
      <c r="T12" s="3" t="str">
        <f>_xlfn.XLOOKUP(C12,Tabla42[ADEP],Tabla42[Sector],"")</f>
        <v>Sector 2</v>
      </c>
    </row>
    <row r="13" spans="1:20" x14ac:dyDescent="0.2">
      <c r="A13" s="18" t="s">
        <v>2495</v>
      </c>
      <c r="B13" s="18" t="s">
        <v>18</v>
      </c>
      <c r="C13" s="18" t="s">
        <v>559</v>
      </c>
      <c r="D13" s="18" t="s">
        <v>226</v>
      </c>
      <c r="E13" s="18" t="s">
        <v>3814</v>
      </c>
      <c r="F13" s="19">
        <v>46306.054224537002</v>
      </c>
      <c r="G13" s="18" t="s">
        <v>21</v>
      </c>
      <c r="H13" s="18" t="s">
        <v>3815</v>
      </c>
      <c r="I13" s="18">
        <v>390</v>
      </c>
      <c r="J13" s="18" t="s">
        <v>22</v>
      </c>
      <c r="K13" s="18" t="s">
        <v>23</v>
      </c>
      <c r="L13" s="18">
        <v>365</v>
      </c>
      <c r="M13" s="18" t="s">
        <v>30</v>
      </c>
      <c r="N13" s="19">
        <v>46306.075011574103</v>
      </c>
      <c r="O13" s="18">
        <v>390</v>
      </c>
      <c r="P13" s="18" t="s">
        <v>25</v>
      </c>
      <c r="Q13" s="18">
        <v>40</v>
      </c>
      <c r="R13" s="3" t="str">
        <f>IF(OR(G13="12R",G13="12L"),_xlfn.XLOOKUP(C13,Tabla42[ADEP],Tabla42[SID 12R],""),IF(OR(G13="30L",G13="30R"),_xlfn.XLOOKUP(C13,Tabla42[ADEP],Tabla42[SID 30L],""),""))</f>
        <v>OMSUK</v>
      </c>
      <c r="S13" s="3">
        <f t="shared" si="0"/>
        <v>1</v>
      </c>
      <c r="T13" s="3" t="str">
        <f>_xlfn.XLOOKUP(C13,Tabla42[ADEP],Tabla42[Sector],"")</f>
        <v>Sector 3</v>
      </c>
    </row>
    <row r="14" spans="1:20" x14ac:dyDescent="0.2">
      <c r="A14" s="18" t="s">
        <v>56</v>
      </c>
      <c r="B14" s="18" t="s">
        <v>18</v>
      </c>
      <c r="C14" s="18" t="s">
        <v>42</v>
      </c>
      <c r="D14" s="18" t="s">
        <v>20</v>
      </c>
      <c r="E14" s="18" t="s">
        <v>484</v>
      </c>
      <c r="F14" s="19">
        <v>46306.055509259299</v>
      </c>
      <c r="G14" s="18" t="s">
        <v>21</v>
      </c>
      <c r="H14" s="18" t="s">
        <v>3816</v>
      </c>
      <c r="I14" s="18">
        <v>340</v>
      </c>
      <c r="J14" s="18" t="s">
        <v>22</v>
      </c>
      <c r="K14" s="18" t="s">
        <v>23</v>
      </c>
      <c r="L14" s="18">
        <v>876</v>
      </c>
      <c r="M14" s="18" t="s">
        <v>485</v>
      </c>
      <c r="N14" s="19">
        <v>46306.101712962998</v>
      </c>
      <c r="O14" s="18">
        <v>340</v>
      </c>
      <c r="P14" s="18" t="s">
        <v>25</v>
      </c>
      <c r="Q14" s="18">
        <v>190</v>
      </c>
      <c r="R14" s="3" t="str">
        <f>IF(OR(G14="12R",G14="12L"),_xlfn.XLOOKUP(C14,Tabla42[ADEP],Tabla42[SID 12R],""),IF(OR(G14="30L",G14="30R"),_xlfn.XLOOKUP(C14,Tabla42[ADEP],Tabla42[SID 30L],""),""))</f>
        <v>UDGUV</v>
      </c>
      <c r="S14" s="3">
        <f t="shared" si="0"/>
        <v>1</v>
      </c>
      <c r="T14" s="3" t="str">
        <f>_xlfn.XLOOKUP(C14,Tabla42[ADEP],Tabla42[Sector],"")</f>
        <v>Sector 2</v>
      </c>
    </row>
    <row r="15" spans="1:20" x14ac:dyDescent="0.2">
      <c r="A15" s="18" t="s">
        <v>3817</v>
      </c>
      <c r="B15" s="18" t="s">
        <v>18</v>
      </c>
      <c r="C15" s="18" t="s">
        <v>65</v>
      </c>
      <c r="D15" s="18" t="s">
        <v>124</v>
      </c>
      <c r="E15" s="18"/>
      <c r="F15" s="19">
        <v>46306.057569444398</v>
      </c>
      <c r="G15" s="18" t="s">
        <v>21</v>
      </c>
      <c r="H15" s="18" t="s">
        <v>3818</v>
      </c>
      <c r="I15" s="18">
        <v>220</v>
      </c>
      <c r="J15" s="18" t="s">
        <v>22</v>
      </c>
      <c r="K15" s="18" t="s">
        <v>50</v>
      </c>
      <c r="L15" s="18">
        <v>354</v>
      </c>
      <c r="M15" s="18" t="s">
        <v>65</v>
      </c>
      <c r="N15" s="19">
        <v>46306.084085648101</v>
      </c>
      <c r="O15" s="18">
        <v>0</v>
      </c>
      <c r="P15" s="18" t="s">
        <v>25</v>
      </c>
      <c r="Q15" s="18">
        <v>30</v>
      </c>
      <c r="R15" s="3" t="str">
        <f>IF(OR(G15="12R",G15="12L"),_xlfn.XLOOKUP(C15,Tabla42[ADEP],Tabla42[SID 12R],""),IF(OR(G15="30L",G15="30R"),_xlfn.XLOOKUP(C15,Tabla42[ADEP],Tabla42[SID 30L],""),""))</f>
        <v>UDGUV</v>
      </c>
      <c r="S15" s="3">
        <f t="shared" si="0"/>
        <v>1</v>
      </c>
      <c r="T15" s="3" t="str">
        <f>_xlfn.XLOOKUP(C15,Tabla42[ADEP],Tabla42[Sector],"")</f>
        <v>Sector 2</v>
      </c>
    </row>
    <row r="16" spans="1:20" x14ac:dyDescent="0.2">
      <c r="A16" s="18" t="s">
        <v>51</v>
      </c>
      <c r="B16" s="18" t="s">
        <v>18</v>
      </c>
      <c r="C16" s="18" t="s">
        <v>52</v>
      </c>
      <c r="D16" s="18" t="s">
        <v>53</v>
      </c>
      <c r="E16" s="18" t="s">
        <v>54</v>
      </c>
      <c r="F16" s="19">
        <v>46306.060891203699</v>
      </c>
      <c r="G16" s="18" t="s">
        <v>21</v>
      </c>
      <c r="H16" s="18" t="s">
        <v>3819</v>
      </c>
      <c r="I16" s="18">
        <v>390</v>
      </c>
      <c r="J16" s="18" t="s">
        <v>22</v>
      </c>
      <c r="K16" s="18" t="s">
        <v>23</v>
      </c>
      <c r="L16" s="18">
        <v>207</v>
      </c>
      <c r="M16" s="18" t="s">
        <v>3820</v>
      </c>
      <c r="N16" s="19">
        <v>46306.073217592602</v>
      </c>
      <c r="O16" s="18">
        <v>310</v>
      </c>
      <c r="P16" s="18" t="s">
        <v>25</v>
      </c>
      <c r="Q16" s="18">
        <v>190</v>
      </c>
      <c r="R16" s="3" t="str">
        <f>IF(OR(G16="12R",G16="12L"),_xlfn.XLOOKUP(C16,Tabla42[ADEP],Tabla42[SID 12R],""),IF(OR(G16="30L",G16="30R"),_xlfn.XLOOKUP(C16,Tabla42[ADEP],Tabla42[SID 30L],""),""))</f>
        <v>CZM</v>
      </c>
      <c r="S16" s="3">
        <f t="shared" si="0"/>
        <v>1</v>
      </c>
      <c r="T16" s="3" t="str">
        <f>_xlfn.XLOOKUP(C16,Tabla42[ADEP],Tabla42[Sector],"")</f>
        <v>Sector 7</v>
      </c>
    </row>
    <row r="17" spans="1:20" x14ac:dyDescent="0.2">
      <c r="A17" s="18" t="s">
        <v>61</v>
      </c>
      <c r="B17" s="18" t="s">
        <v>18</v>
      </c>
      <c r="C17" s="18" t="s">
        <v>65</v>
      </c>
      <c r="D17" s="18" t="s">
        <v>63</v>
      </c>
      <c r="E17" s="18" t="s">
        <v>3821</v>
      </c>
      <c r="F17" s="19">
        <v>46306.063483796301</v>
      </c>
      <c r="G17" s="18" t="s">
        <v>21</v>
      </c>
      <c r="H17" s="18" t="s">
        <v>3822</v>
      </c>
      <c r="I17" s="18">
        <v>240</v>
      </c>
      <c r="J17" s="18" t="s">
        <v>22</v>
      </c>
      <c r="K17" s="18" t="s">
        <v>23</v>
      </c>
      <c r="L17" s="18">
        <v>388</v>
      </c>
      <c r="M17" s="18" t="s">
        <v>65</v>
      </c>
      <c r="N17" s="19">
        <v>46306.092708333301</v>
      </c>
      <c r="O17" s="18">
        <v>0</v>
      </c>
      <c r="P17" s="18" t="s">
        <v>25</v>
      </c>
      <c r="Q17" s="18">
        <v>190</v>
      </c>
      <c r="R17" s="3" t="str">
        <f>IF(OR(G17="12R",G17="12L"),_xlfn.XLOOKUP(C17,Tabla42[ADEP],Tabla42[SID 12R],""),IF(OR(G17="30L",G17="30R"),_xlfn.XLOOKUP(C17,Tabla42[ADEP],Tabla42[SID 30L],""),""))</f>
        <v>UDGUV</v>
      </c>
      <c r="S17" s="3">
        <f t="shared" si="0"/>
        <v>1</v>
      </c>
      <c r="T17" s="3" t="str">
        <f>_xlfn.XLOOKUP(C17,Tabla42[ADEP],Tabla42[Sector],"")</f>
        <v>Sector 2</v>
      </c>
    </row>
    <row r="18" spans="1:20" x14ac:dyDescent="0.2">
      <c r="A18" s="18" t="s">
        <v>555</v>
      </c>
      <c r="B18" s="18" t="s">
        <v>18</v>
      </c>
      <c r="C18" s="18" t="s">
        <v>27</v>
      </c>
      <c r="D18" s="18" t="s">
        <v>122</v>
      </c>
      <c r="E18" s="18" t="s">
        <v>3823</v>
      </c>
      <c r="F18" s="19">
        <v>46306.080115740697</v>
      </c>
      <c r="G18" s="18" t="s">
        <v>21</v>
      </c>
      <c r="H18" s="18" t="s">
        <v>3824</v>
      </c>
      <c r="I18" s="18">
        <v>360</v>
      </c>
      <c r="J18" s="18" t="s">
        <v>22</v>
      </c>
      <c r="K18" s="18" t="s">
        <v>23</v>
      </c>
      <c r="L18" s="18">
        <v>547</v>
      </c>
      <c r="M18" s="18" t="s">
        <v>123</v>
      </c>
      <c r="N18" s="19">
        <v>46306.109791666699</v>
      </c>
      <c r="O18" s="18">
        <v>360</v>
      </c>
      <c r="P18" s="18" t="s">
        <v>25</v>
      </c>
      <c r="Q18" s="18">
        <v>40</v>
      </c>
      <c r="R18" s="3" t="str">
        <f>IF(OR(G18="12R",G18="12L"),_xlfn.XLOOKUP(C18,Tabla42[ADEP],Tabla42[SID 12R],""),IF(OR(G18="30L",G18="30R"),_xlfn.XLOOKUP(C18,Tabla42[ADEP],Tabla42[SID 30L],""),""))</f>
        <v>OMSUK</v>
      </c>
      <c r="S18" s="3">
        <f t="shared" si="0"/>
        <v>1</v>
      </c>
      <c r="T18" s="3" t="str">
        <f>_xlfn.XLOOKUP(C18,Tabla42[ADEP],Tabla42[Sector],"")</f>
        <v>Sector 3</v>
      </c>
    </row>
    <row r="19" spans="1:20" x14ac:dyDescent="0.2">
      <c r="A19" s="18" t="s">
        <v>88</v>
      </c>
      <c r="B19" s="18" t="s">
        <v>18</v>
      </c>
      <c r="C19" s="18" t="s">
        <v>32</v>
      </c>
      <c r="D19" s="18" t="s">
        <v>53</v>
      </c>
      <c r="E19" s="18" t="s">
        <v>463</v>
      </c>
      <c r="F19" s="19">
        <v>46306.107766203699</v>
      </c>
      <c r="G19" s="18" t="s">
        <v>21</v>
      </c>
      <c r="H19" s="18" t="s">
        <v>3825</v>
      </c>
      <c r="I19" s="18">
        <v>340</v>
      </c>
      <c r="J19" s="18" t="s">
        <v>22</v>
      </c>
      <c r="K19" s="18" t="s">
        <v>23</v>
      </c>
      <c r="L19" s="18">
        <v>870</v>
      </c>
      <c r="M19" s="18" t="s">
        <v>35</v>
      </c>
      <c r="N19" s="19">
        <v>46306.154097222199</v>
      </c>
      <c r="O19" s="18">
        <v>340</v>
      </c>
      <c r="P19" s="18" t="s">
        <v>25</v>
      </c>
      <c r="Q19" s="18">
        <v>190</v>
      </c>
      <c r="R19" s="3" t="str">
        <f>IF(OR(G19="12R",G19="12L"),_xlfn.XLOOKUP(C19,Tabla42[ADEP],Tabla42[SID 12R],""),IF(OR(G19="30L",G19="30R"),_xlfn.XLOOKUP(C19,Tabla42[ADEP],Tabla42[SID 30L],""),""))</f>
        <v>UDGUV</v>
      </c>
      <c r="S19" s="3">
        <f t="shared" si="0"/>
        <v>2</v>
      </c>
      <c r="T19" s="3" t="str">
        <f>_xlfn.XLOOKUP(C19,Tabla42[ADEP],Tabla42[Sector],"")</f>
        <v>Sector 2</v>
      </c>
    </row>
    <row r="20" spans="1:20" x14ac:dyDescent="0.2">
      <c r="A20" s="18" t="s">
        <v>59</v>
      </c>
      <c r="B20" s="18" t="s">
        <v>18</v>
      </c>
      <c r="C20" s="18" t="s">
        <v>27</v>
      </c>
      <c r="D20" s="18" t="s">
        <v>33</v>
      </c>
      <c r="E20" s="18" t="s">
        <v>3826</v>
      </c>
      <c r="F20" s="19">
        <v>46306.111712963</v>
      </c>
      <c r="G20" s="18" t="s">
        <v>21</v>
      </c>
      <c r="H20" s="18" t="s">
        <v>3827</v>
      </c>
      <c r="I20" s="18">
        <v>320</v>
      </c>
      <c r="J20" s="18" t="s">
        <v>22</v>
      </c>
      <c r="K20" s="18" t="s">
        <v>23</v>
      </c>
      <c r="L20" s="18">
        <v>483</v>
      </c>
      <c r="M20" s="18" t="s">
        <v>3828</v>
      </c>
      <c r="N20" s="19">
        <v>46306.137418981503</v>
      </c>
      <c r="O20" s="18">
        <v>320</v>
      </c>
      <c r="P20" s="18" t="s">
        <v>25</v>
      </c>
      <c r="Q20" s="18">
        <v>40</v>
      </c>
      <c r="R20" s="3" t="str">
        <f>IF(OR(G20="12R",G20="12L"),_xlfn.XLOOKUP(C20,Tabla42[ADEP],Tabla42[SID 12R],""),IF(OR(G20="30L",G20="30R"),_xlfn.XLOOKUP(C20,Tabla42[ADEP],Tabla42[SID 30L],""),""))</f>
        <v>OMSUK</v>
      </c>
      <c r="S20" s="3">
        <f t="shared" si="0"/>
        <v>2</v>
      </c>
      <c r="T20" s="3" t="str">
        <f>_xlfn.XLOOKUP(C20,Tabla42[ADEP],Tabla42[Sector],"")</f>
        <v>Sector 3</v>
      </c>
    </row>
    <row r="21" spans="1:20" x14ac:dyDescent="0.2">
      <c r="A21" s="18" t="s">
        <v>69</v>
      </c>
      <c r="B21" s="18" t="s">
        <v>18</v>
      </c>
      <c r="C21" s="18" t="s">
        <v>42</v>
      </c>
      <c r="D21" s="18" t="s">
        <v>33</v>
      </c>
      <c r="E21" s="18" t="s">
        <v>3296</v>
      </c>
      <c r="F21" s="19">
        <v>46306.1147569444</v>
      </c>
      <c r="G21" s="18" t="s">
        <v>21</v>
      </c>
      <c r="H21" s="18" t="s">
        <v>3829</v>
      </c>
      <c r="I21" s="18">
        <v>380</v>
      </c>
      <c r="J21" s="18" t="s">
        <v>22</v>
      </c>
      <c r="K21" s="18" t="s">
        <v>23</v>
      </c>
      <c r="L21" s="18">
        <v>866</v>
      </c>
      <c r="M21" s="18" t="s">
        <v>2712</v>
      </c>
      <c r="N21" s="19">
        <v>46306.161493055602</v>
      </c>
      <c r="O21" s="18">
        <v>380</v>
      </c>
      <c r="P21" s="18" t="s">
        <v>25</v>
      </c>
      <c r="Q21" s="18">
        <v>190</v>
      </c>
      <c r="R21" s="3" t="str">
        <f>IF(OR(G21="12R",G21="12L"),_xlfn.XLOOKUP(C21,Tabla42[ADEP],Tabla42[SID 12R],""),IF(OR(G21="30L",G21="30R"),_xlfn.XLOOKUP(C21,Tabla42[ADEP],Tabla42[SID 30L],""),""))</f>
        <v>UDGUV</v>
      </c>
      <c r="S21" s="3">
        <f t="shared" si="0"/>
        <v>2</v>
      </c>
      <c r="T21" s="3" t="str">
        <f>_xlfn.XLOOKUP(C21,Tabla42[ADEP],Tabla42[Sector],"")</f>
        <v>Sector 2</v>
      </c>
    </row>
    <row r="22" spans="1:20" x14ac:dyDescent="0.2">
      <c r="A22" s="18" t="s">
        <v>348</v>
      </c>
      <c r="B22" s="18" t="s">
        <v>18</v>
      </c>
      <c r="C22" s="18" t="s">
        <v>204</v>
      </c>
      <c r="D22" s="18" t="s">
        <v>53</v>
      </c>
      <c r="E22" s="18" t="s">
        <v>106</v>
      </c>
      <c r="F22" s="19">
        <v>46306.1156597222</v>
      </c>
      <c r="G22" s="18" t="s">
        <v>21</v>
      </c>
      <c r="H22" s="18" t="s">
        <v>3830</v>
      </c>
      <c r="I22" s="18">
        <v>350</v>
      </c>
      <c r="J22" s="18" t="s">
        <v>22</v>
      </c>
      <c r="K22" s="18" t="s">
        <v>23</v>
      </c>
      <c r="L22" s="18">
        <v>149</v>
      </c>
      <c r="M22" s="18" t="s">
        <v>3831</v>
      </c>
      <c r="N22" s="19">
        <v>46306.125949074099</v>
      </c>
      <c r="O22" s="18">
        <v>266</v>
      </c>
      <c r="P22" s="18" t="s">
        <v>25</v>
      </c>
      <c r="Q22" s="18">
        <v>190</v>
      </c>
      <c r="R22" s="3" t="str">
        <f>IF(OR(G22="12R",G22="12L"),_xlfn.XLOOKUP(C22,Tabla42[ADEP],Tabla42[SID 12R],""),IF(OR(G22="30L",G22="30R"),_xlfn.XLOOKUP(C22,Tabla42[ADEP],Tabla42[SID 30L],""),""))</f>
        <v>TAKUX</v>
      </c>
      <c r="S22" s="3">
        <f t="shared" si="0"/>
        <v>2</v>
      </c>
      <c r="T22" s="3" t="str">
        <f>_xlfn.XLOOKUP(C22,Tabla42[ADEP],Tabla42[Sector],"")</f>
        <v>Sector 7</v>
      </c>
    </row>
    <row r="23" spans="1:20" x14ac:dyDescent="0.2">
      <c r="A23" s="18" t="s">
        <v>412</v>
      </c>
      <c r="B23" s="18" t="s">
        <v>18</v>
      </c>
      <c r="C23" s="18" t="s">
        <v>84</v>
      </c>
      <c r="D23" s="18" t="s">
        <v>85</v>
      </c>
      <c r="E23" s="18" t="s">
        <v>3832</v>
      </c>
      <c r="F23" s="19">
        <v>46306.118287037003</v>
      </c>
      <c r="G23" s="18" t="s">
        <v>21</v>
      </c>
      <c r="H23" s="18" t="s">
        <v>3833</v>
      </c>
      <c r="I23" s="18">
        <v>370</v>
      </c>
      <c r="J23" s="18" t="s">
        <v>22</v>
      </c>
      <c r="K23" s="18" t="s">
        <v>23</v>
      </c>
      <c r="L23" s="18">
        <v>136</v>
      </c>
      <c r="M23" s="18" t="s">
        <v>39</v>
      </c>
      <c r="N23" s="19">
        <v>46306.128356481502</v>
      </c>
      <c r="O23" s="18">
        <v>214</v>
      </c>
      <c r="P23" s="18" t="s">
        <v>40</v>
      </c>
      <c r="Q23" s="18">
        <v>190</v>
      </c>
      <c r="R23" s="3" t="str">
        <f>IF(OR(G23="12R",G23="12L"),_xlfn.XLOOKUP(C23,Tabla42[ADEP],Tabla42[SID 12R],""),IF(OR(G23="30L",G23="30R"),_xlfn.XLOOKUP(C23,Tabla42[ADEP],Tabla42[SID 30L],""),""))</f>
        <v>NUDAL</v>
      </c>
      <c r="S23" s="3">
        <f t="shared" si="0"/>
        <v>2</v>
      </c>
      <c r="T23" s="3" t="str">
        <f>_xlfn.XLOOKUP(C23,Tabla42[ADEP],Tabla42[Sector],"")</f>
        <v>Sector 3</v>
      </c>
    </row>
    <row r="24" spans="1:20" x14ac:dyDescent="0.2">
      <c r="A24" s="18" t="s">
        <v>78</v>
      </c>
      <c r="B24" s="18" t="s">
        <v>18</v>
      </c>
      <c r="C24" s="18" t="s">
        <v>42</v>
      </c>
      <c r="D24" s="18" t="s">
        <v>60</v>
      </c>
      <c r="E24" s="18" t="s">
        <v>649</v>
      </c>
      <c r="F24" s="19">
        <v>46306.120150463001</v>
      </c>
      <c r="G24" s="18" t="s">
        <v>21</v>
      </c>
      <c r="H24" s="18" t="s">
        <v>3834</v>
      </c>
      <c r="I24" s="18">
        <v>360</v>
      </c>
      <c r="J24" s="18" t="s">
        <v>22</v>
      </c>
      <c r="K24" s="18" t="s">
        <v>23</v>
      </c>
      <c r="L24" s="18">
        <v>874</v>
      </c>
      <c r="M24" s="18" t="s">
        <v>45</v>
      </c>
      <c r="N24" s="19">
        <v>46306.166342592602</v>
      </c>
      <c r="O24" s="18">
        <v>360</v>
      </c>
      <c r="P24" s="18" t="s">
        <v>25</v>
      </c>
      <c r="Q24" s="18">
        <v>190</v>
      </c>
      <c r="R24" s="3" t="str">
        <f>IF(OR(G24="12R",G24="12L"),_xlfn.XLOOKUP(C24,Tabla42[ADEP],Tabla42[SID 12R],""),IF(OR(G24="30L",G24="30R"),_xlfn.XLOOKUP(C24,Tabla42[ADEP],Tabla42[SID 30L],""),""))</f>
        <v>UDGUV</v>
      </c>
      <c r="S24" s="3">
        <f t="shared" si="0"/>
        <v>2</v>
      </c>
      <c r="T24" s="3" t="str">
        <f>_xlfn.XLOOKUP(C24,Tabla42[ADEP],Tabla42[Sector],"")</f>
        <v>Sector 2</v>
      </c>
    </row>
    <row r="25" spans="1:20" x14ac:dyDescent="0.2">
      <c r="A25" s="18" t="s">
        <v>624</v>
      </c>
      <c r="B25" s="18" t="s">
        <v>18</v>
      </c>
      <c r="C25" s="18" t="s">
        <v>339</v>
      </c>
      <c r="D25" s="18" t="s">
        <v>340</v>
      </c>
      <c r="E25" s="18" t="s">
        <v>2634</v>
      </c>
      <c r="F25" s="19">
        <v>46306.148680555598</v>
      </c>
      <c r="G25" s="18" t="s">
        <v>21</v>
      </c>
      <c r="H25" s="18" t="s">
        <v>3835</v>
      </c>
      <c r="I25" s="18">
        <v>390</v>
      </c>
      <c r="J25" s="18" t="s">
        <v>22</v>
      </c>
      <c r="K25" s="18" t="s">
        <v>23</v>
      </c>
      <c r="L25" s="18">
        <v>136</v>
      </c>
      <c r="M25" s="18" t="s">
        <v>39</v>
      </c>
      <c r="N25" s="19">
        <v>46306.158125000002</v>
      </c>
      <c r="O25" s="18">
        <v>237</v>
      </c>
      <c r="P25" s="18" t="s">
        <v>40</v>
      </c>
      <c r="Q25" s="18">
        <v>190</v>
      </c>
      <c r="R25" s="3" t="str">
        <f>IF(OR(G25="12R",G25="12L"),_xlfn.XLOOKUP(C25,Tabla42[ADEP],Tabla42[SID 12R],""),IF(OR(G25="30L",G25="30R"),_xlfn.XLOOKUP(C25,Tabla42[ADEP],Tabla42[SID 30L],""),""))</f>
        <v>NUDAL</v>
      </c>
      <c r="S25" s="3">
        <f t="shared" si="0"/>
        <v>3</v>
      </c>
      <c r="T25" s="3" t="str">
        <f>_xlfn.XLOOKUP(C25,Tabla42[ADEP],Tabla42[Sector],"")</f>
        <v>Sector 3</v>
      </c>
    </row>
    <row r="26" spans="1:20" x14ac:dyDescent="0.2">
      <c r="A26" s="18" t="s">
        <v>86</v>
      </c>
      <c r="B26" s="18" t="s">
        <v>18</v>
      </c>
      <c r="C26" s="18" t="s">
        <v>42</v>
      </c>
      <c r="D26" s="18" t="s">
        <v>60</v>
      </c>
      <c r="E26" s="18" t="s">
        <v>114</v>
      </c>
      <c r="F26" s="19">
        <v>46306.182141203702</v>
      </c>
      <c r="G26" s="18" t="s">
        <v>21</v>
      </c>
      <c r="H26" s="18" t="s">
        <v>3836</v>
      </c>
      <c r="I26" s="18">
        <v>340</v>
      </c>
      <c r="J26" s="18" t="s">
        <v>22</v>
      </c>
      <c r="K26" s="18" t="s">
        <v>23</v>
      </c>
      <c r="L26" s="18">
        <v>861</v>
      </c>
      <c r="M26" s="18" t="s">
        <v>420</v>
      </c>
      <c r="N26" s="19">
        <v>46306.227615740703</v>
      </c>
      <c r="O26" s="18">
        <v>340</v>
      </c>
      <c r="P26" s="18" t="s">
        <v>25</v>
      </c>
      <c r="Q26" s="18">
        <v>190</v>
      </c>
      <c r="R26" s="3" t="str">
        <f>IF(OR(G26="12R",G26="12L"),_xlfn.XLOOKUP(C26,Tabla42[ADEP],Tabla42[SID 12R],""),IF(OR(G26="30L",G26="30R"),_xlfn.XLOOKUP(C26,Tabla42[ADEP],Tabla42[SID 30L],""),""))</f>
        <v>UDGUV</v>
      </c>
      <c r="S26" s="3">
        <f t="shared" si="0"/>
        <v>4</v>
      </c>
      <c r="T26" s="3" t="str">
        <f>_xlfn.XLOOKUP(C26,Tabla42[ADEP],Tabla42[Sector],"")</f>
        <v>Sector 2</v>
      </c>
    </row>
    <row r="27" spans="1:20" x14ac:dyDescent="0.2">
      <c r="A27" s="18" t="s">
        <v>90</v>
      </c>
      <c r="B27" s="18" t="s">
        <v>18</v>
      </c>
      <c r="C27" s="18" t="s">
        <v>42</v>
      </c>
      <c r="D27" s="18" t="s">
        <v>20</v>
      </c>
      <c r="E27" s="18" t="s">
        <v>3837</v>
      </c>
      <c r="F27" s="19">
        <v>46306.435787037</v>
      </c>
      <c r="G27" s="18" t="s">
        <v>21</v>
      </c>
      <c r="H27" s="18" t="s">
        <v>3838</v>
      </c>
      <c r="I27" s="18">
        <v>360</v>
      </c>
      <c r="J27" s="18" t="s">
        <v>22</v>
      </c>
      <c r="K27" s="18" t="s">
        <v>23</v>
      </c>
      <c r="L27" s="18">
        <v>859</v>
      </c>
      <c r="M27" s="18" t="s">
        <v>45</v>
      </c>
      <c r="N27" s="19">
        <v>46306.482314814799</v>
      </c>
      <c r="O27" s="18">
        <v>360</v>
      </c>
      <c r="P27" s="18" t="s">
        <v>25</v>
      </c>
      <c r="Q27" s="18">
        <v>190</v>
      </c>
      <c r="R27" s="3" t="str">
        <f>IF(OR(G27="12R",G27="12L"),_xlfn.XLOOKUP(C27,Tabla42[ADEP],Tabla42[SID 12R],""),IF(OR(G27="30L",G27="30R"),_xlfn.XLOOKUP(C27,Tabla42[ADEP],Tabla42[SID 30L],""),""))</f>
        <v>UDGUV</v>
      </c>
      <c r="S27" s="3">
        <f t="shared" si="0"/>
        <v>10</v>
      </c>
      <c r="T27" s="3" t="str">
        <f>_xlfn.XLOOKUP(C27,Tabla42[ADEP],Tabla42[Sector],"")</f>
        <v>Sector 2</v>
      </c>
    </row>
    <row r="28" spans="1:20" x14ac:dyDescent="0.2">
      <c r="A28" s="18" t="s">
        <v>100</v>
      </c>
      <c r="B28" s="18" t="s">
        <v>18</v>
      </c>
      <c r="C28" s="18" t="s">
        <v>42</v>
      </c>
      <c r="D28" s="18" t="s">
        <v>20</v>
      </c>
      <c r="E28" s="18" t="s">
        <v>484</v>
      </c>
      <c r="F28" s="19">
        <v>46306.4526736111</v>
      </c>
      <c r="G28" s="18" t="s">
        <v>21</v>
      </c>
      <c r="H28" s="18" t="s">
        <v>3839</v>
      </c>
      <c r="I28" s="18">
        <v>360</v>
      </c>
      <c r="J28" s="18" t="s">
        <v>22</v>
      </c>
      <c r="K28" s="18" t="s">
        <v>23</v>
      </c>
      <c r="L28" s="18">
        <v>859</v>
      </c>
      <c r="M28" s="18" t="s">
        <v>45</v>
      </c>
      <c r="N28" s="19">
        <v>46306.498599537001</v>
      </c>
      <c r="O28" s="18">
        <v>360</v>
      </c>
      <c r="P28" s="18" t="s">
        <v>25</v>
      </c>
      <c r="Q28" s="18">
        <v>190</v>
      </c>
      <c r="R28" s="3" t="str">
        <f>IF(OR(G28="12R",G28="12L"),_xlfn.XLOOKUP(C28,Tabla42[ADEP],Tabla42[SID 12R],""),IF(OR(G28="30L",G28="30R"),_xlfn.XLOOKUP(C28,Tabla42[ADEP],Tabla42[SID 30L],""),""))</f>
        <v>UDGUV</v>
      </c>
      <c r="S28" s="3">
        <f t="shared" si="0"/>
        <v>10</v>
      </c>
      <c r="T28" s="3" t="str">
        <f>_xlfn.XLOOKUP(C28,Tabla42[ADEP],Tabla42[Sector],"")</f>
        <v>Sector 2</v>
      </c>
    </row>
    <row r="29" spans="1:20" x14ac:dyDescent="0.2">
      <c r="A29" s="18" t="s">
        <v>92</v>
      </c>
      <c r="B29" s="18" t="s">
        <v>18</v>
      </c>
      <c r="C29" s="18" t="s">
        <v>93</v>
      </c>
      <c r="D29" s="18" t="s">
        <v>60</v>
      </c>
      <c r="E29" s="18" t="s">
        <v>529</v>
      </c>
      <c r="F29" s="19">
        <v>46306.4608449074</v>
      </c>
      <c r="G29" s="18" t="s">
        <v>21</v>
      </c>
      <c r="H29" s="18" t="s">
        <v>3840</v>
      </c>
      <c r="I29" s="18">
        <v>360</v>
      </c>
      <c r="J29" s="18" t="s">
        <v>22</v>
      </c>
      <c r="K29" s="18" t="s">
        <v>23</v>
      </c>
      <c r="L29" s="18">
        <v>896</v>
      </c>
      <c r="M29" s="18" t="s">
        <v>3841</v>
      </c>
      <c r="N29" s="19">
        <v>46306.508425925902</v>
      </c>
      <c r="O29" s="18">
        <v>183</v>
      </c>
      <c r="P29" s="18" t="s">
        <v>25</v>
      </c>
      <c r="Q29" s="18">
        <v>19</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18" t="s">
        <v>98</v>
      </c>
      <c r="B30" s="18" t="s">
        <v>18</v>
      </c>
      <c r="C30" s="18" t="s">
        <v>42</v>
      </c>
      <c r="D30" s="18" t="s">
        <v>43</v>
      </c>
      <c r="E30" s="18" t="s">
        <v>823</v>
      </c>
      <c r="F30" s="19">
        <v>46306.466759259303</v>
      </c>
      <c r="G30" s="18" t="s">
        <v>21</v>
      </c>
      <c r="H30" s="18" t="s">
        <v>3842</v>
      </c>
      <c r="I30" s="18">
        <v>340</v>
      </c>
      <c r="J30" s="18" t="s">
        <v>22</v>
      </c>
      <c r="K30" s="18" t="s">
        <v>23</v>
      </c>
      <c r="L30" s="18">
        <v>859</v>
      </c>
      <c r="M30" s="18" t="s">
        <v>45</v>
      </c>
      <c r="N30" s="19">
        <v>46306.512314814798</v>
      </c>
      <c r="O30" s="18">
        <v>340</v>
      </c>
      <c r="P30" s="18" t="s">
        <v>25</v>
      </c>
      <c r="Q30" s="18">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18" t="s">
        <v>105</v>
      </c>
      <c r="B31" s="18" t="s">
        <v>18</v>
      </c>
      <c r="C31" s="18" t="s">
        <v>32</v>
      </c>
      <c r="D31" s="18" t="s">
        <v>53</v>
      </c>
      <c r="E31" s="18" t="s">
        <v>106</v>
      </c>
      <c r="F31" s="19">
        <v>46306.506932870398</v>
      </c>
      <c r="G31" s="18" t="s">
        <v>21</v>
      </c>
      <c r="H31" s="18" t="s">
        <v>3843</v>
      </c>
      <c r="I31" s="18">
        <v>380</v>
      </c>
      <c r="J31" s="18" t="s">
        <v>22</v>
      </c>
      <c r="K31" s="18" t="s">
        <v>23</v>
      </c>
      <c r="L31" s="18">
        <v>863</v>
      </c>
      <c r="M31" s="18" t="s">
        <v>35</v>
      </c>
      <c r="N31" s="19">
        <v>46306.554606481499</v>
      </c>
      <c r="O31" s="18">
        <v>380</v>
      </c>
      <c r="P31" s="18" t="s">
        <v>25</v>
      </c>
      <c r="Q31" s="18">
        <v>190</v>
      </c>
      <c r="R31" s="3" t="str">
        <f>IF(OR(G31="12R",G31="12L"),_xlfn.XLOOKUP(C31,Tabla42[ADEP],Tabla42[SID 12R],""),IF(OR(G31="30L",G31="30R"),_xlfn.XLOOKUP(C31,Tabla42[ADEP],Tabla42[SID 30L],""),""))</f>
        <v>UDGUV</v>
      </c>
      <c r="S31" s="3">
        <f t="shared" si="0"/>
        <v>12</v>
      </c>
      <c r="T31" s="3" t="str">
        <f>_xlfn.XLOOKUP(C31,Tabla42[ADEP],Tabla42[Sector],"")</f>
        <v>Sector 2</v>
      </c>
    </row>
    <row r="32" spans="1:20" x14ac:dyDescent="0.2">
      <c r="A32" s="18" t="s">
        <v>108</v>
      </c>
      <c r="B32" s="18" t="s">
        <v>18</v>
      </c>
      <c r="C32" s="18" t="s">
        <v>109</v>
      </c>
      <c r="D32" s="18" t="s">
        <v>122</v>
      </c>
      <c r="E32" s="18" t="s">
        <v>576</v>
      </c>
      <c r="F32" s="19">
        <v>46306.5105555556</v>
      </c>
      <c r="G32" s="18" t="s">
        <v>21</v>
      </c>
      <c r="H32" s="18" t="s">
        <v>3844</v>
      </c>
      <c r="I32" s="18">
        <v>350</v>
      </c>
      <c r="J32" s="18" t="s">
        <v>22</v>
      </c>
      <c r="K32" s="18" t="s">
        <v>23</v>
      </c>
      <c r="L32" s="18">
        <v>150</v>
      </c>
      <c r="M32" s="18" t="s">
        <v>111</v>
      </c>
      <c r="N32" s="19">
        <v>46306.521111111098</v>
      </c>
      <c r="O32" s="18">
        <v>298</v>
      </c>
      <c r="P32" s="18" t="s">
        <v>25</v>
      </c>
      <c r="Q32" s="18">
        <v>190</v>
      </c>
      <c r="R32" s="3" t="str">
        <f>IF(OR(G32="12R",G32="12L"),_xlfn.XLOOKUP(C32,Tabla42[ADEP],Tabla42[SID 12R],""),IF(OR(G32="30L",G32="30R"),_xlfn.XLOOKUP(C32,Tabla42[ADEP],Tabla42[SID 30L],""),""))</f>
        <v>TAKUX</v>
      </c>
      <c r="S32" s="3">
        <f t="shared" si="0"/>
        <v>12</v>
      </c>
      <c r="T32" s="3" t="str">
        <f>_xlfn.XLOOKUP(C32,Tabla42[ADEP],Tabla42[Sector],"")</f>
        <v>Sector 7</v>
      </c>
    </row>
    <row r="33" spans="1:20" x14ac:dyDescent="0.2">
      <c r="A33" s="18" t="s">
        <v>107</v>
      </c>
      <c r="B33" s="18" t="s">
        <v>18</v>
      </c>
      <c r="C33" s="18" t="s">
        <v>42</v>
      </c>
      <c r="D33" s="18" t="s">
        <v>28</v>
      </c>
      <c r="E33" s="18" t="s">
        <v>3845</v>
      </c>
      <c r="F33" s="19">
        <v>46306.511539351799</v>
      </c>
      <c r="G33" s="18" t="s">
        <v>21</v>
      </c>
      <c r="H33" s="18" t="s">
        <v>3846</v>
      </c>
      <c r="I33" s="18">
        <v>380</v>
      </c>
      <c r="J33" s="18" t="s">
        <v>22</v>
      </c>
      <c r="K33" s="18" t="s">
        <v>23</v>
      </c>
      <c r="L33" s="18">
        <v>859</v>
      </c>
      <c r="M33" s="18" t="s">
        <v>45</v>
      </c>
      <c r="N33" s="19">
        <v>46306.557476851798</v>
      </c>
      <c r="O33" s="18">
        <v>380</v>
      </c>
      <c r="P33" s="18" t="s">
        <v>25</v>
      </c>
      <c r="Q33" s="18">
        <v>190</v>
      </c>
      <c r="R33" s="3" t="str">
        <f>IF(OR(G33="12R",G33="12L"),_xlfn.XLOOKUP(C33,Tabla42[ADEP],Tabla42[SID 12R],""),IF(OR(G33="30L",G33="30R"),_xlfn.XLOOKUP(C33,Tabla42[ADEP],Tabla42[SID 30L],""),""))</f>
        <v>UDGUV</v>
      </c>
      <c r="S33" s="3">
        <f t="shared" si="0"/>
        <v>12</v>
      </c>
      <c r="T33" s="3" t="str">
        <f>_xlfn.XLOOKUP(C33,Tabla42[ADEP],Tabla42[Sector],"")</f>
        <v>Sector 2</v>
      </c>
    </row>
    <row r="34" spans="1:20" x14ac:dyDescent="0.2">
      <c r="A34" s="18" t="s">
        <v>2381</v>
      </c>
      <c r="B34" s="18" t="s">
        <v>18</v>
      </c>
      <c r="C34" s="18" t="s">
        <v>121</v>
      </c>
      <c r="D34" s="18" t="s">
        <v>122</v>
      </c>
      <c r="E34" s="18" t="s">
        <v>1638</v>
      </c>
      <c r="F34" s="19">
        <v>46306.516863425903</v>
      </c>
      <c r="G34" s="18" t="s">
        <v>21</v>
      </c>
      <c r="H34" s="18" t="s">
        <v>3847</v>
      </c>
      <c r="I34" s="18">
        <v>380</v>
      </c>
      <c r="J34" s="18" t="s">
        <v>22</v>
      </c>
      <c r="K34" s="18" t="s">
        <v>23</v>
      </c>
      <c r="L34" s="18">
        <v>533</v>
      </c>
      <c r="M34" s="18" t="s">
        <v>123</v>
      </c>
      <c r="N34" s="19">
        <v>46306.546030092599</v>
      </c>
      <c r="O34" s="18">
        <v>380</v>
      </c>
      <c r="P34" s="18" t="s">
        <v>25</v>
      </c>
      <c r="Q34" s="18">
        <v>40</v>
      </c>
      <c r="R34" s="3" t="str">
        <f>IF(OR(G34="12R",G34="12L"),_xlfn.XLOOKUP(C34,Tabla42[ADEP],Tabla42[SID 12R],""),IF(OR(G34="30L",G34="30R"),_xlfn.XLOOKUP(C34,Tabla42[ADEP],Tabla42[SID 30L],""),""))</f>
        <v>ENEBA</v>
      </c>
      <c r="S34" s="3">
        <f t="shared" si="0"/>
        <v>12</v>
      </c>
      <c r="T34" s="3" t="str">
        <f>_xlfn.XLOOKUP(C34,Tabla42[ADEP],Tabla42[Sector],"")</f>
        <v>Sector 3</v>
      </c>
    </row>
    <row r="35" spans="1:20" x14ac:dyDescent="0.2">
      <c r="A35" s="18" t="s">
        <v>171</v>
      </c>
      <c r="B35" s="18" t="s">
        <v>18</v>
      </c>
      <c r="C35" s="18" t="s">
        <v>2726</v>
      </c>
      <c r="D35" s="18" t="s">
        <v>172</v>
      </c>
      <c r="E35" s="18"/>
      <c r="F35" s="19">
        <v>46306.526377314804</v>
      </c>
      <c r="G35" s="18" t="s">
        <v>21</v>
      </c>
      <c r="H35" s="18" t="s">
        <v>3848</v>
      </c>
      <c r="I35" s="18">
        <v>15</v>
      </c>
      <c r="J35" s="18" t="s">
        <v>130</v>
      </c>
      <c r="K35" s="18" t="s">
        <v>50</v>
      </c>
      <c r="L35" s="18">
        <v>84</v>
      </c>
      <c r="M35" s="18" t="s">
        <v>2726</v>
      </c>
      <c r="N35" s="19">
        <v>46306.541215277801</v>
      </c>
      <c r="O35" s="18">
        <v>0</v>
      </c>
      <c r="P35" s="18" t="s">
        <v>129</v>
      </c>
      <c r="Q35" s="18">
        <v>15</v>
      </c>
      <c r="R35" s="3" t="str">
        <f>IF(OR(G35="12R",G35="12L"),_xlfn.XLOOKUP(C35,Tabla42[ADEP],Tabla42[SID 12R],""),IF(OR(G35="30L",G35="30R"),_xlfn.XLOOKUP(C35,Tabla42[ADEP],Tabla42[SID 30L],""),""))</f>
        <v/>
      </c>
      <c r="S35" s="3">
        <f t="shared" si="0"/>
        <v>12</v>
      </c>
      <c r="T35" s="3" t="str">
        <f>_xlfn.XLOOKUP(C35,Tabla42[ADEP],Tabla42[Sector],"")</f>
        <v/>
      </c>
    </row>
    <row r="36" spans="1:20" x14ac:dyDescent="0.2">
      <c r="A36" s="18" t="s">
        <v>457</v>
      </c>
      <c r="B36" s="18" t="s">
        <v>18</v>
      </c>
      <c r="C36" s="18" t="s">
        <v>798</v>
      </c>
      <c r="D36" s="18" t="s">
        <v>458</v>
      </c>
      <c r="E36" s="18"/>
      <c r="F36" s="19">
        <v>46306.529479166697</v>
      </c>
      <c r="G36" s="18" t="s">
        <v>21</v>
      </c>
      <c r="H36" s="18" t="s">
        <v>155</v>
      </c>
      <c r="I36" s="18">
        <v>45</v>
      </c>
      <c r="J36" s="18" t="s">
        <v>130</v>
      </c>
      <c r="K36" s="18" t="s">
        <v>50</v>
      </c>
      <c r="L36" s="18">
        <v>168</v>
      </c>
      <c r="M36" s="18" t="s">
        <v>798</v>
      </c>
      <c r="N36" s="19">
        <v>46306.557222222204</v>
      </c>
      <c r="O36" s="18">
        <v>0</v>
      </c>
      <c r="P36" s="18" t="s">
        <v>129</v>
      </c>
      <c r="Q36" s="18">
        <v>15</v>
      </c>
      <c r="R36" s="3" t="str">
        <f>IF(OR(G36="12R",G36="12L"),_xlfn.XLOOKUP(C36,Tabla42[ADEP],Tabla42[SID 12R],""),IF(OR(G36="30L",G36="30R"),_xlfn.XLOOKUP(C36,Tabla42[ADEP],Tabla42[SID 30L],""),""))</f>
        <v/>
      </c>
      <c r="S36" s="3">
        <f t="shared" si="0"/>
        <v>12</v>
      </c>
      <c r="T36" s="3" t="str">
        <f>_xlfn.XLOOKUP(C36,Tabla42[ADEP],Tabla42[Sector],"")</f>
        <v/>
      </c>
    </row>
    <row r="37" spans="1:20" x14ac:dyDescent="0.2">
      <c r="A37" s="18" t="s">
        <v>95</v>
      </c>
      <c r="B37" s="18" t="s">
        <v>18</v>
      </c>
      <c r="C37" s="18" t="s">
        <v>96</v>
      </c>
      <c r="D37" s="18" t="s">
        <v>60</v>
      </c>
      <c r="E37" s="18" t="s">
        <v>2841</v>
      </c>
      <c r="F37" s="19">
        <v>46306.545729166697</v>
      </c>
      <c r="G37" s="18" t="s">
        <v>21</v>
      </c>
      <c r="H37" s="18" t="s">
        <v>3849</v>
      </c>
      <c r="I37" s="18">
        <v>360</v>
      </c>
      <c r="J37" s="18" t="s">
        <v>22</v>
      </c>
      <c r="K37" s="18" t="s">
        <v>23</v>
      </c>
      <c r="L37" s="18">
        <v>859</v>
      </c>
      <c r="M37" s="18" t="s">
        <v>45</v>
      </c>
      <c r="N37" s="19">
        <v>46306.591412037</v>
      </c>
      <c r="O37" s="18">
        <v>360</v>
      </c>
      <c r="P37" s="18" t="s">
        <v>25</v>
      </c>
      <c r="Q37" s="18">
        <v>190</v>
      </c>
      <c r="R37" s="3" t="str">
        <f>IF(OR(G37="12R",G37="12L"),_xlfn.XLOOKUP(C37,Tabla42[ADEP],Tabla42[SID 12R],""),IF(OR(G37="30L",G37="30R"),_xlfn.XLOOKUP(C37,Tabla42[ADEP],Tabla42[SID 30L],""),""))</f>
        <v>UDGUV</v>
      </c>
      <c r="S37" s="3">
        <f t="shared" si="0"/>
        <v>13</v>
      </c>
      <c r="T37" s="3" t="str">
        <f>_xlfn.XLOOKUP(C37,Tabla42[ADEP],Tabla42[Sector],"")</f>
        <v>Sector 2</v>
      </c>
    </row>
    <row r="38" spans="1:20" x14ac:dyDescent="0.2">
      <c r="A38" s="18" t="s">
        <v>125</v>
      </c>
      <c r="B38" s="18" t="s">
        <v>18</v>
      </c>
      <c r="C38" s="18" t="s">
        <v>126</v>
      </c>
      <c r="D38" s="18" t="s">
        <v>122</v>
      </c>
      <c r="E38" s="18" t="s">
        <v>3850</v>
      </c>
      <c r="F38" s="19">
        <v>46306.5467361111</v>
      </c>
      <c r="G38" s="18" t="s">
        <v>21</v>
      </c>
      <c r="H38" s="18" t="s">
        <v>3851</v>
      </c>
      <c r="I38" s="18">
        <v>350</v>
      </c>
      <c r="J38" s="18" t="s">
        <v>22</v>
      </c>
      <c r="K38" s="18" t="s">
        <v>23</v>
      </c>
      <c r="L38" s="18">
        <v>359</v>
      </c>
      <c r="M38" s="18" t="s">
        <v>30</v>
      </c>
      <c r="N38" s="19">
        <v>46306.566423611097</v>
      </c>
      <c r="O38" s="18">
        <v>350</v>
      </c>
      <c r="P38" s="18" t="s">
        <v>25</v>
      </c>
      <c r="Q38" s="18">
        <v>40</v>
      </c>
      <c r="R38" s="3" t="str">
        <f>IF(OR(G38="12R",G38="12L"),_xlfn.XLOOKUP(C38,Tabla42[ADEP],Tabla42[SID 12R],""),IF(OR(G38="30L",G38="30R"),_xlfn.XLOOKUP(C38,Tabla42[ADEP],Tabla42[SID 30L],""),""))</f>
        <v>ENEBA</v>
      </c>
      <c r="S38" s="3">
        <f t="shared" si="0"/>
        <v>13</v>
      </c>
      <c r="T38" s="3" t="str">
        <f>_xlfn.XLOOKUP(C38,Tabla42[ADEP],Tabla42[Sector],"")</f>
        <v>Sector 3</v>
      </c>
    </row>
    <row r="39" spans="1:20" x14ac:dyDescent="0.2">
      <c r="A39" s="18" t="s">
        <v>119</v>
      </c>
      <c r="B39" s="18" t="s">
        <v>18</v>
      </c>
      <c r="C39" s="18" t="s">
        <v>42</v>
      </c>
      <c r="D39" s="18" t="s">
        <v>43</v>
      </c>
      <c r="E39" s="18" t="s">
        <v>120</v>
      </c>
      <c r="F39" s="19">
        <v>46306.547673611101</v>
      </c>
      <c r="G39" s="18" t="s">
        <v>21</v>
      </c>
      <c r="H39" s="18" t="s">
        <v>3852</v>
      </c>
      <c r="I39" s="18">
        <v>360</v>
      </c>
      <c r="J39" s="18" t="s">
        <v>22</v>
      </c>
      <c r="K39" s="18" t="s">
        <v>23</v>
      </c>
      <c r="L39" s="18">
        <v>859</v>
      </c>
      <c r="M39" s="18" t="s">
        <v>45</v>
      </c>
      <c r="N39" s="19">
        <v>46306.5932986111</v>
      </c>
      <c r="O39" s="18">
        <v>360</v>
      </c>
      <c r="P39" s="18" t="s">
        <v>25</v>
      </c>
      <c r="Q39" s="18">
        <v>190</v>
      </c>
      <c r="R39" s="3" t="str">
        <f>IF(OR(G39="12R",G39="12L"),_xlfn.XLOOKUP(C39,Tabla42[ADEP],Tabla42[SID 12R],""),IF(OR(G39="30L",G39="30R"),_xlfn.XLOOKUP(C39,Tabla42[ADEP],Tabla42[SID 30L],""),""))</f>
        <v>UDGUV</v>
      </c>
      <c r="S39" s="3">
        <f t="shared" si="0"/>
        <v>13</v>
      </c>
      <c r="T39" s="3" t="str">
        <f>_xlfn.XLOOKUP(C39,Tabla42[ADEP],Tabla42[Sector],"")</f>
        <v>Sector 2</v>
      </c>
    </row>
    <row r="40" spans="1:20" x14ac:dyDescent="0.2">
      <c r="A40" s="18" t="s">
        <v>115</v>
      </c>
      <c r="B40" s="18" t="s">
        <v>18</v>
      </c>
      <c r="C40" s="18" t="s">
        <v>116</v>
      </c>
      <c r="D40" s="18" t="s">
        <v>117</v>
      </c>
      <c r="E40" s="18" t="s">
        <v>3853</v>
      </c>
      <c r="F40" s="19">
        <v>46306.548645833303</v>
      </c>
      <c r="G40" s="18" t="s">
        <v>21</v>
      </c>
      <c r="H40" s="18" t="s">
        <v>3854</v>
      </c>
      <c r="I40" s="18">
        <v>340</v>
      </c>
      <c r="J40" s="18" t="s">
        <v>22</v>
      </c>
      <c r="K40" s="18" t="s">
        <v>23</v>
      </c>
      <c r="L40" s="18">
        <v>548</v>
      </c>
      <c r="M40" s="18" t="s">
        <v>123</v>
      </c>
      <c r="N40" s="19">
        <v>46306.5776736111</v>
      </c>
      <c r="O40" s="18">
        <v>340</v>
      </c>
      <c r="P40" s="18" t="s">
        <v>25</v>
      </c>
      <c r="Q40" s="18">
        <v>40</v>
      </c>
      <c r="R40" s="3" t="str">
        <f>IF(OR(G40="12R",G40="12L"),_xlfn.XLOOKUP(C40,Tabla42[ADEP],Tabla42[SID 12R],""),IF(OR(G40="30L",G40="30R"),_xlfn.XLOOKUP(C40,Tabla42[ADEP],Tabla42[SID 30L],""),""))</f>
        <v>ENEBA</v>
      </c>
      <c r="S40" s="3">
        <f t="shared" si="0"/>
        <v>13</v>
      </c>
      <c r="T40" s="3" t="str">
        <f>_xlfn.XLOOKUP(C40,Tabla42[ADEP],Tabla42[Sector],"")</f>
        <v>Sector 3</v>
      </c>
    </row>
    <row r="41" spans="1:20" x14ac:dyDescent="0.2">
      <c r="A41" s="18" t="s">
        <v>511</v>
      </c>
      <c r="B41" s="18" t="s">
        <v>18</v>
      </c>
      <c r="C41" s="18" t="s">
        <v>195</v>
      </c>
      <c r="D41" s="18" t="s">
        <v>397</v>
      </c>
      <c r="E41" s="18" t="s">
        <v>512</v>
      </c>
      <c r="F41" s="19">
        <v>46306.550254629597</v>
      </c>
      <c r="G41" s="18" t="s">
        <v>21</v>
      </c>
      <c r="H41" s="18" t="s">
        <v>3855</v>
      </c>
      <c r="I41" s="18">
        <v>390</v>
      </c>
      <c r="J41" s="18" t="s">
        <v>22</v>
      </c>
      <c r="K41" s="18" t="s">
        <v>23</v>
      </c>
      <c r="L41" s="18">
        <v>132</v>
      </c>
      <c r="M41" s="18" t="s">
        <v>39</v>
      </c>
      <c r="N41" s="19">
        <v>46306.559189814798</v>
      </c>
      <c r="O41" s="18">
        <v>266</v>
      </c>
      <c r="P41" s="18" t="s">
        <v>40</v>
      </c>
      <c r="Q41" s="18">
        <v>190</v>
      </c>
      <c r="R41" s="3" t="str">
        <f>IF(OR(G41="12R",G41="12L"),_xlfn.XLOOKUP(C41,Tabla42[ADEP],Tabla42[SID 12R],""),IF(OR(G41="30L",G41="30R"),_xlfn.XLOOKUP(C41,Tabla42[ADEP],Tabla42[SID 30L],""),""))</f>
        <v>HECAT</v>
      </c>
      <c r="S41" s="3">
        <f t="shared" si="0"/>
        <v>13</v>
      </c>
      <c r="T41" s="3" t="str">
        <f>_xlfn.XLOOKUP(C41,Tabla42[ADEP],Tabla42[Sector],"")</f>
        <v>Sector 7</v>
      </c>
    </row>
    <row r="42" spans="1:20" x14ac:dyDescent="0.2">
      <c r="A42" s="18" t="s">
        <v>127</v>
      </c>
      <c r="B42" s="18" t="s">
        <v>18</v>
      </c>
      <c r="C42" s="18" t="s">
        <v>128</v>
      </c>
      <c r="D42" s="18" t="s">
        <v>43</v>
      </c>
      <c r="E42" s="18" t="s">
        <v>3856</v>
      </c>
      <c r="F42" s="19">
        <v>46306.5782175926</v>
      </c>
      <c r="G42" s="18" t="s">
        <v>21</v>
      </c>
      <c r="H42" s="18" t="s">
        <v>3857</v>
      </c>
      <c r="I42" s="18">
        <v>330</v>
      </c>
      <c r="J42" s="18" t="s">
        <v>22</v>
      </c>
      <c r="K42" s="18" t="s">
        <v>23</v>
      </c>
      <c r="L42" s="18">
        <v>361</v>
      </c>
      <c r="M42" s="18" t="s">
        <v>30</v>
      </c>
      <c r="N42" s="19">
        <v>46306.598993055602</v>
      </c>
      <c r="O42" s="18">
        <v>330</v>
      </c>
      <c r="P42" s="18" t="s">
        <v>25</v>
      </c>
      <c r="Q42" s="18">
        <v>40</v>
      </c>
      <c r="R42" s="3" t="str">
        <f>IF(OR(G42="12R",G42="12L"),_xlfn.XLOOKUP(C42,Tabla42[ADEP],Tabla42[SID 12R],""),IF(OR(G42="30L",G42="30R"),_xlfn.XLOOKUP(C42,Tabla42[ADEP],Tabla42[SID 30L],""),""))</f>
        <v>OMSUK</v>
      </c>
      <c r="S42" s="3">
        <f t="shared" si="0"/>
        <v>13</v>
      </c>
      <c r="T42" s="3" t="str">
        <f>_xlfn.XLOOKUP(C42,Tabla42[ADEP],Tabla42[Sector],"")</f>
        <v>Sector 3</v>
      </c>
    </row>
    <row r="43" spans="1:20" x14ac:dyDescent="0.2">
      <c r="A43" s="18" t="s">
        <v>370</v>
      </c>
      <c r="B43" s="18" t="s">
        <v>18</v>
      </c>
      <c r="C43" s="18" t="s">
        <v>510</v>
      </c>
      <c r="D43" s="18" t="s">
        <v>372</v>
      </c>
      <c r="E43" s="18"/>
      <c r="F43" s="19">
        <v>46306.583310185197</v>
      </c>
      <c r="G43" s="18" t="s">
        <v>21</v>
      </c>
      <c r="H43" s="18" t="s">
        <v>155</v>
      </c>
      <c r="I43" s="18">
        <v>65</v>
      </c>
      <c r="J43" s="18" t="s">
        <v>130</v>
      </c>
      <c r="K43" s="18" t="s">
        <v>50</v>
      </c>
      <c r="L43" s="18">
        <v>227</v>
      </c>
      <c r="M43" s="18" t="s">
        <v>510</v>
      </c>
      <c r="N43" s="19">
        <v>46306.616655092599</v>
      </c>
      <c r="O43" s="18">
        <v>0</v>
      </c>
      <c r="P43" s="18" t="s">
        <v>129</v>
      </c>
      <c r="Q43" s="18">
        <v>15</v>
      </c>
      <c r="R43" s="3" t="str">
        <f>IF(OR(G43="12R",G43="12L"),_xlfn.XLOOKUP(C43,Tabla42[ADEP],Tabla42[SID 12R],""),IF(OR(G43="30L",G43="30R"),_xlfn.XLOOKUP(C43,Tabla42[ADEP],Tabla42[SID 30L],""),""))</f>
        <v/>
      </c>
      <c r="S43" s="3">
        <f t="shared" si="0"/>
        <v>13</v>
      </c>
      <c r="T43" s="3" t="str">
        <f>_xlfn.XLOOKUP(C43,Tabla42[ADEP],Tabla42[Sector],"")</f>
        <v/>
      </c>
    </row>
    <row r="44" spans="1:20" x14ac:dyDescent="0.2">
      <c r="A44" s="18" t="s">
        <v>3858</v>
      </c>
      <c r="B44" s="18" t="s">
        <v>18</v>
      </c>
      <c r="C44" s="18" t="s">
        <v>62</v>
      </c>
      <c r="D44" s="18" t="s">
        <v>394</v>
      </c>
      <c r="E44" s="18"/>
      <c r="F44" s="19">
        <v>46306.591157407398</v>
      </c>
      <c r="G44" s="18" t="s">
        <v>21</v>
      </c>
      <c r="H44" s="18" t="s">
        <v>3859</v>
      </c>
      <c r="I44" s="18">
        <v>165</v>
      </c>
      <c r="J44" s="18" t="s">
        <v>130</v>
      </c>
      <c r="K44" s="18" t="s">
        <v>50</v>
      </c>
      <c r="L44" s="18">
        <v>847</v>
      </c>
      <c r="M44" s="18" t="s">
        <v>3860</v>
      </c>
      <c r="N44" s="19">
        <v>46306.671504629601</v>
      </c>
      <c r="O44" s="18">
        <v>165</v>
      </c>
      <c r="P44" s="18" t="s">
        <v>129</v>
      </c>
      <c r="Q44" s="18">
        <v>15</v>
      </c>
      <c r="R44" s="3" t="str">
        <f>IF(OR(G44="12R",G44="12L"),_xlfn.XLOOKUP(C44,Tabla42[ADEP],Tabla42[SID 12R],""),IF(OR(G44="30L",G44="30R"),_xlfn.XLOOKUP(C44,Tabla42[ADEP],Tabla42[SID 30L],""),""))</f>
        <v>UDGUV</v>
      </c>
      <c r="S44" s="3">
        <f t="shared" si="0"/>
        <v>14</v>
      </c>
      <c r="T44" s="3" t="str">
        <f>_xlfn.XLOOKUP(C44,Tabla42[ADEP],Tabla42[Sector],"")</f>
        <v>Sector 2</v>
      </c>
    </row>
    <row r="45" spans="1:20" x14ac:dyDescent="0.2">
      <c r="A45" s="18" t="s">
        <v>61</v>
      </c>
      <c r="B45" s="18" t="s">
        <v>18</v>
      </c>
      <c r="C45" s="18" t="s">
        <v>65</v>
      </c>
      <c r="D45" s="18" t="s">
        <v>63</v>
      </c>
      <c r="E45" s="18" t="s">
        <v>3821</v>
      </c>
      <c r="F45" s="19">
        <v>46306.598032407397</v>
      </c>
      <c r="G45" s="18" t="s">
        <v>21</v>
      </c>
      <c r="H45" s="18" t="s">
        <v>3861</v>
      </c>
      <c r="I45" s="18">
        <v>240</v>
      </c>
      <c r="J45" s="18" t="s">
        <v>22</v>
      </c>
      <c r="K45" s="18" t="s">
        <v>23</v>
      </c>
      <c r="L45" s="18">
        <v>355</v>
      </c>
      <c r="M45" s="18" t="s">
        <v>65</v>
      </c>
      <c r="N45" s="19">
        <v>46306.622407407398</v>
      </c>
      <c r="O45" s="18">
        <v>0</v>
      </c>
      <c r="P45" s="18" t="s">
        <v>25</v>
      </c>
      <c r="Q45" s="18">
        <v>190</v>
      </c>
      <c r="R45" s="3" t="str">
        <f>IF(OR(G45="12R",G45="12L"),_xlfn.XLOOKUP(C45,Tabla42[ADEP],Tabla42[SID 12R],""),IF(OR(G45="30L",G45="30R"),_xlfn.XLOOKUP(C45,Tabla42[ADEP],Tabla42[SID 30L],""),""))</f>
        <v>UDGUV</v>
      </c>
      <c r="S45" s="3">
        <f t="shared" si="0"/>
        <v>14</v>
      </c>
      <c r="T45" s="3" t="str">
        <f>_xlfn.XLOOKUP(C45,Tabla42[ADEP],Tabla42[Sector],"")</f>
        <v>Sector 2</v>
      </c>
    </row>
    <row r="46" spans="1:20" x14ac:dyDescent="0.2">
      <c r="A46" s="18" t="s">
        <v>131</v>
      </c>
      <c r="B46" s="18" t="s">
        <v>18</v>
      </c>
      <c r="C46" s="18" t="s">
        <v>42</v>
      </c>
      <c r="D46" s="18" t="s">
        <v>43</v>
      </c>
      <c r="E46" s="18" t="s">
        <v>711</v>
      </c>
      <c r="F46" s="19">
        <v>46306.600902777798</v>
      </c>
      <c r="G46" s="18" t="s">
        <v>21</v>
      </c>
      <c r="H46" s="18" t="s">
        <v>3862</v>
      </c>
      <c r="I46" s="18">
        <v>360</v>
      </c>
      <c r="J46" s="18" t="s">
        <v>22</v>
      </c>
      <c r="K46" s="18" t="s">
        <v>23</v>
      </c>
      <c r="L46" s="18">
        <v>859</v>
      </c>
      <c r="M46" s="18" t="s">
        <v>45</v>
      </c>
      <c r="N46" s="19">
        <v>46306.646666666697</v>
      </c>
      <c r="O46" s="18">
        <v>360</v>
      </c>
      <c r="P46" s="18" t="s">
        <v>25</v>
      </c>
      <c r="Q46" s="18">
        <v>190</v>
      </c>
      <c r="R46" s="3" t="str">
        <f>IF(OR(G46="12R",G46="12L"),_xlfn.XLOOKUP(C46,Tabla42[ADEP],Tabla42[SID 12R],""),IF(OR(G46="30L",G46="30R"),_xlfn.XLOOKUP(C46,Tabla42[ADEP],Tabla42[SID 30L],""),""))</f>
        <v>UDGUV</v>
      </c>
      <c r="S46" s="3">
        <f t="shared" si="0"/>
        <v>14</v>
      </c>
      <c r="T46" s="3" t="str">
        <f>_xlfn.XLOOKUP(C46,Tabla42[ADEP],Tabla42[Sector],"")</f>
        <v>Sector 2</v>
      </c>
    </row>
    <row r="47" spans="1:20" x14ac:dyDescent="0.2">
      <c r="A47" s="18" t="s">
        <v>135</v>
      </c>
      <c r="B47" s="18" t="s">
        <v>18</v>
      </c>
      <c r="C47" s="18" t="s">
        <v>32</v>
      </c>
      <c r="D47" s="18" t="s">
        <v>53</v>
      </c>
      <c r="E47" s="18" t="s">
        <v>674</v>
      </c>
      <c r="F47" s="19">
        <v>46306.624374999999</v>
      </c>
      <c r="G47" s="18" t="s">
        <v>21</v>
      </c>
      <c r="H47" s="18" t="s">
        <v>3863</v>
      </c>
      <c r="I47" s="18">
        <v>380</v>
      </c>
      <c r="J47" s="18" t="s">
        <v>22</v>
      </c>
      <c r="K47" s="18" t="s">
        <v>23</v>
      </c>
      <c r="L47" s="18">
        <v>859</v>
      </c>
      <c r="M47" s="18" t="s">
        <v>35</v>
      </c>
      <c r="N47" s="19">
        <v>46306.671863425901</v>
      </c>
      <c r="O47" s="18">
        <v>360</v>
      </c>
      <c r="P47" s="18" t="s">
        <v>25</v>
      </c>
      <c r="Q47" s="18">
        <v>190</v>
      </c>
      <c r="R47" s="3" t="str">
        <f>IF(OR(G47="12R",G47="12L"),_xlfn.XLOOKUP(C47,Tabla42[ADEP],Tabla42[SID 12R],""),IF(OR(G47="30L",G47="30R"),_xlfn.XLOOKUP(C47,Tabla42[ADEP],Tabla42[SID 30L],""),""))</f>
        <v>UDGUV</v>
      </c>
      <c r="S47" s="3">
        <f t="shared" si="0"/>
        <v>14</v>
      </c>
      <c r="T47" s="3" t="str">
        <f>_xlfn.XLOOKUP(C47,Tabla42[ADEP],Tabla42[Sector],"")</f>
        <v>Sector 2</v>
      </c>
    </row>
    <row r="48" spans="1:20" x14ac:dyDescent="0.2">
      <c r="A48" s="18" t="s">
        <v>2971</v>
      </c>
      <c r="B48" s="18" t="s">
        <v>18</v>
      </c>
      <c r="C48" s="18" t="s">
        <v>121</v>
      </c>
      <c r="D48" s="18" t="s">
        <v>20</v>
      </c>
      <c r="E48" s="18" t="s">
        <v>3864</v>
      </c>
      <c r="F48" s="19">
        <v>46306.627766203703</v>
      </c>
      <c r="G48" s="18" t="s">
        <v>21</v>
      </c>
      <c r="H48" s="18" t="s">
        <v>3865</v>
      </c>
      <c r="I48" s="18">
        <v>360</v>
      </c>
      <c r="J48" s="18" t="s">
        <v>22</v>
      </c>
      <c r="K48" s="18" t="s">
        <v>23</v>
      </c>
      <c r="L48" s="18">
        <v>539</v>
      </c>
      <c r="M48" s="18" t="s">
        <v>123</v>
      </c>
      <c r="N48" s="19">
        <v>46306.657743055599</v>
      </c>
      <c r="O48" s="18">
        <v>360</v>
      </c>
      <c r="P48" s="18" t="s">
        <v>25</v>
      </c>
      <c r="Q48" s="18">
        <v>40</v>
      </c>
      <c r="R48" s="3" t="str">
        <f>IF(OR(G48="12R",G48="12L"),_xlfn.XLOOKUP(C48,Tabla42[ADEP],Tabla42[SID 12R],""),IF(OR(G48="30L",G48="30R"),_xlfn.XLOOKUP(C48,Tabla42[ADEP],Tabla42[SID 30L],""),""))</f>
        <v>ENEBA</v>
      </c>
      <c r="S48" s="3">
        <f t="shared" si="0"/>
        <v>15</v>
      </c>
      <c r="T48" s="3" t="str">
        <f>_xlfn.XLOOKUP(C48,Tabla42[ADEP],Tabla42[Sector],"")</f>
        <v>Sector 3</v>
      </c>
    </row>
    <row r="49" spans="1:20" x14ac:dyDescent="0.2">
      <c r="A49" s="18" t="s">
        <v>142</v>
      </c>
      <c r="B49" s="18" t="s">
        <v>18</v>
      </c>
      <c r="C49" s="18" t="s">
        <v>42</v>
      </c>
      <c r="D49" s="18" t="s">
        <v>53</v>
      </c>
      <c r="E49" s="18" t="s">
        <v>70</v>
      </c>
      <c r="F49" s="19">
        <v>46306.641238425902</v>
      </c>
      <c r="G49" s="18" t="s">
        <v>21</v>
      </c>
      <c r="H49" s="18" t="s">
        <v>3866</v>
      </c>
      <c r="I49" s="18">
        <v>380</v>
      </c>
      <c r="J49" s="18" t="s">
        <v>22</v>
      </c>
      <c r="K49" s="18" t="s">
        <v>23</v>
      </c>
      <c r="L49" s="18">
        <v>861</v>
      </c>
      <c r="M49" s="18" t="s">
        <v>420</v>
      </c>
      <c r="N49" s="19">
        <v>46306.686516203699</v>
      </c>
      <c r="O49" s="18">
        <v>380</v>
      </c>
      <c r="P49" s="18" t="s">
        <v>25</v>
      </c>
      <c r="Q49" s="18">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18" t="s">
        <v>139</v>
      </c>
      <c r="B50" s="18" t="s">
        <v>18</v>
      </c>
      <c r="C50" s="18" t="s">
        <v>49</v>
      </c>
      <c r="D50" s="18" t="s">
        <v>53</v>
      </c>
      <c r="E50" s="18" t="s">
        <v>3541</v>
      </c>
      <c r="F50" s="19">
        <v>46306.642928240697</v>
      </c>
      <c r="G50" s="18" t="s">
        <v>21</v>
      </c>
      <c r="H50" s="18" t="s">
        <v>3867</v>
      </c>
      <c r="I50" s="18">
        <v>380</v>
      </c>
      <c r="J50" s="18" t="s">
        <v>22</v>
      </c>
      <c r="K50" s="18" t="s">
        <v>141</v>
      </c>
      <c r="L50" s="18">
        <v>863</v>
      </c>
      <c r="M50" s="18" t="s">
        <v>83</v>
      </c>
      <c r="N50" s="19">
        <v>46306.689016203702</v>
      </c>
      <c r="O50" s="18">
        <v>380</v>
      </c>
      <c r="P50" s="18" t="s">
        <v>25</v>
      </c>
      <c r="Q50" s="18">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18" t="s">
        <v>425</v>
      </c>
      <c r="B51" s="18" t="s">
        <v>18</v>
      </c>
      <c r="C51" s="18" t="s">
        <v>49</v>
      </c>
      <c r="D51" s="18" t="s">
        <v>53</v>
      </c>
      <c r="E51" s="18" t="s">
        <v>376</v>
      </c>
      <c r="F51" s="19">
        <v>46306.6499652778</v>
      </c>
      <c r="G51" s="18" t="s">
        <v>21</v>
      </c>
      <c r="H51" s="18" t="s">
        <v>3868</v>
      </c>
      <c r="I51" s="18">
        <v>380</v>
      </c>
      <c r="J51" s="18" t="s">
        <v>22</v>
      </c>
      <c r="K51" s="18" t="s">
        <v>23</v>
      </c>
      <c r="L51" s="18">
        <v>863</v>
      </c>
      <c r="M51" s="18" t="s">
        <v>83</v>
      </c>
      <c r="N51" s="19">
        <v>46306.695682870399</v>
      </c>
      <c r="O51" s="18">
        <v>380</v>
      </c>
      <c r="P51" s="18" t="s">
        <v>25</v>
      </c>
      <c r="Q51" s="18">
        <v>190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18" t="s">
        <v>151</v>
      </c>
      <c r="B52" s="18" t="s">
        <v>18</v>
      </c>
      <c r="C52" s="18" t="s">
        <v>96</v>
      </c>
      <c r="D52" s="18" t="s">
        <v>122</v>
      </c>
      <c r="E52" s="18" t="s">
        <v>752</v>
      </c>
      <c r="F52" s="19">
        <v>46306.651932870402</v>
      </c>
      <c r="G52" s="18" t="s">
        <v>21</v>
      </c>
      <c r="H52" s="18" t="s">
        <v>276</v>
      </c>
      <c r="I52" s="18">
        <v>380</v>
      </c>
      <c r="J52" s="18" t="s">
        <v>22</v>
      </c>
      <c r="K52" s="18" t="s">
        <v>23</v>
      </c>
      <c r="L52" s="18">
        <v>859</v>
      </c>
      <c r="M52" s="18" t="s">
        <v>45</v>
      </c>
      <c r="N52" s="19">
        <v>46306.697905092602</v>
      </c>
      <c r="O52" s="18">
        <v>380</v>
      </c>
      <c r="P52" s="18" t="s">
        <v>25</v>
      </c>
      <c r="Q52" s="18">
        <v>190</v>
      </c>
      <c r="R52" s="3" t="str">
        <f>IF(OR(G52="12R",G52="12L"),_xlfn.XLOOKUP(C52,Tabla42[ADEP],Tabla42[SID 12R],""),IF(OR(G52="30L",G52="30R"),_xlfn.XLOOKUP(C52,Tabla42[ADEP],Tabla42[SID 30L],""),""))</f>
        <v>UDGUV</v>
      </c>
      <c r="S52" s="3">
        <f t="shared" si="0"/>
        <v>15</v>
      </c>
      <c r="T52" s="3" t="str">
        <f>_xlfn.XLOOKUP(C52,Tabla42[ADEP],Tabla42[Sector],"")</f>
        <v>Sector 2</v>
      </c>
    </row>
    <row r="53" spans="1:20" x14ac:dyDescent="0.2">
      <c r="A53" s="18" t="s">
        <v>3869</v>
      </c>
      <c r="B53" s="18" t="s">
        <v>18</v>
      </c>
      <c r="C53" s="18" t="s">
        <v>32</v>
      </c>
      <c r="D53" s="18" t="s">
        <v>124</v>
      </c>
      <c r="E53" s="18"/>
      <c r="F53" s="19">
        <v>46306.653761574104</v>
      </c>
      <c r="G53" s="18" t="s">
        <v>21</v>
      </c>
      <c r="H53" s="18" t="s">
        <v>3870</v>
      </c>
      <c r="I53" s="18">
        <v>360</v>
      </c>
      <c r="J53" s="18" t="s">
        <v>22</v>
      </c>
      <c r="K53" s="18" t="s">
        <v>50</v>
      </c>
      <c r="L53" s="18">
        <v>894</v>
      </c>
      <c r="M53" s="18" t="s">
        <v>35</v>
      </c>
      <c r="N53" s="19">
        <v>46306.705914351798</v>
      </c>
      <c r="O53" s="18">
        <v>380</v>
      </c>
      <c r="P53" s="18" t="s">
        <v>25</v>
      </c>
      <c r="Q53" s="18">
        <v>30</v>
      </c>
      <c r="R53" s="3" t="str">
        <f>IF(OR(G53="12R",G53="12L"),_xlfn.XLOOKUP(C53,Tabla42[ADEP],Tabla42[SID 12R],""),IF(OR(G53="30L",G53="30R"),_xlfn.XLOOKUP(C53,Tabla42[ADEP],Tabla42[SID 30L],""),""))</f>
        <v>UDGUV</v>
      </c>
      <c r="S53" s="3">
        <f t="shared" si="0"/>
        <v>15</v>
      </c>
      <c r="T53" s="3" t="str">
        <f>_xlfn.XLOOKUP(C53,Tabla42[ADEP],Tabla42[Sector],"")</f>
        <v>Sector 2</v>
      </c>
    </row>
    <row r="54" spans="1:20" x14ac:dyDescent="0.2">
      <c r="A54" s="18" t="s">
        <v>146</v>
      </c>
      <c r="B54" s="18" t="s">
        <v>18</v>
      </c>
      <c r="C54" s="18" t="s">
        <v>96</v>
      </c>
      <c r="D54" s="18" t="s">
        <v>53</v>
      </c>
      <c r="E54" s="18" t="s">
        <v>1613</v>
      </c>
      <c r="F54" s="19">
        <v>46306.663425925901</v>
      </c>
      <c r="G54" s="18" t="s">
        <v>21</v>
      </c>
      <c r="H54" s="18" t="s">
        <v>366</v>
      </c>
      <c r="I54" s="18">
        <v>380</v>
      </c>
      <c r="J54" s="18" t="s">
        <v>22</v>
      </c>
      <c r="K54" s="18" t="s">
        <v>23</v>
      </c>
      <c r="L54" s="18">
        <v>859</v>
      </c>
      <c r="M54" s="18" t="s">
        <v>45</v>
      </c>
      <c r="N54" s="19">
        <v>46306.709664351903</v>
      </c>
      <c r="O54" s="18">
        <v>380</v>
      </c>
      <c r="P54" s="18" t="s">
        <v>25</v>
      </c>
      <c r="Q54" s="18">
        <v>190</v>
      </c>
      <c r="R54" s="3" t="str">
        <f>IF(OR(G54="12R",G54="12L"),_xlfn.XLOOKUP(C54,Tabla42[ADEP],Tabla42[SID 12R],""),IF(OR(G54="30L",G54="30R"),_xlfn.XLOOKUP(C54,Tabla42[ADEP],Tabla42[SID 30L],""),""))</f>
        <v>UDGUV</v>
      </c>
      <c r="S54" s="3">
        <f t="shared" si="0"/>
        <v>15</v>
      </c>
      <c r="T54" s="3" t="str">
        <f>_xlfn.XLOOKUP(C54,Tabla42[ADEP],Tabla42[Sector],"")</f>
        <v>Sector 2</v>
      </c>
    </row>
    <row r="55" spans="1:20" x14ac:dyDescent="0.2">
      <c r="A55" s="18" t="s">
        <v>2984</v>
      </c>
      <c r="B55" s="18" t="s">
        <v>18</v>
      </c>
      <c r="C55" s="18" t="s">
        <v>188</v>
      </c>
      <c r="D55" s="18" t="s">
        <v>20</v>
      </c>
      <c r="E55" s="18" t="s">
        <v>3871</v>
      </c>
      <c r="F55" s="19">
        <v>46306.664189814801</v>
      </c>
      <c r="G55" s="18" t="s">
        <v>21</v>
      </c>
      <c r="H55" s="18" t="s">
        <v>3872</v>
      </c>
      <c r="I55" s="18">
        <v>360</v>
      </c>
      <c r="J55" s="18" t="s">
        <v>22</v>
      </c>
      <c r="K55" s="18" t="s">
        <v>23</v>
      </c>
      <c r="L55" s="18">
        <v>536</v>
      </c>
      <c r="M55" s="18" t="s">
        <v>123</v>
      </c>
      <c r="N55" s="19">
        <v>46306.693124999998</v>
      </c>
      <c r="O55" s="18">
        <v>360</v>
      </c>
      <c r="P55" s="18" t="s">
        <v>25</v>
      </c>
      <c r="Q55" s="18">
        <v>40</v>
      </c>
      <c r="R55" s="3" t="str">
        <f>IF(OR(G55="12R",G55="12L"),_xlfn.XLOOKUP(C55,Tabla42[ADEP],Tabla42[SID 12R],""),IF(OR(G55="30L",G55="30R"),_xlfn.XLOOKUP(C55,Tabla42[ADEP],Tabla42[SID 30L],""),""))</f>
        <v>ENEBA</v>
      </c>
      <c r="S55" s="3">
        <f t="shared" si="0"/>
        <v>15</v>
      </c>
      <c r="T55" s="3" t="str">
        <f>_xlfn.XLOOKUP(C55,Tabla42[ADEP],Tabla42[Sector],"")</f>
        <v>Sector 3</v>
      </c>
    </row>
    <row r="56" spans="1:20" x14ac:dyDescent="0.2">
      <c r="A56" s="18" t="s">
        <v>364</v>
      </c>
      <c r="B56" s="18" t="s">
        <v>18</v>
      </c>
      <c r="C56" s="18" t="s">
        <v>27</v>
      </c>
      <c r="D56" s="18" t="s">
        <v>28</v>
      </c>
      <c r="E56" s="18" t="s">
        <v>3873</v>
      </c>
      <c r="F56" s="19">
        <v>46306.668784722198</v>
      </c>
      <c r="G56" s="18" t="s">
        <v>21</v>
      </c>
      <c r="H56" s="18" t="s">
        <v>3874</v>
      </c>
      <c r="I56" s="18">
        <v>360</v>
      </c>
      <c r="J56" s="18" t="s">
        <v>22</v>
      </c>
      <c r="K56" s="18" t="s">
        <v>23</v>
      </c>
      <c r="L56" s="18">
        <v>586</v>
      </c>
      <c r="M56" s="18" t="s">
        <v>123</v>
      </c>
      <c r="N56" s="19">
        <v>46306.700277777803</v>
      </c>
      <c r="O56" s="18">
        <v>360</v>
      </c>
      <c r="P56" s="18" t="s">
        <v>25</v>
      </c>
      <c r="Q56" s="18">
        <v>40</v>
      </c>
      <c r="R56" s="3" t="str">
        <f>IF(OR(G56="12R",G56="12L"),_xlfn.XLOOKUP(C56,Tabla42[ADEP],Tabla42[SID 12R],""),IF(OR(G56="30L",G56="30R"),_xlfn.XLOOKUP(C56,Tabla42[ADEP],Tabla42[SID 30L],""),""))</f>
        <v>OMSUK</v>
      </c>
      <c r="S56" s="3">
        <f t="shared" si="0"/>
        <v>16</v>
      </c>
      <c r="T56" s="3" t="str">
        <f>_xlfn.XLOOKUP(C56,Tabla42[ADEP],Tabla42[Sector],"")</f>
        <v>Sector 3</v>
      </c>
    </row>
    <row r="57" spans="1:20" x14ac:dyDescent="0.2">
      <c r="A57" s="18" t="s">
        <v>145</v>
      </c>
      <c r="B57" s="18" t="s">
        <v>18</v>
      </c>
      <c r="C57" s="18" t="s">
        <v>19</v>
      </c>
      <c r="D57" s="18" t="s">
        <v>53</v>
      </c>
      <c r="E57" s="18" t="s">
        <v>3875</v>
      </c>
      <c r="F57" s="19">
        <v>46306.671655092599</v>
      </c>
      <c r="G57" s="18" t="s">
        <v>21</v>
      </c>
      <c r="H57" s="18" t="s">
        <v>3876</v>
      </c>
      <c r="I57" s="18">
        <v>380</v>
      </c>
      <c r="J57" s="18" t="s">
        <v>22</v>
      </c>
      <c r="K57" s="18" t="s">
        <v>23</v>
      </c>
      <c r="L57" s="18">
        <v>864</v>
      </c>
      <c r="M57" s="18" t="s">
        <v>3877</v>
      </c>
      <c r="N57" s="19">
        <v>46306.717465277798</v>
      </c>
      <c r="O57" s="18">
        <v>380</v>
      </c>
      <c r="P57" s="18" t="s">
        <v>25</v>
      </c>
      <c r="Q57" s="18">
        <v>190</v>
      </c>
      <c r="R57" s="3" t="str">
        <f>IF(OR(G57="12R",G57="12L"),_xlfn.XLOOKUP(C57,Tabla42[ADEP],Tabla42[SID 12R],""),IF(OR(G57="30L",G57="30R"),_xlfn.XLOOKUP(C57,Tabla42[ADEP],Tabla42[SID 30L],""),""))</f>
        <v>UDGUV</v>
      </c>
      <c r="S57" s="3">
        <f t="shared" si="0"/>
        <v>16</v>
      </c>
      <c r="T57" s="3" t="str">
        <f>_xlfn.XLOOKUP(C57,Tabla42[ADEP],Tabla42[Sector],"")</f>
        <v>Sector 2</v>
      </c>
    </row>
    <row r="58" spans="1:20" x14ac:dyDescent="0.2">
      <c r="A58" s="18" t="s">
        <v>2990</v>
      </c>
      <c r="B58" s="18" t="s">
        <v>18</v>
      </c>
      <c r="C58" s="18" t="s">
        <v>444</v>
      </c>
      <c r="D58" s="18" t="s">
        <v>20</v>
      </c>
      <c r="E58" s="18" t="s">
        <v>3878</v>
      </c>
      <c r="F58" s="19">
        <v>46306.674062500002</v>
      </c>
      <c r="G58" s="18" t="s">
        <v>21</v>
      </c>
      <c r="H58" s="18" t="s">
        <v>3879</v>
      </c>
      <c r="I58" s="18">
        <v>380</v>
      </c>
      <c r="J58" s="18" t="s">
        <v>22</v>
      </c>
      <c r="K58" s="18" t="s">
        <v>23</v>
      </c>
      <c r="L58" s="18">
        <v>530</v>
      </c>
      <c r="M58" s="18" t="s">
        <v>123</v>
      </c>
      <c r="N58" s="19">
        <v>46306.702777777798</v>
      </c>
      <c r="O58" s="18">
        <v>380</v>
      </c>
      <c r="P58" s="18" t="s">
        <v>25</v>
      </c>
      <c r="Q58" s="18">
        <v>40</v>
      </c>
      <c r="R58" s="3" t="str">
        <f>IF(OR(G58="12R",G58="12L"),_xlfn.XLOOKUP(C58,Tabla42[ADEP],Tabla42[SID 12R],""),IF(OR(G58="30L",G58="30R"),_xlfn.XLOOKUP(C58,Tabla42[ADEP],Tabla42[SID 30L],""),""))</f>
        <v>ENEBA</v>
      </c>
      <c r="S58" s="3">
        <f t="shared" si="0"/>
        <v>16</v>
      </c>
      <c r="T58" s="3" t="str">
        <f>_xlfn.XLOOKUP(C58,Tabla42[ADEP],Tabla42[Sector],"")</f>
        <v>Sector 3</v>
      </c>
    </row>
    <row r="59" spans="1:20" x14ac:dyDescent="0.2">
      <c r="A59" s="18" t="s">
        <v>2095</v>
      </c>
      <c r="B59" s="18" t="s">
        <v>18</v>
      </c>
      <c r="C59" s="18" t="s">
        <v>121</v>
      </c>
      <c r="D59" s="18" t="s">
        <v>28</v>
      </c>
      <c r="E59" s="18" t="s">
        <v>3880</v>
      </c>
      <c r="F59" s="19">
        <v>46306.675520833298</v>
      </c>
      <c r="G59" s="18" t="s">
        <v>21</v>
      </c>
      <c r="H59" s="18" t="s">
        <v>3881</v>
      </c>
      <c r="I59" s="18">
        <v>360</v>
      </c>
      <c r="J59" s="18" t="s">
        <v>22</v>
      </c>
      <c r="K59" s="18" t="s">
        <v>23</v>
      </c>
      <c r="L59" s="18">
        <v>591</v>
      </c>
      <c r="M59" s="18" t="s">
        <v>123</v>
      </c>
      <c r="N59" s="19">
        <v>46306.7078819444</v>
      </c>
      <c r="O59" s="18">
        <v>360</v>
      </c>
      <c r="P59" s="18" t="s">
        <v>25</v>
      </c>
      <c r="Q59" s="18">
        <v>40</v>
      </c>
      <c r="R59" s="3" t="str">
        <f>IF(OR(G59="12R",G59="12L"),_xlfn.XLOOKUP(C59,Tabla42[ADEP],Tabla42[SID 12R],""),IF(OR(G59="30L",G59="30R"),_xlfn.XLOOKUP(C59,Tabla42[ADEP],Tabla42[SID 30L],""),""))</f>
        <v>ENEBA</v>
      </c>
      <c r="S59" s="3">
        <f t="shared" si="0"/>
        <v>16</v>
      </c>
      <c r="T59" s="3" t="str">
        <f>_xlfn.XLOOKUP(C59,Tabla42[ADEP],Tabla42[Sector],"")</f>
        <v>Sector 3</v>
      </c>
    </row>
    <row r="60" spans="1:20" x14ac:dyDescent="0.2">
      <c r="A60" s="18" t="s">
        <v>150</v>
      </c>
      <c r="B60" s="18" t="s">
        <v>18</v>
      </c>
      <c r="C60" s="18" t="s">
        <v>32</v>
      </c>
      <c r="D60" s="18" t="s">
        <v>20</v>
      </c>
      <c r="E60" s="18" t="s">
        <v>3430</v>
      </c>
      <c r="F60" s="19">
        <v>46306.676886574103</v>
      </c>
      <c r="G60" s="18" t="s">
        <v>21</v>
      </c>
      <c r="H60" s="18" t="s">
        <v>3882</v>
      </c>
      <c r="I60" s="18">
        <v>360</v>
      </c>
      <c r="J60" s="18" t="s">
        <v>22</v>
      </c>
      <c r="K60" s="18" t="s">
        <v>23</v>
      </c>
      <c r="L60" s="18">
        <v>865</v>
      </c>
      <c r="M60" s="18" t="s">
        <v>35</v>
      </c>
      <c r="N60" s="19">
        <v>46306.722731481503</v>
      </c>
      <c r="O60" s="18">
        <v>340</v>
      </c>
      <c r="P60" s="18" t="s">
        <v>25</v>
      </c>
      <c r="Q60" s="18">
        <v>190</v>
      </c>
      <c r="R60" s="3" t="str">
        <f>IF(OR(G60="12R",G60="12L"),_xlfn.XLOOKUP(C60,Tabla42[ADEP],Tabla42[SID 12R],""),IF(OR(G60="30L",G60="30R"),_xlfn.XLOOKUP(C60,Tabla42[ADEP],Tabla42[SID 30L],""),""))</f>
        <v>UDGUV</v>
      </c>
      <c r="S60" s="3">
        <f t="shared" si="0"/>
        <v>16</v>
      </c>
      <c r="T60" s="3" t="str">
        <f>_xlfn.XLOOKUP(C60,Tabla42[ADEP],Tabla42[Sector],"")</f>
        <v>Sector 2</v>
      </c>
    </row>
    <row r="61" spans="1:20" x14ac:dyDescent="0.2">
      <c r="A61" s="18" t="s">
        <v>429</v>
      </c>
      <c r="B61" s="18" t="s">
        <v>18</v>
      </c>
      <c r="C61" s="18" t="s">
        <v>193</v>
      </c>
      <c r="D61" s="18" t="s">
        <v>60</v>
      </c>
      <c r="E61" s="18" t="s">
        <v>3883</v>
      </c>
      <c r="F61" s="19">
        <v>46306.677662037</v>
      </c>
      <c r="G61" s="18" t="s">
        <v>21</v>
      </c>
      <c r="H61" s="18" t="s">
        <v>3884</v>
      </c>
      <c r="I61" s="18">
        <v>330</v>
      </c>
      <c r="J61" s="18" t="s">
        <v>22</v>
      </c>
      <c r="K61" s="18" t="s">
        <v>23</v>
      </c>
      <c r="L61" s="18">
        <v>136</v>
      </c>
      <c r="M61" s="18" t="s">
        <v>39</v>
      </c>
      <c r="N61" s="19">
        <v>46306.687326388899</v>
      </c>
      <c r="O61" s="18">
        <v>203</v>
      </c>
      <c r="P61" s="18" t="s">
        <v>25</v>
      </c>
      <c r="Q61" s="18">
        <v>190</v>
      </c>
      <c r="R61" s="3" t="str">
        <f>IF(OR(G61="12R",G61="12L"),_xlfn.XLOOKUP(C61,Tabla42[ADEP],Tabla42[SID 12R],""),IF(OR(G61="30L",G61="30R"),_xlfn.XLOOKUP(C61,Tabla42[ADEP],Tabla42[SID 30L],""),""))</f>
        <v>ENEBA</v>
      </c>
      <c r="S61" s="3">
        <f t="shared" si="0"/>
        <v>16</v>
      </c>
      <c r="T61" s="3" t="str">
        <f>_xlfn.XLOOKUP(C61,Tabla42[ADEP],Tabla42[Sector],"")</f>
        <v>Sector 3</v>
      </c>
    </row>
    <row r="62" spans="1:20" x14ac:dyDescent="0.2">
      <c r="A62" s="18" t="s">
        <v>148</v>
      </c>
      <c r="B62" s="18" t="s">
        <v>18</v>
      </c>
      <c r="C62" s="18" t="s">
        <v>42</v>
      </c>
      <c r="D62" s="18" t="s">
        <v>33</v>
      </c>
      <c r="E62" s="18" t="s">
        <v>426</v>
      </c>
      <c r="F62" s="19">
        <v>46306.678993055597</v>
      </c>
      <c r="G62" s="18" t="s">
        <v>21</v>
      </c>
      <c r="H62" s="18" t="s">
        <v>3885</v>
      </c>
      <c r="I62" s="18">
        <v>360</v>
      </c>
      <c r="J62" s="18" t="s">
        <v>22</v>
      </c>
      <c r="K62" s="18" t="s">
        <v>23</v>
      </c>
      <c r="L62" s="18">
        <v>858</v>
      </c>
      <c r="M62" s="18" t="s">
        <v>45</v>
      </c>
      <c r="N62" s="19">
        <v>46306.723807870403</v>
      </c>
      <c r="O62" s="18">
        <v>360</v>
      </c>
      <c r="P62" s="18" t="s">
        <v>25</v>
      </c>
      <c r="Q62" s="18">
        <v>190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18" t="s">
        <v>163</v>
      </c>
      <c r="B63" s="18" t="s">
        <v>18</v>
      </c>
      <c r="C63" s="18" t="s">
        <v>164</v>
      </c>
      <c r="D63" s="18" t="s">
        <v>43</v>
      </c>
      <c r="E63" s="18" t="s">
        <v>1605</v>
      </c>
      <c r="F63" s="19">
        <v>46306.679872685199</v>
      </c>
      <c r="G63" s="18" t="s">
        <v>21</v>
      </c>
      <c r="H63" s="18" t="s">
        <v>3886</v>
      </c>
      <c r="I63" s="18">
        <v>330</v>
      </c>
      <c r="J63" s="18" t="s">
        <v>22</v>
      </c>
      <c r="K63" s="18" t="s">
        <v>23</v>
      </c>
      <c r="L63" s="18">
        <v>350</v>
      </c>
      <c r="M63" s="18" t="s">
        <v>30</v>
      </c>
      <c r="N63" s="19">
        <v>46306.699004629598</v>
      </c>
      <c r="O63" s="18">
        <v>317</v>
      </c>
      <c r="P63" s="18" t="s">
        <v>25</v>
      </c>
      <c r="Q63" s="18">
        <v>40</v>
      </c>
      <c r="R63" s="3" t="str">
        <f>IF(OR(G63="12R",G63="12L"),_xlfn.XLOOKUP(C63,Tabla42[ADEP],Tabla42[SID 12R],""),IF(OR(G63="30L",G63="30R"),_xlfn.XLOOKUP(C63,Tabla42[ADEP],Tabla42[SID 30L],""),""))</f>
        <v>OMSUK</v>
      </c>
      <c r="S63" s="3">
        <f t="shared" si="0"/>
        <v>16</v>
      </c>
      <c r="T63" s="3" t="str">
        <f>_xlfn.XLOOKUP(C63,Tabla42[ADEP],Tabla42[Sector],"")</f>
        <v>Sector 3</v>
      </c>
    </row>
    <row r="64" spans="1:20" x14ac:dyDescent="0.2">
      <c r="A64" s="18" t="s">
        <v>365</v>
      </c>
      <c r="B64" s="18" t="s">
        <v>18</v>
      </c>
      <c r="C64" s="18" t="s">
        <v>96</v>
      </c>
      <c r="D64" s="18" t="s">
        <v>33</v>
      </c>
      <c r="E64" s="18" t="s">
        <v>456</v>
      </c>
      <c r="F64" s="19">
        <v>46306.680740740703</v>
      </c>
      <c r="G64" s="18" t="s">
        <v>21</v>
      </c>
      <c r="H64" s="18" t="s">
        <v>170</v>
      </c>
      <c r="I64" s="18">
        <v>360</v>
      </c>
      <c r="J64" s="18" t="s">
        <v>22</v>
      </c>
      <c r="K64" s="18" t="s">
        <v>141</v>
      </c>
      <c r="L64" s="18">
        <v>859</v>
      </c>
      <c r="M64" s="18" t="s">
        <v>45</v>
      </c>
      <c r="N64" s="19">
        <v>46306.7265625</v>
      </c>
      <c r="O64" s="18">
        <v>360</v>
      </c>
      <c r="P64" s="18" t="s">
        <v>25</v>
      </c>
      <c r="Q64" s="18">
        <v>190</v>
      </c>
      <c r="R64" s="3" t="str">
        <f>IF(OR(G64="12R",G64="12L"),_xlfn.XLOOKUP(C64,Tabla42[ADEP],Tabla42[SID 12R],""),IF(OR(G64="30L",G64="30R"),_xlfn.XLOOKUP(C64,Tabla42[ADEP],Tabla42[SID 30L],""),""))</f>
        <v>UDGUV</v>
      </c>
      <c r="S64" s="3">
        <f t="shared" si="0"/>
        <v>16</v>
      </c>
      <c r="T64" s="3" t="str">
        <f>_xlfn.XLOOKUP(C64,Tabla42[ADEP],Tabla42[Sector],"")</f>
        <v>Sector 2</v>
      </c>
    </row>
    <row r="65" spans="1:20" x14ac:dyDescent="0.2">
      <c r="A65" s="18" t="s">
        <v>156</v>
      </c>
      <c r="B65" s="18" t="s">
        <v>18</v>
      </c>
      <c r="C65" s="18" t="s">
        <v>109</v>
      </c>
      <c r="D65" s="18" t="s">
        <v>122</v>
      </c>
      <c r="E65" s="18" t="s">
        <v>3887</v>
      </c>
      <c r="F65" s="19">
        <v>46306.684930555602</v>
      </c>
      <c r="G65" s="18" t="s">
        <v>21</v>
      </c>
      <c r="H65" s="18" t="s">
        <v>3888</v>
      </c>
      <c r="I65" s="18">
        <v>350</v>
      </c>
      <c r="J65" s="18" t="s">
        <v>22</v>
      </c>
      <c r="K65" s="18" t="s">
        <v>23</v>
      </c>
      <c r="L65" s="18">
        <v>149</v>
      </c>
      <c r="M65" s="18" t="s">
        <v>111</v>
      </c>
      <c r="N65" s="19">
        <v>46306.695138888899</v>
      </c>
      <c r="O65" s="18">
        <v>257</v>
      </c>
      <c r="P65" s="18" t="s">
        <v>25</v>
      </c>
      <c r="Q65" s="18">
        <v>190</v>
      </c>
      <c r="R65" s="3" t="str">
        <f>IF(OR(G65="12R",G65="12L"),_xlfn.XLOOKUP(C65,Tabla42[ADEP],Tabla42[SID 12R],""),IF(OR(G65="30L",G65="30R"),_xlfn.XLOOKUP(C65,Tabla42[ADEP],Tabla42[SID 30L],""),""))</f>
        <v>TAKUX</v>
      </c>
      <c r="S65" s="3">
        <f t="shared" si="0"/>
        <v>16</v>
      </c>
      <c r="T65" s="3" t="str">
        <f>_xlfn.XLOOKUP(C65,Tabla42[ADEP],Tabla42[Sector],"")</f>
        <v>Sector 7</v>
      </c>
    </row>
    <row r="66" spans="1:20" x14ac:dyDescent="0.2">
      <c r="A66" s="18" t="s">
        <v>152</v>
      </c>
      <c r="B66" s="18" t="s">
        <v>18</v>
      </c>
      <c r="C66" s="18" t="s">
        <v>153</v>
      </c>
      <c r="D66" s="18" t="s">
        <v>33</v>
      </c>
      <c r="E66" s="18" t="s">
        <v>147</v>
      </c>
      <c r="F66" s="19">
        <v>46306.685763888898</v>
      </c>
      <c r="G66" s="18" t="s">
        <v>21</v>
      </c>
      <c r="H66" s="18" t="s">
        <v>3889</v>
      </c>
      <c r="I66" s="18">
        <v>360</v>
      </c>
      <c r="J66" s="18" t="s">
        <v>22</v>
      </c>
      <c r="K66" s="18" t="s">
        <v>23</v>
      </c>
      <c r="L66" s="18">
        <v>857</v>
      </c>
      <c r="M66" s="18" t="s">
        <v>35</v>
      </c>
      <c r="N66" s="19">
        <v>46306.731712963003</v>
      </c>
      <c r="O66" s="18">
        <v>360</v>
      </c>
      <c r="P66" s="18" t="s">
        <v>25</v>
      </c>
      <c r="Q66" s="18">
        <v>190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18" t="s">
        <v>159</v>
      </c>
      <c r="B67" s="18" t="s">
        <v>18</v>
      </c>
      <c r="C67" s="18" t="s">
        <v>160</v>
      </c>
      <c r="D67" s="18" t="s">
        <v>53</v>
      </c>
      <c r="E67" s="18" t="s">
        <v>699</v>
      </c>
      <c r="F67" s="19">
        <v>46306.687870370399</v>
      </c>
      <c r="G67" s="18" t="s">
        <v>21</v>
      </c>
      <c r="H67" s="18" t="s">
        <v>3890</v>
      </c>
      <c r="I67" s="18">
        <v>380</v>
      </c>
      <c r="J67" s="18" t="s">
        <v>22</v>
      </c>
      <c r="K67" s="18" t="s">
        <v>23</v>
      </c>
      <c r="L67" s="18">
        <v>322</v>
      </c>
      <c r="M67" s="18" t="s">
        <v>2433</v>
      </c>
      <c r="N67" s="19">
        <v>46306.705949074101</v>
      </c>
      <c r="O67" s="18">
        <v>380</v>
      </c>
      <c r="P67" s="18" t="s">
        <v>25</v>
      </c>
      <c r="Q67" s="18">
        <v>190</v>
      </c>
      <c r="R67" s="3" t="str">
        <f>IF(OR(G67="12R",G67="12L"),_xlfn.XLOOKUP(C67,Tabla42[ADEP],Tabla42[SID 12R],""),IF(OR(G67="30L",G67="30R"),_xlfn.XLOOKUP(C67,Tabla42[ADEP],Tabla42[SID 30L],""),""))</f>
        <v>CZM</v>
      </c>
      <c r="S67" s="3">
        <f t="shared" ref="S67:S130" si="1">HOUR(F67)</f>
        <v>16</v>
      </c>
      <c r="T67" s="3" t="str">
        <f>_xlfn.XLOOKUP(C67,Tabla42[ADEP],Tabla42[Sector],"")</f>
        <v>Sector 7</v>
      </c>
    </row>
    <row r="68" spans="1:20" x14ac:dyDescent="0.2">
      <c r="A68" s="18" t="s">
        <v>175</v>
      </c>
      <c r="B68" s="18" t="s">
        <v>18</v>
      </c>
      <c r="C68" s="18" t="s">
        <v>52</v>
      </c>
      <c r="D68" s="18" t="s">
        <v>20</v>
      </c>
      <c r="E68" s="18" t="s">
        <v>2940</v>
      </c>
      <c r="F68" s="19">
        <v>46306.689490740697</v>
      </c>
      <c r="G68" s="18" t="s">
        <v>21</v>
      </c>
      <c r="H68" s="18" t="s">
        <v>3891</v>
      </c>
      <c r="I68" s="18">
        <v>390</v>
      </c>
      <c r="J68" s="18" t="s">
        <v>22</v>
      </c>
      <c r="K68" s="18" t="s">
        <v>23</v>
      </c>
      <c r="L68" s="18">
        <v>219</v>
      </c>
      <c r="M68" s="18" t="s">
        <v>55</v>
      </c>
      <c r="N68" s="19">
        <v>46306.703020833302</v>
      </c>
      <c r="O68" s="18">
        <v>371</v>
      </c>
      <c r="P68" s="18" t="s">
        <v>25</v>
      </c>
      <c r="Q68" s="18">
        <v>190</v>
      </c>
      <c r="R68" s="3" t="str">
        <f>IF(OR(G68="12R",G68="12L"),_xlfn.XLOOKUP(C68,Tabla42[ADEP],Tabla42[SID 12R],""),IF(OR(G68="30L",G68="30R"),_xlfn.XLOOKUP(C68,Tabla42[ADEP],Tabla42[SID 30L],""),""))</f>
        <v>CZM</v>
      </c>
      <c r="S68" s="3">
        <f t="shared" si="1"/>
        <v>16</v>
      </c>
      <c r="T68" s="3" t="str">
        <f>_xlfn.XLOOKUP(C68,Tabla42[ADEP],Tabla42[Sector],"")</f>
        <v>Sector 7</v>
      </c>
    </row>
    <row r="69" spans="1:20" x14ac:dyDescent="0.2">
      <c r="A69" s="18" t="s">
        <v>161</v>
      </c>
      <c r="B69" s="18" t="s">
        <v>18</v>
      </c>
      <c r="C69" s="18" t="s">
        <v>27</v>
      </c>
      <c r="D69" s="18" t="s">
        <v>60</v>
      </c>
      <c r="E69" s="18" t="s">
        <v>162</v>
      </c>
      <c r="F69" s="19">
        <v>46306.691631944399</v>
      </c>
      <c r="G69" s="18" t="s">
        <v>21</v>
      </c>
      <c r="H69" s="18" t="s">
        <v>3892</v>
      </c>
      <c r="I69" s="18">
        <v>350</v>
      </c>
      <c r="J69" s="18" t="s">
        <v>22</v>
      </c>
      <c r="K69" s="18" t="s">
        <v>23</v>
      </c>
      <c r="L69" s="18">
        <v>361</v>
      </c>
      <c r="M69" s="18" t="s">
        <v>30</v>
      </c>
      <c r="N69" s="19">
        <v>46306.712696759299</v>
      </c>
      <c r="O69" s="18">
        <v>350</v>
      </c>
      <c r="P69" s="18" t="s">
        <v>25</v>
      </c>
      <c r="Q69" s="18">
        <v>40</v>
      </c>
      <c r="R69" s="3" t="str">
        <f>IF(OR(G69="12R",G69="12L"),_xlfn.XLOOKUP(C69,Tabla42[ADEP],Tabla42[SID 12R],""),IF(OR(G69="30L",G69="30R"),_xlfn.XLOOKUP(C69,Tabla42[ADEP],Tabla42[SID 30L],""),""))</f>
        <v>OMSUK</v>
      </c>
      <c r="S69" s="3">
        <f t="shared" si="1"/>
        <v>16</v>
      </c>
      <c r="T69" s="3" t="str">
        <f>_xlfn.XLOOKUP(C69,Tabla42[ADEP],Tabla42[Sector],"")</f>
        <v>Sector 3</v>
      </c>
    </row>
    <row r="70" spans="1:20" x14ac:dyDescent="0.2">
      <c r="A70" s="18" t="s">
        <v>523</v>
      </c>
      <c r="B70" s="18" t="s">
        <v>18</v>
      </c>
      <c r="C70" s="18" t="s">
        <v>109</v>
      </c>
      <c r="D70" s="18" t="s">
        <v>110</v>
      </c>
      <c r="E70" s="18" t="s">
        <v>3893</v>
      </c>
      <c r="F70" s="19">
        <v>46306.692939814799</v>
      </c>
      <c r="G70" s="18" t="s">
        <v>21</v>
      </c>
      <c r="H70" s="18" t="s">
        <v>2718</v>
      </c>
      <c r="I70" s="18">
        <v>350</v>
      </c>
      <c r="J70" s="18" t="s">
        <v>22</v>
      </c>
      <c r="K70" s="18" t="s">
        <v>23</v>
      </c>
      <c r="L70" s="18">
        <v>150</v>
      </c>
      <c r="M70" s="18" t="s">
        <v>111</v>
      </c>
      <c r="N70" s="19">
        <v>46306.703240740702</v>
      </c>
      <c r="O70" s="18">
        <v>290</v>
      </c>
      <c r="P70" s="18" t="s">
        <v>25</v>
      </c>
      <c r="Q70" s="18">
        <v>190</v>
      </c>
      <c r="R70" s="3" t="str">
        <f>IF(OR(G70="12R",G70="12L"),_xlfn.XLOOKUP(C70,Tabla42[ADEP],Tabla42[SID 12R],""),IF(OR(G70="30L",G70="30R"),_xlfn.XLOOKUP(C70,Tabla42[ADEP],Tabla42[SID 30L],""),""))</f>
        <v>TAKUX</v>
      </c>
      <c r="S70" s="3">
        <f t="shared" si="1"/>
        <v>16</v>
      </c>
      <c r="T70" s="3" t="str">
        <f>_xlfn.XLOOKUP(C70,Tabla42[ADEP],Tabla42[Sector],"")</f>
        <v>Sector 7</v>
      </c>
    </row>
    <row r="71" spans="1:20" x14ac:dyDescent="0.2">
      <c r="A71" s="18" t="s">
        <v>524</v>
      </c>
      <c r="B71" s="18" t="s">
        <v>18</v>
      </c>
      <c r="C71" s="18" t="s">
        <v>19</v>
      </c>
      <c r="D71" s="18" t="s">
        <v>20</v>
      </c>
      <c r="E71" s="18" t="s">
        <v>76</v>
      </c>
      <c r="F71" s="19">
        <v>46306.694062499999</v>
      </c>
      <c r="G71" s="18" t="s">
        <v>21</v>
      </c>
      <c r="H71" s="18" t="s">
        <v>3894</v>
      </c>
      <c r="I71" s="18">
        <v>360</v>
      </c>
      <c r="J71" s="18" t="s">
        <v>22</v>
      </c>
      <c r="K71" s="18" t="s">
        <v>141</v>
      </c>
      <c r="L71" s="18">
        <v>866</v>
      </c>
      <c r="M71" s="18" t="s">
        <v>167</v>
      </c>
      <c r="N71" s="19">
        <v>46306.739687499998</v>
      </c>
      <c r="O71" s="18">
        <v>360</v>
      </c>
      <c r="P71" s="18" t="s">
        <v>25</v>
      </c>
      <c r="Q71" s="18">
        <v>190</v>
      </c>
      <c r="R71" s="3" t="str">
        <f>IF(OR(G71="12R",G71="12L"),_xlfn.XLOOKUP(C71,Tabla42[ADEP],Tabla42[SID 12R],""),IF(OR(G71="30L",G71="30R"),_xlfn.XLOOKUP(C71,Tabla42[ADEP],Tabla42[SID 30L],""),""))</f>
        <v>UDGUV</v>
      </c>
      <c r="S71" s="3">
        <f t="shared" si="1"/>
        <v>16</v>
      </c>
      <c r="T71" s="3" t="str">
        <f>_xlfn.XLOOKUP(C71,Tabla42[ADEP],Tabla42[Sector],"")</f>
        <v>Sector 2</v>
      </c>
    </row>
    <row r="72" spans="1:20" x14ac:dyDescent="0.2">
      <c r="A72" s="18" t="s">
        <v>208</v>
      </c>
      <c r="B72" s="18" t="s">
        <v>18</v>
      </c>
      <c r="C72" s="18" t="s">
        <v>209</v>
      </c>
      <c r="D72" s="18" t="s">
        <v>110</v>
      </c>
      <c r="E72" s="18" t="s">
        <v>3023</v>
      </c>
      <c r="F72" s="19">
        <v>46306.694965277798</v>
      </c>
      <c r="G72" s="18" t="s">
        <v>21</v>
      </c>
      <c r="H72" s="18" t="s">
        <v>3895</v>
      </c>
      <c r="I72" s="18">
        <v>380</v>
      </c>
      <c r="J72" s="18" t="s">
        <v>22</v>
      </c>
      <c r="K72" s="18" t="s">
        <v>23</v>
      </c>
      <c r="L72" s="18">
        <v>532</v>
      </c>
      <c r="M72" s="18" t="s">
        <v>123</v>
      </c>
      <c r="N72" s="19">
        <v>46306.723171296297</v>
      </c>
      <c r="O72" s="18">
        <v>400</v>
      </c>
      <c r="P72" s="18" t="s">
        <v>25</v>
      </c>
      <c r="Q72" s="18">
        <v>40</v>
      </c>
      <c r="R72" s="3" t="str">
        <f>IF(OR(G72="12R",G72="12L"),_xlfn.XLOOKUP(C72,Tabla42[ADEP],Tabla42[SID 12R],""),IF(OR(G72="30L",G72="30R"),_xlfn.XLOOKUP(C72,Tabla42[ADEP],Tabla42[SID 30L],""),""))</f>
        <v>ENEBA</v>
      </c>
      <c r="S72" s="3">
        <f t="shared" si="1"/>
        <v>16</v>
      </c>
      <c r="T72" s="3" t="str">
        <f>_xlfn.XLOOKUP(C72,Tabla42[ADEP],Tabla42[Sector],"")</f>
        <v>Sector 3</v>
      </c>
    </row>
    <row r="73" spans="1:20" x14ac:dyDescent="0.2">
      <c r="A73" s="18" t="s">
        <v>373</v>
      </c>
      <c r="B73" s="18" t="s">
        <v>18</v>
      </c>
      <c r="C73" s="18" t="s">
        <v>32</v>
      </c>
      <c r="D73" s="18" t="s">
        <v>60</v>
      </c>
      <c r="E73" s="18" t="s">
        <v>529</v>
      </c>
      <c r="F73" s="19">
        <v>46306.697118055599</v>
      </c>
      <c r="G73" s="18" t="s">
        <v>21</v>
      </c>
      <c r="H73" s="18" t="s">
        <v>3896</v>
      </c>
      <c r="I73" s="18">
        <v>340</v>
      </c>
      <c r="J73" s="18" t="s">
        <v>22</v>
      </c>
      <c r="K73" s="18" t="s">
        <v>141</v>
      </c>
      <c r="L73" s="18">
        <v>878</v>
      </c>
      <c r="M73" s="18" t="s">
        <v>35</v>
      </c>
      <c r="N73" s="19">
        <v>46306.744004629603</v>
      </c>
      <c r="O73" s="18">
        <v>340</v>
      </c>
      <c r="P73" s="18" t="s">
        <v>25</v>
      </c>
      <c r="Q73" s="18">
        <v>190</v>
      </c>
      <c r="R73" s="3" t="str">
        <f>IF(OR(G73="12R",G73="12L"),_xlfn.XLOOKUP(C73,Tabla42[ADEP],Tabla42[SID 12R],""),IF(OR(G73="30L",G73="30R"),_xlfn.XLOOKUP(C73,Tabla42[ADEP],Tabla42[SID 30L],""),""))</f>
        <v>UDGUV</v>
      </c>
      <c r="S73" s="3">
        <f t="shared" si="1"/>
        <v>16</v>
      </c>
      <c r="T73" s="3" t="str">
        <f>_xlfn.XLOOKUP(C73,Tabla42[ADEP],Tabla42[Sector],"")</f>
        <v>Sector 2</v>
      </c>
    </row>
    <row r="74" spans="1:20" x14ac:dyDescent="0.2">
      <c r="A74" s="18" t="s">
        <v>432</v>
      </c>
      <c r="B74" s="18" t="s">
        <v>18</v>
      </c>
      <c r="C74" s="18" t="s">
        <v>233</v>
      </c>
      <c r="D74" s="18" t="s">
        <v>122</v>
      </c>
      <c r="E74" s="18" t="s">
        <v>3897</v>
      </c>
      <c r="F74" s="19">
        <v>46306.697754629597</v>
      </c>
      <c r="G74" s="18" t="s">
        <v>21</v>
      </c>
      <c r="H74" s="18" t="s">
        <v>3898</v>
      </c>
      <c r="I74" s="18">
        <v>360</v>
      </c>
      <c r="J74" s="18" t="s">
        <v>22</v>
      </c>
      <c r="K74" s="18" t="s">
        <v>23</v>
      </c>
      <c r="L74" s="18">
        <v>532</v>
      </c>
      <c r="M74" s="18" t="s">
        <v>123</v>
      </c>
      <c r="N74" s="19">
        <v>46306.7269212963</v>
      </c>
      <c r="O74" s="18">
        <v>360</v>
      </c>
      <c r="P74" s="18" t="s">
        <v>25</v>
      </c>
      <c r="Q74" s="18">
        <v>40</v>
      </c>
      <c r="R74" s="3" t="str">
        <f>IF(OR(G74="12R",G74="12L"),_xlfn.XLOOKUP(C74,Tabla42[ADEP],Tabla42[SID 12R],""),IF(OR(G74="30L",G74="30R"),_xlfn.XLOOKUP(C74,Tabla42[ADEP],Tabla42[SID 30L],""),""))</f>
        <v>UDGUV</v>
      </c>
      <c r="S74" s="3">
        <f t="shared" si="1"/>
        <v>16</v>
      </c>
      <c r="T74" s="3" t="str">
        <f>_xlfn.XLOOKUP(C74,Tabla42[ADEP],Tabla42[Sector],"")</f>
        <v>Sector 2</v>
      </c>
    </row>
    <row r="75" spans="1:20" x14ac:dyDescent="0.2">
      <c r="A75" s="18" t="s">
        <v>181</v>
      </c>
      <c r="B75" s="18" t="s">
        <v>18</v>
      </c>
      <c r="C75" s="18" t="s">
        <v>42</v>
      </c>
      <c r="D75" s="18" t="s">
        <v>122</v>
      </c>
      <c r="E75" s="18" t="s">
        <v>3519</v>
      </c>
      <c r="F75" s="19">
        <v>46306.698738425897</v>
      </c>
      <c r="G75" s="18" t="s">
        <v>21</v>
      </c>
      <c r="H75" s="18" t="s">
        <v>3899</v>
      </c>
      <c r="I75" s="18">
        <v>380</v>
      </c>
      <c r="J75" s="18" t="s">
        <v>22</v>
      </c>
      <c r="K75" s="18" t="s">
        <v>23</v>
      </c>
      <c r="L75" s="18">
        <v>859</v>
      </c>
      <c r="M75" s="18" t="s">
        <v>45</v>
      </c>
      <c r="N75" s="19">
        <v>46306.744375000002</v>
      </c>
      <c r="O75" s="18">
        <v>380</v>
      </c>
      <c r="P75" s="18" t="s">
        <v>25</v>
      </c>
      <c r="Q75" s="18">
        <v>190</v>
      </c>
      <c r="R75" s="3" t="str">
        <f>IF(OR(G75="12R",G75="12L"),_xlfn.XLOOKUP(C75,Tabla42[ADEP],Tabla42[SID 12R],""),IF(OR(G75="30L",G75="30R"),_xlfn.XLOOKUP(C75,Tabla42[ADEP],Tabla42[SID 30L],""),""))</f>
        <v>UDGUV</v>
      </c>
      <c r="S75" s="3">
        <f t="shared" si="1"/>
        <v>16</v>
      </c>
      <c r="T75" s="3" t="str">
        <f>_xlfn.XLOOKUP(C75,Tabla42[ADEP],Tabla42[Sector],"")</f>
        <v>Sector 2</v>
      </c>
    </row>
    <row r="76" spans="1:20" x14ac:dyDescent="0.2">
      <c r="A76" s="18" t="s">
        <v>177</v>
      </c>
      <c r="B76" s="18" t="s">
        <v>18</v>
      </c>
      <c r="C76" s="18" t="s">
        <v>109</v>
      </c>
      <c r="D76" s="18" t="s">
        <v>122</v>
      </c>
      <c r="E76" s="18" t="s">
        <v>3900</v>
      </c>
      <c r="F76" s="19">
        <v>46306.7050115741</v>
      </c>
      <c r="G76" s="18" t="s">
        <v>21</v>
      </c>
      <c r="H76" s="18" t="s">
        <v>3901</v>
      </c>
      <c r="I76" s="18">
        <v>350</v>
      </c>
      <c r="J76" s="18" t="s">
        <v>22</v>
      </c>
      <c r="K76" s="18" t="s">
        <v>23</v>
      </c>
      <c r="L76" s="18">
        <v>151</v>
      </c>
      <c r="M76" s="18" t="s">
        <v>111</v>
      </c>
      <c r="N76" s="19">
        <v>46306.715613425898</v>
      </c>
      <c r="O76" s="18">
        <v>285</v>
      </c>
      <c r="P76" s="18" t="s">
        <v>25</v>
      </c>
      <c r="Q76" s="18">
        <v>190</v>
      </c>
      <c r="R76" s="3" t="str">
        <f>IF(OR(G76="12R",G76="12L"),_xlfn.XLOOKUP(C76,Tabla42[ADEP],Tabla42[SID 12R],""),IF(OR(G76="30L",G76="30R"),_xlfn.XLOOKUP(C76,Tabla42[ADEP],Tabla42[SID 30L],""),""))</f>
        <v>TAKUX</v>
      </c>
      <c r="S76" s="3">
        <f t="shared" si="1"/>
        <v>16</v>
      </c>
      <c r="T76" s="3" t="str">
        <f>_xlfn.XLOOKUP(C76,Tabla42[ADEP],Tabla42[Sector],"")</f>
        <v>Sector 7</v>
      </c>
    </row>
    <row r="77" spans="1:20" x14ac:dyDescent="0.2">
      <c r="A77" s="18" t="s">
        <v>186</v>
      </c>
      <c r="B77" s="18" t="s">
        <v>18</v>
      </c>
      <c r="C77" s="18" t="s">
        <v>121</v>
      </c>
      <c r="D77" s="18" t="s">
        <v>60</v>
      </c>
      <c r="E77" s="18" t="s">
        <v>3902</v>
      </c>
      <c r="F77" s="19">
        <v>46306.709513888898</v>
      </c>
      <c r="G77" s="18" t="s">
        <v>21</v>
      </c>
      <c r="H77" s="18" t="s">
        <v>3903</v>
      </c>
      <c r="I77" s="18">
        <v>340</v>
      </c>
      <c r="J77" s="18" t="s">
        <v>22</v>
      </c>
      <c r="K77" s="18" t="s">
        <v>23</v>
      </c>
      <c r="L77" s="18">
        <v>534</v>
      </c>
      <c r="M77" s="18" t="s">
        <v>123</v>
      </c>
      <c r="N77" s="19">
        <v>46306.737638888902</v>
      </c>
      <c r="O77" s="18">
        <v>340</v>
      </c>
      <c r="P77" s="18" t="s">
        <v>25</v>
      </c>
      <c r="Q77" s="18">
        <v>40</v>
      </c>
      <c r="R77" s="3" t="str">
        <f>IF(OR(G77="12R",G77="12L"),_xlfn.XLOOKUP(C77,Tabla42[ADEP],Tabla42[SID 12R],""),IF(OR(G77="30L",G77="30R"),_xlfn.XLOOKUP(C77,Tabla42[ADEP],Tabla42[SID 30L],""),""))</f>
        <v>ENEBA</v>
      </c>
      <c r="S77" s="3">
        <f t="shared" si="1"/>
        <v>17</v>
      </c>
      <c r="T77" s="3" t="str">
        <f>_xlfn.XLOOKUP(C77,Tabla42[ADEP],Tabla42[Sector],"")</f>
        <v>Sector 3</v>
      </c>
    </row>
    <row r="78" spans="1:20" x14ac:dyDescent="0.2">
      <c r="A78" s="18" t="s">
        <v>435</v>
      </c>
      <c r="B78" s="18" t="s">
        <v>18</v>
      </c>
      <c r="C78" s="18" t="s">
        <v>436</v>
      </c>
      <c r="D78" s="18" t="s">
        <v>33</v>
      </c>
      <c r="E78" s="18" t="s">
        <v>368</v>
      </c>
      <c r="F78" s="19">
        <v>46306.715798611098</v>
      </c>
      <c r="G78" s="18" t="s">
        <v>21</v>
      </c>
      <c r="H78" s="18" t="s">
        <v>3904</v>
      </c>
      <c r="I78" s="18">
        <v>340</v>
      </c>
      <c r="J78" s="18" t="s">
        <v>22</v>
      </c>
      <c r="K78" s="18" t="s">
        <v>23</v>
      </c>
      <c r="L78" s="18">
        <v>911</v>
      </c>
      <c r="M78" s="18" t="s">
        <v>3905</v>
      </c>
      <c r="N78" s="19">
        <v>46306.764293981498</v>
      </c>
      <c r="O78" s="18">
        <v>340</v>
      </c>
      <c r="P78" s="18" t="s">
        <v>25</v>
      </c>
      <c r="Q78" s="18">
        <v>190</v>
      </c>
      <c r="R78" s="3" t="str">
        <f>IF(OR(G78="12R",G78="12L"),_xlfn.XLOOKUP(C78,Tabla42[ADEP],Tabla42[SID 12R],""),IF(OR(G78="30L",G78="30R"),_xlfn.XLOOKUP(C78,Tabla42[ADEP],Tabla42[SID 30L],""),""))</f>
        <v>UDGUV</v>
      </c>
      <c r="S78" s="3">
        <f t="shared" si="1"/>
        <v>17</v>
      </c>
      <c r="T78" s="3" t="str">
        <f>_xlfn.XLOOKUP(C78,Tabla42[ADEP],Tabla42[Sector],"")</f>
        <v>Sector 2</v>
      </c>
    </row>
    <row r="79" spans="1:20" x14ac:dyDescent="0.2">
      <c r="A79" s="18" t="s">
        <v>3027</v>
      </c>
      <c r="B79" s="18" t="s">
        <v>18</v>
      </c>
      <c r="C79" s="18" t="s">
        <v>190</v>
      </c>
      <c r="D79" s="18" t="s">
        <v>33</v>
      </c>
      <c r="E79" s="18" t="s">
        <v>3906</v>
      </c>
      <c r="F79" s="19">
        <v>46306.719803240703</v>
      </c>
      <c r="G79" s="18" t="s">
        <v>21</v>
      </c>
      <c r="H79" s="18" t="s">
        <v>3907</v>
      </c>
      <c r="I79" s="18">
        <v>350</v>
      </c>
      <c r="J79" s="18" t="s">
        <v>22</v>
      </c>
      <c r="K79" s="18" t="s">
        <v>23</v>
      </c>
      <c r="L79" s="18">
        <v>140</v>
      </c>
      <c r="M79" s="18" t="s">
        <v>39</v>
      </c>
      <c r="N79" s="19">
        <v>46306.7293055556</v>
      </c>
      <c r="O79" s="18">
        <v>258</v>
      </c>
      <c r="P79" s="18" t="s">
        <v>25</v>
      </c>
      <c r="Q79" s="18">
        <v>190</v>
      </c>
      <c r="R79" s="3" t="str">
        <f>IF(OR(G79="12R",G79="12L"),_xlfn.XLOOKUP(C79,Tabla42[ADEP],Tabla42[SID 12R],""),IF(OR(G79="30L",G79="30R"),_xlfn.XLOOKUP(C79,Tabla42[ADEP],Tabla42[SID 30L],""),""))</f>
        <v>NUDAL</v>
      </c>
      <c r="S79" s="3">
        <f t="shared" si="1"/>
        <v>17</v>
      </c>
      <c r="T79" s="3" t="str">
        <f>_xlfn.XLOOKUP(C79,Tabla42[ADEP],Tabla42[Sector],"")</f>
        <v>Sector 3</v>
      </c>
    </row>
    <row r="80" spans="1:20" x14ac:dyDescent="0.2">
      <c r="A80" s="18" t="s">
        <v>656</v>
      </c>
      <c r="B80" s="18" t="s">
        <v>18</v>
      </c>
      <c r="C80" s="18" t="s">
        <v>657</v>
      </c>
      <c r="D80" s="18" t="s">
        <v>122</v>
      </c>
      <c r="E80" s="18" t="s">
        <v>3908</v>
      </c>
      <c r="F80" s="19">
        <v>46306.725381944401</v>
      </c>
      <c r="G80" s="18" t="s">
        <v>21</v>
      </c>
      <c r="H80" s="18" t="s">
        <v>3909</v>
      </c>
      <c r="I80" s="18">
        <v>350</v>
      </c>
      <c r="J80" s="18" t="s">
        <v>22</v>
      </c>
      <c r="K80" s="18" t="s">
        <v>23</v>
      </c>
      <c r="L80" s="18">
        <v>360</v>
      </c>
      <c r="M80" s="18" t="s">
        <v>30</v>
      </c>
      <c r="N80" s="19">
        <v>46306.746145833298</v>
      </c>
      <c r="O80" s="18">
        <v>350</v>
      </c>
      <c r="P80" s="18" t="s">
        <v>25</v>
      </c>
      <c r="Q80" s="18">
        <v>40</v>
      </c>
      <c r="R80" s="3" t="str">
        <f>IF(OR(G80="12R",G80="12L"),_xlfn.XLOOKUP(C80,Tabla42[ADEP],Tabla42[SID 12R],""),IF(OR(G80="30L",G80="30R"),_xlfn.XLOOKUP(C80,Tabla42[ADEP],Tabla42[SID 30L],""),""))</f>
        <v>OMSUK</v>
      </c>
      <c r="S80" s="3">
        <f t="shared" si="1"/>
        <v>17</v>
      </c>
      <c r="T80" s="3" t="str">
        <f>_xlfn.XLOOKUP(C80,Tabla42[ADEP],Tabla42[Sector],"")</f>
        <v>Sector 3</v>
      </c>
    </row>
    <row r="81" spans="1:20" x14ac:dyDescent="0.2">
      <c r="A81" s="18" t="s">
        <v>187</v>
      </c>
      <c r="B81" s="18" t="s">
        <v>18</v>
      </c>
      <c r="C81" s="18" t="s">
        <v>188</v>
      </c>
      <c r="D81" s="18" t="s">
        <v>117</v>
      </c>
      <c r="E81" s="18" t="s">
        <v>3688</v>
      </c>
      <c r="F81" s="19">
        <v>46306.727592592601</v>
      </c>
      <c r="G81" s="18" t="s">
        <v>21</v>
      </c>
      <c r="H81" s="18" t="s">
        <v>3910</v>
      </c>
      <c r="I81" s="18">
        <v>310</v>
      </c>
      <c r="J81" s="18" t="s">
        <v>22</v>
      </c>
      <c r="K81" s="18" t="s">
        <v>23</v>
      </c>
      <c r="L81" s="18">
        <v>360</v>
      </c>
      <c r="M81" s="18" t="s">
        <v>30</v>
      </c>
      <c r="N81" s="19">
        <v>46306.747951388897</v>
      </c>
      <c r="O81" s="18">
        <v>330</v>
      </c>
      <c r="P81" s="18" t="s">
        <v>25</v>
      </c>
      <c r="Q81" s="18">
        <v>40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18" t="s">
        <v>642</v>
      </c>
      <c r="B82" s="18" t="s">
        <v>18</v>
      </c>
      <c r="C82" s="18" t="s">
        <v>643</v>
      </c>
      <c r="D82" s="18" t="s">
        <v>340</v>
      </c>
      <c r="E82" s="18" t="s">
        <v>3911</v>
      </c>
      <c r="F82" s="19">
        <v>46306.731365740699</v>
      </c>
      <c r="G82" s="18" t="s">
        <v>21</v>
      </c>
      <c r="H82" s="18" t="s">
        <v>3912</v>
      </c>
      <c r="I82" s="18">
        <v>390</v>
      </c>
      <c r="J82" s="18" t="s">
        <v>22</v>
      </c>
      <c r="K82" s="18" t="s">
        <v>23</v>
      </c>
      <c r="L82" s="18">
        <v>233</v>
      </c>
      <c r="M82" s="18" t="s">
        <v>3913</v>
      </c>
      <c r="N82" s="19">
        <v>46306.746030092603</v>
      </c>
      <c r="O82" s="18">
        <v>280</v>
      </c>
      <c r="P82" s="18" t="s">
        <v>40</v>
      </c>
      <c r="Q82" s="18">
        <v>190</v>
      </c>
      <c r="R82" s="3" t="str">
        <f>IF(OR(G82="12R",G82="12L"),_xlfn.XLOOKUP(C82,Tabla42[ADEP],Tabla42[SID 12R],""),IF(OR(G82="30L",G82="30R"),_xlfn.XLOOKUP(C82,Tabla42[ADEP],Tabla42[SID 30L],""),""))</f>
        <v>CZM</v>
      </c>
      <c r="S82" s="3">
        <f t="shared" si="1"/>
        <v>17</v>
      </c>
      <c r="T82" s="3" t="str">
        <f>_xlfn.XLOOKUP(C82,Tabla42[ADEP],Tabla42[Sector],"")</f>
        <v>Sector 7</v>
      </c>
    </row>
    <row r="83" spans="1:20" x14ac:dyDescent="0.2">
      <c r="A83" s="18" t="s">
        <v>3535</v>
      </c>
      <c r="B83" s="18" t="s">
        <v>18</v>
      </c>
      <c r="C83" s="18" t="s">
        <v>93</v>
      </c>
      <c r="D83" s="18" t="s">
        <v>124</v>
      </c>
      <c r="E83" s="18"/>
      <c r="F83" s="19">
        <v>46306.7338310185</v>
      </c>
      <c r="G83" s="18" t="s">
        <v>21</v>
      </c>
      <c r="H83" s="18" t="s">
        <v>3914</v>
      </c>
      <c r="I83" s="18">
        <v>280</v>
      </c>
      <c r="J83" s="18" t="s">
        <v>22</v>
      </c>
      <c r="K83" s="18" t="s">
        <v>50</v>
      </c>
      <c r="L83" s="18">
        <v>879</v>
      </c>
      <c r="M83" s="18" t="s">
        <v>94</v>
      </c>
      <c r="N83" s="19">
        <v>46306.786562499998</v>
      </c>
      <c r="O83" s="18">
        <v>205</v>
      </c>
      <c r="P83" s="18" t="s">
        <v>25</v>
      </c>
      <c r="Q83" s="18">
        <v>30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18" t="s">
        <v>3915</v>
      </c>
      <c r="B84" s="18" t="s">
        <v>18</v>
      </c>
      <c r="C84" s="18" t="s">
        <v>388</v>
      </c>
      <c r="D84" s="18" t="s">
        <v>122</v>
      </c>
      <c r="E84" s="18" t="s">
        <v>3916</v>
      </c>
      <c r="F84" s="19">
        <v>46306.737395833297</v>
      </c>
      <c r="G84" s="18" t="s">
        <v>21</v>
      </c>
      <c r="H84" s="18" t="s">
        <v>3917</v>
      </c>
      <c r="I84" s="18">
        <v>400</v>
      </c>
      <c r="J84" s="18" t="s">
        <v>22</v>
      </c>
      <c r="K84" s="18" t="s">
        <v>23</v>
      </c>
      <c r="L84" s="18">
        <v>569</v>
      </c>
      <c r="M84" s="18" t="s">
        <v>123</v>
      </c>
      <c r="N84" s="19">
        <v>46306.768229166701</v>
      </c>
      <c r="O84" s="18">
        <v>400</v>
      </c>
      <c r="P84" s="18" t="s">
        <v>25</v>
      </c>
      <c r="Q84" s="18">
        <v>40</v>
      </c>
      <c r="R84" s="3" t="str">
        <f>IF(OR(G84="12R",G84="12L"),_xlfn.XLOOKUP(C84,Tabla42[ADEP],Tabla42[SID 12R],""),IF(OR(G84="30L",G84="30R"),_xlfn.XLOOKUP(C84,Tabla42[ADEP],Tabla42[SID 30L],""),""))</f>
        <v>ENEBA</v>
      </c>
      <c r="S84" s="3">
        <f t="shared" si="1"/>
        <v>17</v>
      </c>
      <c r="T84" s="3" t="str">
        <f>_xlfn.XLOOKUP(C84,Tabla42[ADEP],Tabla42[Sector],"")</f>
        <v>Sector 3</v>
      </c>
    </row>
    <row r="85" spans="1:20" x14ac:dyDescent="0.2">
      <c r="A85" s="18" t="s">
        <v>3918</v>
      </c>
      <c r="B85" s="18" t="s">
        <v>18</v>
      </c>
      <c r="C85" s="18" t="s">
        <v>3919</v>
      </c>
      <c r="D85" s="18" t="s">
        <v>2969</v>
      </c>
      <c r="E85" s="18" t="s">
        <v>3918</v>
      </c>
      <c r="F85" s="19">
        <v>46306.739837963003</v>
      </c>
      <c r="G85" s="18" t="s">
        <v>21</v>
      </c>
      <c r="H85" s="18" t="s">
        <v>3920</v>
      </c>
      <c r="I85" s="18">
        <v>380</v>
      </c>
      <c r="J85" s="18" t="s">
        <v>22</v>
      </c>
      <c r="K85" s="18" t="s">
        <v>50</v>
      </c>
      <c r="L85" s="18">
        <v>574</v>
      </c>
      <c r="M85" s="18" t="s">
        <v>123</v>
      </c>
      <c r="N85" s="19">
        <v>46306.770300925898</v>
      </c>
      <c r="O85" s="18">
        <v>380</v>
      </c>
      <c r="P85" s="18" t="s">
        <v>25</v>
      </c>
      <c r="Q85" s="18">
        <v>40</v>
      </c>
      <c r="R85" s="3" t="str">
        <f>IF(OR(G85="12R",G85="12L"),_xlfn.XLOOKUP(C85,Tabla42[ADEP],Tabla42[SID 12R],""),IF(OR(G85="30L",G85="30R"),_xlfn.XLOOKUP(C85,Tabla42[ADEP],Tabla42[SID 30L],""),""))</f>
        <v/>
      </c>
      <c r="S85" s="3">
        <f t="shared" si="1"/>
        <v>17</v>
      </c>
      <c r="T85" s="3" t="str">
        <f>_xlfn.XLOOKUP(C85,Tabla42[ADEP],Tabla42[Sector],"")</f>
        <v/>
      </c>
    </row>
    <row r="86" spans="1:20" x14ac:dyDescent="0.2">
      <c r="A86" s="18" t="s">
        <v>211</v>
      </c>
      <c r="B86" s="18" t="s">
        <v>18</v>
      </c>
      <c r="C86" s="18" t="s">
        <v>212</v>
      </c>
      <c r="D86" s="18" t="s">
        <v>53</v>
      </c>
      <c r="E86" s="18" t="s">
        <v>2769</v>
      </c>
      <c r="F86" s="19">
        <v>46306.7418287037</v>
      </c>
      <c r="G86" s="18" t="s">
        <v>21</v>
      </c>
      <c r="H86" s="18" t="s">
        <v>3921</v>
      </c>
      <c r="I86" s="18">
        <v>370</v>
      </c>
      <c r="J86" s="18" t="s">
        <v>22</v>
      </c>
      <c r="K86" s="18" t="s">
        <v>23</v>
      </c>
      <c r="L86" s="18">
        <v>155</v>
      </c>
      <c r="M86" s="18" t="s">
        <v>111</v>
      </c>
      <c r="N86" s="19">
        <v>46306.752638888902</v>
      </c>
      <c r="O86" s="18">
        <v>282</v>
      </c>
      <c r="P86" s="18" t="s">
        <v>25</v>
      </c>
      <c r="Q86" s="18">
        <v>190</v>
      </c>
      <c r="R86" s="3" t="str">
        <f>IF(OR(G86="12R",G86="12L"),_xlfn.XLOOKUP(C86,Tabla42[ADEP],Tabla42[SID 12R],""),IF(OR(G86="30L",G86="30R"),_xlfn.XLOOKUP(C86,Tabla42[ADEP],Tabla42[SID 30L],""),""))</f>
        <v>TAKUX</v>
      </c>
      <c r="S86" s="3">
        <f t="shared" si="1"/>
        <v>17</v>
      </c>
      <c r="T86" s="3" t="str">
        <f>_xlfn.XLOOKUP(C86,Tabla42[ADEP],Tabla42[Sector],"")</f>
        <v>Sector 7</v>
      </c>
    </row>
    <row r="87" spans="1:20" x14ac:dyDescent="0.2">
      <c r="A87" s="18" t="s">
        <v>437</v>
      </c>
      <c r="B87" s="18" t="s">
        <v>18</v>
      </c>
      <c r="C87" s="18" t="s">
        <v>438</v>
      </c>
      <c r="D87" s="18" t="s">
        <v>33</v>
      </c>
      <c r="E87" s="18" t="s">
        <v>491</v>
      </c>
      <c r="F87" s="19">
        <v>46306.742893518502</v>
      </c>
      <c r="G87" s="18" t="s">
        <v>21</v>
      </c>
      <c r="H87" s="18" t="s">
        <v>3922</v>
      </c>
      <c r="I87" s="18">
        <v>380</v>
      </c>
      <c r="J87" s="18" t="s">
        <v>22</v>
      </c>
      <c r="K87" s="18" t="s">
        <v>23</v>
      </c>
      <c r="L87" s="18">
        <v>1015</v>
      </c>
      <c r="M87" s="18" t="s">
        <v>439</v>
      </c>
      <c r="N87" s="19">
        <v>46306.795532407399</v>
      </c>
      <c r="O87" s="18">
        <v>229</v>
      </c>
      <c r="P87" s="18" t="s">
        <v>25</v>
      </c>
      <c r="Q87" s="18">
        <v>190</v>
      </c>
      <c r="R87" s="3" t="str">
        <f>IF(OR(G87="12R",G87="12L"),_xlfn.XLOOKUP(C87,Tabla42[ADEP],Tabla42[SID 12R],""),IF(OR(G87="30L",G87="30R"),_xlfn.XLOOKUP(C87,Tabla42[ADEP],Tabla42[SID 30L],""),""))</f>
        <v>UDGUV</v>
      </c>
      <c r="S87" s="3">
        <f t="shared" si="1"/>
        <v>17</v>
      </c>
      <c r="T87" s="3" t="str">
        <f>_xlfn.XLOOKUP(C87,Tabla42[ADEP],Tabla42[Sector],"")</f>
        <v>Sector 2</v>
      </c>
    </row>
    <row r="88" spans="1:20" x14ac:dyDescent="0.2">
      <c r="A88" s="18" t="s">
        <v>214</v>
      </c>
      <c r="B88" s="18" t="s">
        <v>18</v>
      </c>
      <c r="C88" s="18" t="s">
        <v>215</v>
      </c>
      <c r="D88" s="18" t="s">
        <v>60</v>
      </c>
      <c r="E88" s="18" t="s">
        <v>3923</v>
      </c>
      <c r="F88" s="19">
        <v>46306.743946759299</v>
      </c>
      <c r="G88" s="18" t="s">
        <v>21</v>
      </c>
      <c r="H88" s="18" t="s">
        <v>3924</v>
      </c>
      <c r="I88" s="18">
        <v>330</v>
      </c>
      <c r="J88" s="18" t="s">
        <v>22</v>
      </c>
      <c r="K88" s="18" t="s">
        <v>23</v>
      </c>
      <c r="L88" s="18">
        <v>351</v>
      </c>
      <c r="M88" s="18" t="s">
        <v>30</v>
      </c>
      <c r="N88" s="19">
        <v>46306.7644097222</v>
      </c>
      <c r="O88" s="18">
        <v>330</v>
      </c>
      <c r="P88" s="18" t="s">
        <v>25</v>
      </c>
      <c r="Q88" s="18">
        <v>40</v>
      </c>
      <c r="R88" s="3" t="str">
        <f>IF(OR(G88="12R",G88="12L"),_xlfn.XLOOKUP(C88,Tabla42[ADEP],Tabla42[SID 12R],""),IF(OR(G88="30L",G88="30R"),_xlfn.XLOOKUP(C88,Tabla42[ADEP],Tabla42[SID 30L],""),""))</f>
        <v>OMSUK</v>
      </c>
      <c r="S88" s="3">
        <f t="shared" si="1"/>
        <v>17</v>
      </c>
      <c r="T88" s="3" t="str">
        <f>_xlfn.XLOOKUP(C88,Tabla42[ADEP],Tabla42[Sector],"")</f>
        <v>Sector 3</v>
      </c>
    </row>
    <row r="89" spans="1:20" x14ac:dyDescent="0.2">
      <c r="A89" s="18" t="s">
        <v>213</v>
      </c>
      <c r="B89" s="18" t="s">
        <v>18</v>
      </c>
      <c r="C89" s="18" t="s">
        <v>19</v>
      </c>
      <c r="D89" s="18" t="s">
        <v>53</v>
      </c>
      <c r="E89" s="18" t="s">
        <v>645</v>
      </c>
      <c r="F89" s="19">
        <v>46306.744942129597</v>
      </c>
      <c r="G89" s="18" t="s">
        <v>21</v>
      </c>
      <c r="H89" s="18" t="s">
        <v>3925</v>
      </c>
      <c r="I89" s="18">
        <v>380</v>
      </c>
      <c r="J89" s="18" t="s">
        <v>22</v>
      </c>
      <c r="K89" s="18" t="s">
        <v>23</v>
      </c>
      <c r="L89" s="18">
        <v>862</v>
      </c>
      <c r="M89" s="18" t="s">
        <v>24</v>
      </c>
      <c r="N89" s="19">
        <v>46306.790706018503</v>
      </c>
      <c r="O89" s="18">
        <v>380</v>
      </c>
      <c r="P89" s="18" t="s">
        <v>25</v>
      </c>
      <c r="Q89" s="18">
        <v>190</v>
      </c>
      <c r="R89" s="3" t="str">
        <f>IF(OR(G89="12R",G89="12L"),_xlfn.XLOOKUP(C89,Tabla42[ADEP],Tabla42[SID 12R],""),IF(OR(G89="30L",G89="30R"),_xlfn.XLOOKUP(C89,Tabla42[ADEP],Tabla42[SID 30L],""),""))</f>
        <v>UDGUV</v>
      </c>
      <c r="S89" s="3">
        <f t="shared" si="1"/>
        <v>17</v>
      </c>
      <c r="T89" s="3" t="str">
        <f>_xlfn.XLOOKUP(C89,Tabla42[ADEP],Tabla42[Sector],"")</f>
        <v>Sector 2</v>
      </c>
    </row>
    <row r="90" spans="1:20" x14ac:dyDescent="0.2">
      <c r="A90" s="18" t="s">
        <v>180</v>
      </c>
      <c r="B90" s="18" t="s">
        <v>18</v>
      </c>
      <c r="C90" s="18" t="s">
        <v>133</v>
      </c>
      <c r="D90" s="18" t="s">
        <v>60</v>
      </c>
      <c r="E90" s="18" t="s">
        <v>803</v>
      </c>
      <c r="F90" s="19">
        <v>46306.746006944399</v>
      </c>
      <c r="G90" s="18" t="s">
        <v>21</v>
      </c>
      <c r="H90" s="18" t="s">
        <v>3926</v>
      </c>
      <c r="I90" s="18">
        <v>330</v>
      </c>
      <c r="J90" s="18" t="s">
        <v>22</v>
      </c>
      <c r="K90" s="18" t="s">
        <v>23</v>
      </c>
      <c r="L90" s="18">
        <v>365</v>
      </c>
      <c r="M90" s="18" t="s">
        <v>30</v>
      </c>
      <c r="N90" s="19">
        <v>46306.7671064815</v>
      </c>
      <c r="O90" s="18">
        <v>310</v>
      </c>
      <c r="P90" s="18" t="s">
        <v>25</v>
      </c>
      <c r="Q90" s="18">
        <v>40</v>
      </c>
      <c r="R90" s="3" t="str">
        <f>IF(OR(G90="12R",G90="12L"),_xlfn.XLOOKUP(C90,Tabla42[ADEP],Tabla42[SID 12R],""),IF(OR(G90="30L",G90="30R"),_xlfn.XLOOKUP(C90,Tabla42[ADEP],Tabla42[SID 30L],""),""))</f>
        <v>OMSUK</v>
      </c>
      <c r="S90" s="3">
        <f t="shared" si="1"/>
        <v>17</v>
      </c>
      <c r="T90" s="3" t="str">
        <f>_xlfn.XLOOKUP(C90,Tabla42[ADEP],Tabla42[Sector],"")</f>
        <v>Sector 3</v>
      </c>
    </row>
    <row r="91" spans="1:20" x14ac:dyDescent="0.2">
      <c r="A91" s="18" t="s">
        <v>221</v>
      </c>
      <c r="B91" s="18" t="s">
        <v>18</v>
      </c>
      <c r="C91" s="18" t="s">
        <v>42</v>
      </c>
      <c r="D91" s="18" t="s">
        <v>28</v>
      </c>
      <c r="E91" s="18" t="s">
        <v>3927</v>
      </c>
      <c r="F91" s="19">
        <v>46306.747048611098</v>
      </c>
      <c r="G91" s="18" t="s">
        <v>21</v>
      </c>
      <c r="H91" s="18" t="s">
        <v>3928</v>
      </c>
      <c r="I91" s="18">
        <v>380</v>
      </c>
      <c r="J91" s="18" t="s">
        <v>22</v>
      </c>
      <c r="K91" s="18" t="s">
        <v>23</v>
      </c>
      <c r="L91" s="18">
        <v>861</v>
      </c>
      <c r="M91" s="18" t="s">
        <v>45</v>
      </c>
      <c r="N91" s="19">
        <v>46306.792592592603</v>
      </c>
      <c r="O91" s="18">
        <v>380</v>
      </c>
      <c r="P91" s="18" t="s">
        <v>25</v>
      </c>
      <c r="Q91" s="18">
        <v>190</v>
      </c>
      <c r="R91" s="3" t="str">
        <f>IF(OR(G91="12R",G91="12L"),_xlfn.XLOOKUP(C91,Tabla42[ADEP],Tabla42[SID 12R],""),IF(OR(G91="30L",G91="30R"),_xlfn.XLOOKUP(C91,Tabla42[ADEP],Tabla42[SID 30L],""),""))</f>
        <v>UDGUV</v>
      </c>
      <c r="S91" s="3">
        <f t="shared" si="1"/>
        <v>17</v>
      </c>
      <c r="T91" s="3" t="str">
        <f>_xlfn.XLOOKUP(C91,Tabla42[ADEP],Tabla42[Sector],"")</f>
        <v>Sector 2</v>
      </c>
    </row>
    <row r="92" spans="1:20" x14ac:dyDescent="0.2">
      <c r="A92" s="18" t="s">
        <v>222</v>
      </c>
      <c r="B92" s="18" t="s">
        <v>18</v>
      </c>
      <c r="C92" s="18" t="s">
        <v>223</v>
      </c>
      <c r="D92" s="18" t="s">
        <v>110</v>
      </c>
      <c r="E92" s="18" t="s">
        <v>3929</v>
      </c>
      <c r="F92" s="19">
        <v>46306.748055555603</v>
      </c>
      <c r="G92" s="18" t="s">
        <v>21</v>
      </c>
      <c r="H92" s="18" t="s">
        <v>3930</v>
      </c>
      <c r="I92" s="18">
        <v>370</v>
      </c>
      <c r="J92" s="18" t="s">
        <v>22</v>
      </c>
      <c r="K92" s="18" t="s">
        <v>23</v>
      </c>
      <c r="L92" s="18">
        <v>136</v>
      </c>
      <c r="M92" s="18" t="s">
        <v>39</v>
      </c>
      <c r="N92" s="19">
        <v>46306.7570949074</v>
      </c>
      <c r="O92" s="18">
        <v>266</v>
      </c>
      <c r="P92" s="18" t="s">
        <v>25</v>
      </c>
      <c r="Q92" s="18">
        <v>190</v>
      </c>
      <c r="R92" s="3" t="str">
        <f>IF(OR(G92="12R",G92="12L"),_xlfn.XLOOKUP(C92,Tabla42[ADEP],Tabla42[SID 12R],""),IF(OR(G92="30L",G92="30R"),_xlfn.XLOOKUP(C92,Tabla42[ADEP],Tabla42[SID 30L],""),""))</f>
        <v>OMSUK</v>
      </c>
      <c r="S92" s="3">
        <f t="shared" si="1"/>
        <v>17</v>
      </c>
      <c r="T92" s="3" t="str">
        <f>_xlfn.XLOOKUP(C92,Tabla42[ADEP],Tabla42[Sector],"")</f>
        <v>Sector 3</v>
      </c>
    </row>
    <row r="93" spans="1:20" x14ac:dyDescent="0.2">
      <c r="A93" s="18" t="s">
        <v>216</v>
      </c>
      <c r="B93" s="18" t="s">
        <v>18</v>
      </c>
      <c r="C93" s="18" t="s">
        <v>32</v>
      </c>
      <c r="D93" s="18" t="s">
        <v>20</v>
      </c>
      <c r="E93" s="18" t="s">
        <v>2024</v>
      </c>
      <c r="F93" s="19">
        <v>46306.7489236111</v>
      </c>
      <c r="G93" s="18" t="s">
        <v>21</v>
      </c>
      <c r="H93" s="18" t="s">
        <v>3931</v>
      </c>
      <c r="I93" s="18">
        <v>360</v>
      </c>
      <c r="J93" s="18" t="s">
        <v>22</v>
      </c>
      <c r="K93" s="18" t="s">
        <v>23</v>
      </c>
      <c r="L93" s="18">
        <v>878</v>
      </c>
      <c r="M93" s="18" t="s">
        <v>35</v>
      </c>
      <c r="N93" s="19">
        <v>46306.795196759304</v>
      </c>
      <c r="O93" s="18">
        <v>360</v>
      </c>
      <c r="P93" s="18" t="s">
        <v>25</v>
      </c>
      <c r="Q93" s="18">
        <v>190</v>
      </c>
      <c r="R93" s="3" t="str">
        <f>IF(OR(G93="12R",G93="12L"),_xlfn.XLOOKUP(C93,Tabla42[ADEP],Tabla42[SID 12R],""),IF(OR(G93="30L",G93="30R"),_xlfn.XLOOKUP(C93,Tabla42[ADEP],Tabla42[SID 30L],""),""))</f>
        <v>UDGUV</v>
      </c>
      <c r="S93" s="3">
        <f t="shared" si="1"/>
        <v>17</v>
      </c>
      <c r="T93" s="3" t="str">
        <f>_xlfn.XLOOKUP(C93,Tabla42[ADEP],Tabla42[Sector],"")</f>
        <v>Sector 2</v>
      </c>
    </row>
    <row r="94" spans="1:20" x14ac:dyDescent="0.2">
      <c r="A94" s="18" t="s">
        <v>284</v>
      </c>
      <c r="B94" s="18" t="s">
        <v>18</v>
      </c>
      <c r="C94" s="18" t="s">
        <v>137</v>
      </c>
      <c r="D94" s="18" t="s">
        <v>60</v>
      </c>
      <c r="E94" s="18" t="s">
        <v>3153</v>
      </c>
      <c r="F94" s="19">
        <v>46306.749918981499</v>
      </c>
      <c r="G94" s="18" t="s">
        <v>21</v>
      </c>
      <c r="H94" s="18" t="s">
        <v>386</v>
      </c>
      <c r="I94" s="18">
        <v>350</v>
      </c>
      <c r="J94" s="18" t="s">
        <v>22</v>
      </c>
      <c r="K94" s="18" t="s">
        <v>23</v>
      </c>
      <c r="L94" s="18">
        <v>136</v>
      </c>
      <c r="M94" s="18" t="s">
        <v>39</v>
      </c>
      <c r="N94" s="19">
        <v>46306.759594907402</v>
      </c>
      <c r="O94" s="18">
        <v>226</v>
      </c>
      <c r="P94" s="18" t="s">
        <v>25</v>
      </c>
      <c r="Q94" s="18">
        <v>190</v>
      </c>
      <c r="R94" s="3" t="str">
        <f>IF(OR(G94="12R",G94="12L"),_xlfn.XLOOKUP(C94,Tabla42[ADEP],Tabla42[SID 12R],""),IF(OR(G94="30L",G94="30R"),_xlfn.XLOOKUP(C94,Tabla42[ADEP],Tabla42[SID 30L],""),""))</f>
        <v>NUDAL</v>
      </c>
      <c r="S94" s="3">
        <f t="shared" si="1"/>
        <v>17</v>
      </c>
      <c r="T94" s="3" t="str">
        <f>_xlfn.XLOOKUP(C94,Tabla42[ADEP],Tabla42[Sector],"")</f>
        <v>Sector 3</v>
      </c>
    </row>
    <row r="95" spans="1:20" x14ac:dyDescent="0.2">
      <c r="A95" s="18" t="s">
        <v>358</v>
      </c>
      <c r="B95" s="18" t="s">
        <v>18</v>
      </c>
      <c r="C95" s="18" t="s">
        <v>359</v>
      </c>
      <c r="D95" s="18" t="s">
        <v>33</v>
      </c>
      <c r="E95" s="18" t="s">
        <v>1911</v>
      </c>
      <c r="F95" s="19">
        <v>46306.752627314803</v>
      </c>
      <c r="G95" s="18" t="s">
        <v>21</v>
      </c>
      <c r="H95" s="18" t="s">
        <v>3932</v>
      </c>
      <c r="I95" s="18">
        <v>350</v>
      </c>
      <c r="J95" s="18" t="s">
        <v>22</v>
      </c>
      <c r="K95" s="18" t="s">
        <v>23</v>
      </c>
      <c r="L95" s="18">
        <v>343</v>
      </c>
      <c r="M95" s="18" t="s">
        <v>30</v>
      </c>
      <c r="N95" s="19">
        <v>46306.772002314799</v>
      </c>
      <c r="O95" s="18">
        <v>350</v>
      </c>
      <c r="P95" s="18" t="s">
        <v>25</v>
      </c>
      <c r="Q95" s="18">
        <v>40</v>
      </c>
      <c r="R95" s="3" t="str">
        <f>IF(OR(G95="12R",G95="12L"),_xlfn.XLOOKUP(C95,Tabla42[ADEP],Tabla42[SID 12R],""),IF(OR(G95="30L",G95="30R"),_xlfn.XLOOKUP(C95,Tabla42[ADEP],Tabla42[SID 30L],""),""))</f>
        <v>OMSUK</v>
      </c>
      <c r="S95" s="3">
        <f t="shared" si="1"/>
        <v>18</v>
      </c>
      <c r="T95" s="3" t="str">
        <f>_xlfn.XLOOKUP(C95,Tabla42[ADEP],Tabla42[Sector],"")</f>
        <v>Sector 3</v>
      </c>
    </row>
    <row r="96" spans="1:20" x14ac:dyDescent="0.2">
      <c r="A96" s="18" t="s">
        <v>217</v>
      </c>
      <c r="B96" s="18" t="s">
        <v>18</v>
      </c>
      <c r="C96" s="18" t="s">
        <v>158</v>
      </c>
      <c r="D96" s="18" t="s">
        <v>20</v>
      </c>
      <c r="E96" s="18" t="s">
        <v>3933</v>
      </c>
      <c r="F96" s="19">
        <v>46306.756377314799</v>
      </c>
      <c r="G96" s="18" t="s">
        <v>21</v>
      </c>
      <c r="H96" s="18" t="s">
        <v>3934</v>
      </c>
      <c r="I96" s="18">
        <v>330</v>
      </c>
      <c r="J96" s="18" t="s">
        <v>22</v>
      </c>
      <c r="K96" s="18" t="s">
        <v>23</v>
      </c>
      <c r="L96" s="18">
        <v>352</v>
      </c>
      <c r="M96" s="18" t="s">
        <v>30</v>
      </c>
      <c r="N96" s="19">
        <v>46306.775925925896</v>
      </c>
      <c r="O96" s="18">
        <v>330</v>
      </c>
      <c r="P96" s="18" t="s">
        <v>25</v>
      </c>
      <c r="Q96" s="18">
        <v>40</v>
      </c>
      <c r="R96" s="3" t="str">
        <f>IF(OR(G96="12R",G96="12L"),_xlfn.XLOOKUP(C96,Tabla42[ADEP],Tabla42[SID 12R],""),IF(OR(G96="30L",G96="30R"),_xlfn.XLOOKUP(C96,Tabla42[ADEP],Tabla42[SID 30L],""),""))</f>
        <v>OMSUK</v>
      </c>
      <c r="S96" s="3">
        <f t="shared" si="1"/>
        <v>18</v>
      </c>
      <c r="T96" s="3" t="str">
        <f>_xlfn.XLOOKUP(C96,Tabla42[ADEP],Tabla42[Sector],"")</f>
        <v>Sector 3</v>
      </c>
    </row>
    <row r="97" spans="1:20" x14ac:dyDescent="0.2">
      <c r="A97" s="18" t="s">
        <v>2157</v>
      </c>
      <c r="B97" s="18" t="s">
        <v>18</v>
      </c>
      <c r="C97" s="18" t="s">
        <v>188</v>
      </c>
      <c r="D97" s="18" t="s">
        <v>60</v>
      </c>
      <c r="E97" s="18" t="s">
        <v>3935</v>
      </c>
      <c r="F97" s="19">
        <v>46306.758472222202</v>
      </c>
      <c r="G97" s="18" t="s">
        <v>21</v>
      </c>
      <c r="H97" s="18" t="s">
        <v>3936</v>
      </c>
      <c r="I97" s="18">
        <v>330</v>
      </c>
      <c r="J97" s="18" t="s">
        <v>22</v>
      </c>
      <c r="K97" s="18" t="s">
        <v>23</v>
      </c>
      <c r="L97" s="18">
        <v>356</v>
      </c>
      <c r="M97" s="18" t="s">
        <v>30</v>
      </c>
      <c r="N97" s="19">
        <v>46306.778541666703</v>
      </c>
      <c r="O97" s="18">
        <v>330</v>
      </c>
      <c r="P97" s="18" t="s">
        <v>25</v>
      </c>
      <c r="Q97" s="18">
        <v>40</v>
      </c>
      <c r="R97" s="3" t="str">
        <f>IF(OR(G97="12R",G97="12L"),_xlfn.XLOOKUP(C97,Tabla42[ADEP],Tabla42[SID 12R],""),IF(OR(G97="30L",G97="30R"),_xlfn.XLOOKUP(C97,Tabla42[ADEP],Tabla42[SID 30L],""),""))</f>
        <v>ENEBA</v>
      </c>
      <c r="S97" s="3">
        <f t="shared" si="1"/>
        <v>18</v>
      </c>
      <c r="T97" s="3" t="str">
        <f>_xlfn.XLOOKUP(C97,Tabla42[ADEP],Tabla42[Sector],"")</f>
        <v>Sector 3</v>
      </c>
    </row>
    <row r="98" spans="1:20" x14ac:dyDescent="0.2">
      <c r="A98" s="18" t="s">
        <v>232</v>
      </c>
      <c r="B98" s="18" t="s">
        <v>18</v>
      </c>
      <c r="C98" s="18" t="s">
        <v>233</v>
      </c>
      <c r="D98" s="18" t="s">
        <v>28</v>
      </c>
      <c r="E98" s="18" t="s">
        <v>2572</v>
      </c>
      <c r="F98" s="19">
        <v>46306.7596990741</v>
      </c>
      <c r="G98" s="18" t="s">
        <v>21</v>
      </c>
      <c r="H98" s="18" t="s">
        <v>3937</v>
      </c>
      <c r="I98" s="18">
        <v>360</v>
      </c>
      <c r="J98" s="18" t="s">
        <v>22</v>
      </c>
      <c r="K98" s="18" t="s">
        <v>23</v>
      </c>
      <c r="L98" s="18">
        <v>551</v>
      </c>
      <c r="M98" s="18" t="s">
        <v>123</v>
      </c>
      <c r="N98" s="19">
        <v>46306.7891550926</v>
      </c>
      <c r="O98" s="18">
        <v>360</v>
      </c>
      <c r="P98" s="18" t="s">
        <v>25</v>
      </c>
      <c r="Q98" s="18">
        <v>40</v>
      </c>
      <c r="R98" s="3" t="str">
        <f>IF(OR(G98="12R",G98="12L"),_xlfn.XLOOKUP(C98,Tabla42[ADEP],Tabla42[SID 12R],""),IF(OR(G98="30L",G98="30R"),_xlfn.XLOOKUP(C98,Tabla42[ADEP],Tabla42[SID 30L],""),""))</f>
        <v>UDGUV</v>
      </c>
      <c r="S98" s="3">
        <f t="shared" si="1"/>
        <v>18</v>
      </c>
      <c r="T98" s="3" t="str">
        <f>_xlfn.XLOOKUP(C98,Tabla42[ADEP],Tabla42[Sector],"")</f>
        <v>Sector 2</v>
      </c>
    </row>
    <row r="99" spans="1:20" x14ac:dyDescent="0.2">
      <c r="A99" s="18" t="s">
        <v>3938</v>
      </c>
      <c r="B99" s="18" t="s">
        <v>18</v>
      </c>
      <c r="C99" s="18" t="s">
        <v>536</v>
      </c>
      <c r="D99" s="18" t="s">
        <v>427</v>
      </c>
      <c r="E99" s="18" t="s">
        <v>3938</v>
      </c>
      <c r="F99" s="19">
        <v>46306.764027777797</v>
      </c>
      <c r="G99" s="18" t="s">
        <v>21</v>
      </c>
      <c r="H99" s="18" t="s">
        <v>3939</v>
      </c>
      <c r="I99" s="18">
        <v>400</v>
      </c>
      <c r="J99" s="18" t="s">
        <v>22</v>
      </c>
      <c r="K99" s="18" t="s">
        <v>50</v>
      </c>
      <c r="L99" s="18">
        <v>866</v>
      </c>
      <c r="M99" s="18" t="s">
        <v>35</v>
      </c>
      <c r="N99" s="19">
        <v>46306.811215277798</v>
      </c>
      <c r="O99" s="18">
        <v>380</v>
      </c>
      <c r="P99" s="18" t="s">
        <v>25</v>
      </c>
      <c r="Q99" s="18">
        <v>30</v>
      </c>
      <c r="R99" s="3" t="str">
        <f>IF(OR(G99="12R",G99="12L"),_xlfn.XLOOKUP(C99,Tabla42[ADEP],Tabla42[SID 12R],""),IF(OR(G99="30L",G99="30R"),_xlfn.XLOOKUP(C99,Tabla42[ADEP],Tabla42[SID 30L],""),""))</f>
        <v>ENEBA</v>
      </c>
      <c r="S99" s="3">
        <f t="shared" si="1"/>
        <v>18</v>
      </c>
      <c r="T99" s="3" t="str">
        <f>_xlfn.XLOOKUP(C99,Tabla42[ADEP],Tabla42[Sector],"")</f>
        <v>Sector 3</v>
      </c>
    </row>
    <row r="100" spans="1:20" x14ac:dyDescent="0.2">
      <c r="A100" s="18" t="s">
        <v>237</v>
      </c>
      <c r="B100" s="18" t="s">
        <v>18</v>
      </c>
      <c r="C100" s="18" t="s">
        <v>116</v>
      </c>
      <c r="D100" s="18" t="s">
        <v>117</v>
      </c>
      <c r="E100" s="18" t="s">
        <v>693</v>
      </c>
      <c r="F100" s="19">
        <v>46306.766261574099</v>
      </c>
      <c r="G100" s="18" t="s">
        <v>21</v>
      </c>
      <c r="H100" s="18" t="s">
        <v>3940</v>
      </c>
      <c r="I100" s="18">
        <v>320</v>
      </c>
      <c r="J100" s="18" t="s">
        <v>22</v>
      </c>
      <c r="K100" s="18" t="s">
        <v>23</v>
      </c>
      <c r="L100" s="18">
        <v>716</v>
      </c>
      <c r="M100" s="18" t="s">
        <v>118</v>
      </c>
      <c r="N100" s="19">
        <v>46306.803761574098</v>
      </c>
      <c r="O100" s="18">
        <v>320</v>
      </c>
      <c r="P100" s="18" t="s">
        <v>25</v>
      </c>
      <c r="Q100" s="18">
        <v>190</v>
      </c>
      <c r="R100" s="3" t="str">
        <f>IF(OR(G100="12R",G100="12L"),_xlfn.XLOOKUP(C100,Tabla42[ADEP],Tabla42[SID 12R],""),IF(OR(G100="30L",G100="30R"),_xlfn.XLOOKUP(C100,Tabla42[ADEP],Tabla42[SID 30L],""),""))</f>
        <v>ENEBA</v>
      </c>
      <c r="S100" s="3">
        <f t="shared" si="1"/>
        <v>18</v>
      </c>
      <c r="T100" s="3" t="str">
        <f>_xlfn.XLOOKUP(C100,Tabla42[ADEP],Tabla42[Sector],"")</f>
        <v>Sector 3</v>
      </c>
    </row>
    <row r="101" spans="1:20" x14ac:dyDescent="0.2">
      <c r="A101" s="18" t="s">
        <v>218</v>
      </c>
      <c r="B101" s="18" t="s">
        <v>18</v>
      </c>
      <c r="C101" s="18" t="s">
        <v>219</v>
      </c>
      <c r="D101" s="18" t="s">
        <v>43</v>
      </c>
      <c r="E101" s="18" t="s">
        <v>3941</v>
      </c>
      <c r="F101" s="19">
        <v>46306.767627314803</v>
      </c>
      <c r="G101" s="18" t="s">
        <v>21</v>
      </c>
      <c r="H101" s="18" t="s">
        <v>3942</v>
      </c>
      <c r="I101" s="18">
        <v>320</v>
      </c>
      <c r="J101" s="18" t="s">
        <v>22</v>
      </c>
      <c r="K101" s="18" t="s">
        <v>23</v>
      </c>
      <c r="L101" s="18">
        <v>896</v>
      </c>
      <c r="M101" s="18" t="s">
        <v>35</v>
      </c>
      <c r="N101" s="19">
        <v>46306.814814814803</v>
      </c>
      <c r="O101" s="18">
        <v>320</v>
      </c>
      <c r="P101" s="18" t="s">
        <v>25</v>
      </c>
      <c r="Q101" s="18">
        <v>190</v>
      </c>
      <c r="R101" s="3" t="str">
        <f>IF(OR(G101="12R",G101="12L"),_xlfn.XLOOKUP(C101,Tabla42[ADEP],Tabla42[SID 12R],""),IF(OR(G101="30L",G101="30R"),_xlfn.XLOOKUP(C101,Tabla42[ADEP],Tabla42[SID 30L],""),""))</f>
        <v>UDGUV</v>
      </c>
      <c r="S101" s="3">
        <f t="shared" si="1"/>
        <v>18</v>
      </c>
      <c r="T101" s="3" t="str">
        <f>_xlfn.XLOOKUP(C101,Tabla42[ADEP],Tabla42[Sector],"")</f>
        <v>Sector 2</v>
      </c>
    </row>
    <row r="102" spans="1:20" x14ac:dyDescent="0.2">
      <c r="A102" s="18" t="s">
        <v>183</v>
      </c>
      <c r="B102" s="18" t="s">
        <v>18</v>
      </c>
      <c r="C102" s="18" t="s">
        <v>184</v>
      </c>
      <c r="D102" s="18" t="s">
        <v>60</v>
      </c>
      <c r="E102" s="18" t="s">
        <v>3056</v>
      </c>
      <c r="F102" s="19">
        <v>46306.771527777797</v>
      </c>
      <c r="G102" s="18" t="s">
        <v>21</v>
      </c>
      <c r="H102" s="18" t="s">
        <v>3943</v>
      </c>
      <c r="I102" s="18">
        <v>330</v>
      </c>
      <c r="J102" s="18" t="s">
        <v>22</v>
      </c>
      <c r="K102" s="18" t="s">
        <v>23</v>
      </c>
      <c r="L102" s="18">
        <v>361</v>
      </c>
      <c r="M102" s="18" t="s">
        <v>30</v>
      </c>
      <c r="N102" s="19">
        <v>46306.791469907403</v>
      </c>
      <c r="O102" s="18">
        <v>330</v>
      </c>
      <c r="P102" s="18" t="s">
        <v>25</v>
      </c>
      <c r="Q102" s="18">
        <v>40</v>
      </c>
      <c r="R102" s="3" t="str">
        <f>IF(OR(G102="12R",G102="12L"),_xlfn.XLOOKUP(C102,Tabla42[ADEP],Tabla42[SID 12R],""),IF(OR(G102="30L",G102="30R"),_xlfn.XLOOKUP(C102,Tabla42[ADEP],Tabla42[SID 30L],""),""))</f>
        <v>OMSUK</v>
      </c>
      <c r="S102" s="3">
        <f t="shared" si="1"/>
        <v>18</v>
      </c>
      <c r="T102" s="3" t="str">
        <f>_xlfn.XLOOKUP(C102,Tabla42[ADEP],Tabla42[Sector],"")</f>
        <v>Sector 3</v>
      </c>
    </row>
    <row r="103" spans="1:20" x14ac:dyDescent="0.2">
      <c r="A103" s="18" t="s">
        <v>3944</v>
      </c>
      <c r="B103" s="18" t="s">
        <v>18</v>
      </c>
      <c r="C103" s="18" t="s">
        <v>209</v>
      </c>
      <c r="D103" s="18" t="s">
        <v>687</v>
      </c>
      <c r="E103" s="18" t="s">
        <v>3944</v>
      </c>
      <c r="F103" s="19">
        <v>46306.772662037001</v>
      </c>
      <c r="G103" s="18" t="s">
        <v>21</v>
      </c>
      <c r="H103" s="18" t="s">
        <v>3945</v>
      </c>
      <c r="I103" s="18">
        <v>400</v>
      </c>
      <c r="J103" s="18" t="s">
        <v>22</v>
      </c>
      <c r="K103" s="18" t="s">
        <v>50</v>
      </c>
      <c r="L103" s="18">
        <v>541</v>
      </c>
      <c r="M103" s="18" t="s">
        <v>123</v>
      </c>
      <c r="N103" s="19">
        <v>46306.806516203702</v>
      </c>
      <c r="O103" s="18">
        <v>400</v>
      </c>
      <c r="P103" s="18" t="s">
        <v>25</v>
      </c>
      <c r="Q103" s="18">
        <v>40</v>
      </c>
      <c r="R103" s="3" t="str">
        <f>IF(OR(G103="12R",G103="12L"),_xlfn.XLOOKUP(C103,Tabla42[ADEP],Tabla42[SID 12R],""),IF(OR(G103="30L",G103="30R"),_xlfn.XLOOKUP(C103,Tabla42[ADEP],Tabla42[SID 30L],""),""))</f>
        <v>ENEBA</v>
      </c>
      <c r="S103" s="3">
        <f t="shared" si="1"/>
        <v>18</v>
      </c>
      <c r="T103" s="3" t="str">
        <f>_xlfn.XLOOKUP(C103,Tabla42[ADEP],Tabla42[Sector],"")</f>
        <v>Sector 3</v>
      </c>
    </row>
    <row r="104" spans="1:20" x14ac:dyDescent="0.2">
      <c r="A104" s="18" t="s">
        <v>1688</v>
      </c>
      <c r="B104" s="18" t="s">
        <v>18</v>
      </c>
      <c r="C104" s="18" t="s">
        <v>478</v>
      </c>
      <c r="D104" s="18" t="s">
        <v>28</v>
      </c>
      <c r="E104" s="18" t="s">
        <v>2521</v>
      </c>
      <c r="F104" s="19">
        <v>46306.774097222202</v>
      </c>
      <c r="G104" s="18" t="s">
        <v>21</v>
      </c>
      <c r="H104" s="18" t="s">
        <v>3946</v>
      </c>
      <c r="I104" s="18">
        <v>340</v>
      </c>
      <c r="J104" s="18" t="s">
        <v>22</v>
      </c>
      <c r="K104" s="18" t="s">
        <v>23</v>
      </c>
      <c r="L104" s="18">
        <v>1025</v>
      </c>
      <c r="M104" s="18" t="s">
        <v>35</v>
      </c>
      <c r="N104" s="19">
        <v>46306.826412037</v>
      </c>
      <c r="O104" s="18">
        <v>340</v>
      </c>
      <c r="P104" s="18" t="s">
        <v>25</v>
      </c>
      <c r="Q104" s="18">
        <v>40</v>
      </c>
      <c r="R104" s="3" t="str">
        <f>IF(OR(G104="12R",G104="12L"),_xlfn.XLOOKUP(C104,Tabla42[ADEP],Tabla42[SID 12R],""),IF(OR(G104="30L",G104="30R"),_xlfn.XLOOKUP(C104,Tabla42[ADEP],Tabla42[SID 30L],""),""))</f>
        <v>ENEBA</v>
      </c>
      <c r="S104" s="3">
        <f t="shared" si="1"/>
        <v>18</v>
      </c>
      <c r="T104" s="3" t="str">
        <f>_xlfn.XLOOKUP(C104,Tabla42[ADEP],Tabla42[Sector],"")</f>
        <v>Sector 3</v>
      </c>
    </row>
    <row r="105" spans="1:20" x14ac:dyDescent="0.2">
      <c r="A105" s="18" t="s">
        <v>238</v>
      </c>
      <c r="B105" s="18" t="s">
        <v>18</v>
      </c>
      <c r="C105" s="18" t="s">
        <v>239</v>
      </c>
      <c r="D105" s="18" t="s">
        <v>60</v>
      </c>
      <c r="E105" s="18" t="s">
        <v>383</v>
      </c>
      <c r="F105" s="19">
        <v>46306.775937500002</v>
      </c>
      <c r="G105" s="18" t="s">
        <v>21</v>
      </c>
      <c r="H105" s="18" t="s">
        <v>3947</v>
      </c>
      <c r="I105" s="18">
        <v>360</v>
      </c>
      <c r="J105" s="18" t="s">
        <v>22</v>
      </c>
      <c r="K105" s="18" t="s">
        <v>23</v>
      </c>
      <c r="L105" s="18">
        <v>875</v>
      </c>
      <c r="M105" s="18" t="s">
        <v>35</v>
      </c>
      <c r="N105" s="19">
        <v>46306.823182870401</v>
      </c>
      <c r="O105" s="18">
        <v>360</v>
      </c>
      <c r="P105" s="18" t="s">
        <v>25</v>
      </c>
      <c r="Q105" s="18">
        <v>190</v>
      </c>
      <c r="R105" s="3" t="str">
        <f>IF(OR(G105="12R",G105="12L"),_xlfn.XLOOKUP(C105,Tabla42[ADEP],Tabla42[SID 12R],""),IF(OR(G105="30L",G105="30R"),_xlfn.XLOOKUP(C105,Tabla42[ADEP],Tabla42[SID 30L],""),""))</f>
        <v>UDGUV</v>
      </c>
      <c r="S105" s="3">
        <f t="shared" si="1"/>
        <v>18</v>
      </c>
      <c r="T105" s="3" t="str">
        <f>_xlfn.XLOOKUP(C105,Tabla42[ADEP],Tabla42[Sector],"")</f>
        <v>Sector 2</v>
      </c>
    </row>
    <row r="106" spans="1:20" x14ac:dyDescent="0.2">
      <c r="A106" s="18" t="s">
        <v>101</v>
      </c>
      <c r="B106" s="18" t="s">
        <v>18</v>
      </c>
      <c r="C106" s="18" t="s">
        <v>102</v>
      </c>
      <c r="D106" s="18" t="s">
        <v>20</v>
      </c>
      <c r="E106" s="18" t="s">
        <v>1010</v>
      </c>
      <c r="F106" s="19">
        <v>46306.7790046296</v>
      </c>
      <c r="G106" s="18" t="s">
        <v>21</v>
      </c>
      <c r="H106" s="18" t="s">
        <v>104</v>
      </c>
      <c r="I106" s="18">
        <v>290</v>
      </c>
      <c r="J106" s="18" t="s">
        <v>22</v>
      </c>
      <c r="K106" s="18" t="s">
        <v>23</v>
      </c>
      <c r="L106" s="18">
        <v>136</v>
      </c>
      <c r="M106" s="18" t="s">
        <v>39</v>
      </c>
      <c r="N106" s="19">
        <v>46306.788553240702</v>
      </c>
      <c r="O106" s="18">
        <v>261</v>
      </c>
      <c r="P106" s="18" t="s">
        <v>25</v>
      </c>
      <c r="Q106" s="18">
        <v>190</v>
      </c>
      <c r="R106" s="3" t="str">
        <f>IF(OR(G106="12R",G106="12L"),_xlfn.XLOOKUP(C106,Tabla42[ADEP],Tabla42[SID 12R],""),IF(OR(G106="30L",G106="30R"),_xlfn.XLOOKUP(C106,Tabla42[ADEP],Tabla42[SID 30L],""),""))</f>
        <v>NUDAL</v>
      </c>
      <c r="S106" s="3">
        <f t="shared" si="1"/>
        <v>18</v>
      </c>
      <c r="T106" s="3" t="str">
        <f>_xlfn.XLOOKUP(C106,Tabla42[ADEP],Tabla42[Sector],"")</f>
        <v>Sector 3</v>
      </c>
    </row>
    <row r="107" spans="1:20" x14ac:dyDescent="0.2">
      <c r="A107" s="18" t="s">
        <v>228</v>
      </c>
      <c r="B107" s="18" t="s">
        <v>18</v>
      </c>
      <c r="C107" s="18" t="s">
        <v>27</v>
      </c>
      <c r="D107" s="18" t="s">
        <v>28</v>
      </c>
      <c r="E107" s="18" t="s">
        <v>733</v>
      </c>
      <c r="F107" s="19">
        <v>46306.7803935185</v>
      </c>
      <c r="G107" s="18" t="s">
        <v>21</v>
      </c>
      <c r="H107" s="18" t="s">
        <v>3948</v>
      </c>
      <c r="I107" s="18">
        <v>350</v>
      </c>
      <c r="J107" s="18" t="s">
        <v>22</v>
      </c>
      <c r="K107" s="18" t="s">
        <v>23</v>
      </c>
      <c r="L107" s="18">
        <v>354</v>
      </c>
      <c r="M107" s="18" t="s">
        <v>30</v>
      </c>
      <c r="N107" s="19">
        <v>46306.801030092603</v>
      </c>
      <c r="O107" s="18">
        <v>330</v>
      </c>
      <c r="P107" s="18" t="s">
        <v>25</v>
      </c>
      <c r="Q107" s="18">
        <v>40</v>
      </c>
      <c r="R107" s="3" t="str">
        <f>IF(OR(G107="12R",G107="12L"),_xlfn.XLOOKUP(C107,Tabla42[ADEP],Tabla42[SID 12R],""),IF(OR(G107="30L",G107="30R"),_xlfn.XLOOKUP(C107,Tabla42[ADEP],Tabla42[SID 30L],""),""))</f>
        <v>OMSUK</v>
      </c>
      <c r="S107" s="3">
        <f t="shared" si="1"/>
        <v>18</v>
      </c>
      <c r="T107" s="3" t="str">
        <f>_xlfn.XLOOKUP(C107,Tabla42[ADEP],Tabla42[Sector],"")</f>
        <v>Sector 3</v>
      </c>
    </row>
    <row r="108" spans="1:20" x14ac:dyDescent="0.2">
      <c r="A108" s="18" t="s">
        <v>203</v>
      </c>
      <c r="B108" s="18" t="s">
        <v>18</v>
      </c>
      <c r="C108" s="18" t="s">
        <v>204</v>
      </c>
      <c r="D108" s="18" t="s">
        <v>53</v>
      </c>
      <c r="E108" s="18" t="s">
        <v>1643</v>
      </c>
      <c r="F108" s="19">
        <v>46306.7869444444</v>
      </c>
      <c r="G108" s="18" t="s">
        <v>21</v>
      </c>
      <c r="H108" s="18" t="s">
        <v>3949</v>
      </c>
      <c r="I108" s="18">
        <v>370</v>
      </c>
      <c r="J108" s="18" t="s">
        <v>22</v>
      </c>
      <c r="K108" s="18" t="s">
        <v>23</v>
      </c>
      <c r="L108" s="18">
        <v>149</v>
      </c>
      <c r="M108" s="18" t="s">
        <v>111</v>
      </c>
      <c r="N108" s="19">
        <v>46306.797118055598</v>
      </c>
      <c r="O108" s="18">
        <v>281</v>
      </c>
      <c r="P108" s="18" t="s">
        <v>25</v>
      </c>
      <c r="Q108" s="18">
        <v>190</v>
      </c>
      <c r="R108" s="3" t="str">
        <f>IF(OR(G108="12R",G108="12L"),_xlfn.XLOOKUP(C108,Tabla42[ADEP],Tabla42[SID 12R],""),IF(OR(G108="30L",G108="30R"),_xlfn.XLOOKUP(C108,Tabla42[ADEP],Tabla42[SID 30L],""),""))</f>
        <v>TAKUX</v>
      </c>
      <c r="S108" s="3">
        <f t="shared" si="1"/>
        <v>18</v>
      </c>
      <c r="T108" s="3" t="str">
        <f>_xlfn.XLOOKUP(C108,Tabla42[ADEP],Tabla42[Sector],"")</f>
        <v>Sector 7</v>
      </c>
    </row>
    <row r="109" spans="1:20" x14ac:dyDescent="0.2">
      <c r="A109" s="18" t="s">
        <v>362</v>
      </c>
      <c r="B109" s="18" t="s">
        <v>18</v>
      </c>
      <c r="C109" s="18" t="s">
        <v>27</v>
      </c>
      <c r="D109" s="18" t="s">
        <v>28</v>
      </c>
      <c r="E109" s="18" t="s">
        <v>447</v>
      </c>
      <c r="F109" s="19">
        <v>46306.788437499999</v>
      </c>
      <c r="G109" s="18" t="s">
        <v>21</v>
      </c>
      <c r="H109" s="18" t="s">
        <v>3950</v>
      </c>
      <c r="I109" s="18">
        <v>350</v>
      </c>
      <c r="J109" s="18" t="s">
        <v>22</v>
      </c>
      <c r="K109" s="18" t="s">
        <v>23</v>
      </c>
      <c r="L109" s="18">
        <v>358</v>
      </c>
      <c r="M109" s="18" t="s">
        <v>30</v>
      </c>
      <c r="N109" s="19">
        <v>46306.809027777803</v>
      </c>
      <c r="O109" s="18">
        <v>350</v>
      </c>
      <c r="P109" s="18" t="s">
        <v>25</v>
      </c>
      <c r="Q109" s="18">
        <v>40</v>
      </c>
      <c r="R109" s="3" t="str">
        <f>IF(OR(G109="12R",G109="12L"),_xlfn.XLOOKUP(C109,Tabla42[ADEP],Tabla42[SID 12R],""),IF(OR(G109="30L",G109="30R"),_xlfn.XLOOKUP(C109,Tabla42[ADEP],Tabla42[SID 30L],""),""))</f>
        <v>OMSUK</v>
      </c>
      <c r="S109" s="3">
        <f t="shared" si="1"/>
        <v>18</v>
      </c>
      <c r="T109" s="3" t="str">
        <f>_xlfn.XLOOKUP(C109,Tabla42[ADEP],Tabla42[Sector],"")</f>
        <v>Sector 3</v>
      </c>
    </row>
    <row r="110" spans="1:20" x14ac:dyDescent="0.2">
      <c r="A110" s="18" t="s">
        <v>241</v>
      </c>
      <c r="B110" s="18" t="s">
        <v>18</v>
      </c>
      <c r="C110" s="18" t="s">
        <v>121</v>
      </c>
      <c r="D110" s="18" t="s">
        <v>60</v>
      </c>
      <c r="E110" s="18" t="s">
        <v>3951</v>
      </c>
      <c r="F110" s="19">
        <v>46306.789745370399</v>
      </c>
      <c r="G110" s="18" t="s">
        <v>21</v>
      </c>
      <c r="H110" s="18" t="s">
        <v>3952</v>
      </c>
      <c r="I110" s="18">
        <v>360</v>
      </c>
      <c r="J110" s="18" t="s">
        <v>22</v>
      </c>
      <c r="K110" s="18" t="s">
        <v>23</v>
      </c>
      <c r="L110" s="18">
        <v>545</v>
      </c>
      <c r="M110" s="18" t="s">
        <v>123</v>
      </c>
      <c r="N110" s="19">
        <v>46306.818888888898</v>
      </c>
      <c r="O110" s="18">
        <v>360</v>
      </c>
      <c r="P110" s="18" t="s">
        <v>25</v>
      </c>
      <c r="Q110" s="18">
        <v>40</v>
      </c>
      <c r="R110" s="3" t="str">
        <f>IF(OR(G110="12R",G110="12L"),_xlfn.XLOOKUP(C110,Tabla42[ADEP],Tabla42[SID 12R],""),IF(OR(G110="30L",G110="30R"),_xlfn.XLOOKUP(C110,Tabla42[ADEP],Tabla42[SID 30L],""),""))</f>
        <v>ENEBA</v>
      </c>
      <c r="S110" s="3">
        <f t="shared" si="1"/>
        <v>18</v>
      </c>
      <c r="T110" s="3" t="str">
        <f>_xlfn.XLOOKUP(C110,Tabla42[ADEP],Tabla42[Sector],"")</f>
        <v>Sector 3</v>
      </c>
    </row>
    <row r="111" spans="1:20" x14ac:dyDescent="0.2">
      <c r="A111" s="18" t="s">
        <v>430</v>
      </c>
      <c r="B111" s="18" t="s">
        <v>18</v>
      </c>
      <c r="C111" s="18" t="s">
        <v>265</v>
      </c>
      <c r="D111" s="18" t="s">
        <v>53</v>
      </c>
      <c r="E111" s="18" t="s">
        <v>325</v>
      </c>
      <c r="F111" s="19">
        <v>46306.790983796302</v>
      </c>
      <c r="G111" s="18" t="s">
        <v>21</v>
      </c>
      <c r="H111" s="18" t="s">
        <v>3953</v>
      </c>
      <c r="I111" s="18">
        <v>360</v>
      </c>
      <c r="J111" s="18" t="s">
        <v>22</v>
      </c>
      <c r="K111" s="18" t="s">
        <v>23</v>
      </c>
      <c r="L111" s="18">
        <v>876</v>
      </c>
      <c r="M111" s="18" t="s">
        <v>3416</v>
      </c>
      <c r="N111" s="19">
        <v>46306.837800925903</v>
      </c>
      <c r="O111" s="18">
        <v>360</v>
      </c>
      <c r="P111" s="18" t="s">
        <v>25</v>
      </c>
      <c r="Q111" s="18">
        <v>190</v>
      </c>
      <c r="R111" s="3" t="str">
        <f>IF(OR(G111="12R",G111="12L"),_xlfn.XLOOKUP(C111,Tabla42[ADEP],Tabla42[SID 12R],""),IF(OR(G111="30L",G111="30R"),_xlfn.XLOOKUP(C111,Tabla42[ADEP],Tabla42[SID 30L],""),""))</f>
        <v>UDGUV</v>
      </c>
      <c r="S111" s="3">
        <f t="shared" si="1"/>
        <v>18</v>
      </c>
      <c r="T111" s="3" t="str">
        <f>_xlfn.XLOOKUP(C111,Tabla42[ADEP],Tabla42[Sector],"")</f>
        <v>Sector 2</v>
      </c>
    </row>
    <row r="112" spans="1:20" x14ac:dyDescent="0.2">
      <c r="A112" s="18" t="s">
        <v>460</v>
      </c>
      <c r="B112" s="18" t="s">
        <v>18</v>
      </c>
      <c r="C112" s="18" t="s">
        <v>126</v>
      </c>
      <c r="D112" s="18" t="s">
        <v>53</v>
      </c>
      <c r="E112" s="18" t="s">
        <v>3954</v>
      </c>
      <c r="F112" s="19">
        <v>46306.792083333297</v>
      </c>
      <c r="G112" s="18" t="s">
        <v>21</v>
      </c>
      <c r="H112" s="18" t="s">
        <v>3955</v>
      </c>
      <c r="I112" s="18">
        <v>370</v>
      </c>
      <c r="J112" s="18" t="s">
        <v>22</v>
      </c>
      <c r="K112" s="18" t="s">
        <v>23</v>
      </c>
      <c r="L112" s="18">
        <v>359</v>
      </c>
      <c r="M112" s="18" t="s">
        <v>30</v>
      </c>
      <c r="N112" s="19">
        <v>46306.810844907399</v>
      </c>
      <c r="O112" s="18">
        <v>357</v>
      </c>
      <c r="P112" s="18" t="s">
        <v>25</v>
      </c>
      <c r="Q112" s="18">
        <v>40</v>
      </c>
      <c r="R112" s="3" t="str">
        <f>IF(OR(G112="12R",G112="12L"),_xlfn.XLOOKUP(C112,Tabla42[ADEP],Tabla42[SID 12R],""),IF(OR(G112="30L",G112="30R"),_xlfn.XLOOKUP(C112,Tabla42[ADEP],Tabla42[SID 30L],""),""))</f>
        <v>ENEBA</v>
      </c>
      <c r="S112" s="3">
        <f t="shared" si="1"/>
        <v>19</v>
      </c>
      <c r="T112" s="3" t="str">
        <f>_xlfn.XLOOKUP(C112,Tabla42[ADEP],Tabla42[Sector],"")</f>
        <v>Sector 3</v>
      </c>
    </row>
    <row r="113" spans="1:20" x14ac:dyDescent="0.2">
      <c r="A113" s="18" t="s">
        <v>227</v>
      </c>
      <c r="B113" s="18" t="s">
        <v>18</v>
      </c>
      <c r="C113" s="18" t="s">
        <v>133</v>
      </c>
      <c r="D113" s="18" t="s">
        <v>60</v>
      </c>
      <c r="E113" s="18" t="s">
        <v>3356</v>
      </c>
      <c r="F113" s="19">
        <v>46306.794722222199</v>
      </c>
      <c r="G113" s="18" t="s">
        <v>21</v>
      </c>
      <c r="H113" s="18" t="s">
        <v>3956</v>
      </c>
      <c r="I113" s="18">
        <v>330</v>
      </c>
      <c r="J113" s="18" t="s">
        <v>22</v>
      </c>
      <c r="K113" s="18" t="s">
        <v>23</v>
      </c>
      <c r="L113" s="18">
        <v>352</v>
      </c>
      <c r="M113" s="18" t="s">
        <v>30</v>
      </c>
      <c r="N113" s="19">
        <v>46306.814456018503</v>
      </c>
      <c r="O113" s="18">
        <v>273</v>
      </c>
      <c r="P113" s="18" t="s">
        <v>25</v>
      </c>
      <c r="Q113" s="18">
        <v>40</v>
      </c>
      <c r="R113" s="3" t="str">
        <f>IF(OR(G113="12R",G113="12L"),_xlfn.XLOOKUP(C113,Tabla42[ADEP],Tabla42[SID 12R],""),IF(OR(G113="30L",G113="30R"),_xlfn.XLOOKUP(C113,Tabla42[ADEP],Tabla42[SID 30L],""),""))</f>
        <v>OMSUK</v>
      </c>
      <c r="S113" s="3">
        <f t="shared" si="1"/>
        <v>19</v>
      </c>
      <c r="T113" s="3" t="str">
        <f>_xlfn.XLOOKUP(C113,Tabla42[ADEP],Tabla42[Sector],"")</f>
        <v>Sector 3</v>
      </c>
    </row>
    <row r="114" spans="1:20" x14ac:dyDescent="0.2">
      <c r="A114" s="18" t="s">
        <v>449</v>
      </c>
      <c r="B114" s="18" t="s">
        <v>18</v>
      </c>
      <c r="C114" s="18" t="s">
        <v>96</v>
      </c>
      <c r="D114" s="18" t="s">
        <v>53</v>
      </c>
      <c r="E114" s="18" t="s">
        <v>106</v>
      </c>
      <c r="F114" s="19">
        <v>46306.7966087963</v>
      </c>
      <c r="G114" s="18" t="s">
        <v>21</v>
      </c>
      <c r="H114" s="18" t="s">
        <v>3957</v>
      </c>
      <c r="I114" s="18">
        <v>380</v>
      </c>
      <c r="J114" s="18" t="s">
        <v>22</v>
      </c>
      <c r="K114" s="18" t="s">
        <v>141</v>
      </c>
      <c r="L114" s="18">
        <v>863</v>
      </c>
      <c r="M114" s="18" t="s">
        <v>45</v>
      </c>
      <c r="N114" s="19">
        <v>46306.842384259297</v>
      </c>
      <c r="O114" s="18">
        <v>380</v>
      </c>
      <c r="P114" s="18" t="s">
        <v>25</v>
      </c>
      <c r="Q114" s="18">
        <v>190</v>
      </c>
      <c r="R114" s="3" t="str">
        <f>IF(OR(G114="12R",G114="12L"),_xlfn.XLOOKUP(C114,Tabla42[ADEP],Tabla42[SID 12R],""),IF(OR(G114="30L",G114="30R"),_xlfn.XLOOKUP(C114,Tabla42[ADEP],Tabla42[SID 30L],""),""))</f>
        <v>UDGUV</v>
      </c>
      <c r="S114" s="3">
        <f t="shared" si="1"/>
        <v>19</v>
      </c>
      <c r="T114" s="3" t="str">
        <f>_xlfn.XLOOKUP(C114,Tabla42[ADEP],Tabla42[Sector],"")</f>
        <v>Sector 2</v>
      </c>
    </row>
    <row r="115" spans="1:20" x14ac:dyDescent="0.2">
      <c r="A115" s="18" t="s">
        <v>244</v>
      </c>
      <c r="B115" s="18" t="s">
        <v>18</v>
      </c>
      <c r="C115" s="18" t="s">
        <v>126</v>
      </c>
      <c r="D115" s="18" t="s">
        <v>60</v>
      </c>
      <c r="E115" s="18" t="s">
        <v>3958</v>
      </c>
      <c r="F115" s="19">
        <v>46306.797476851898</v>
      </c>
      <c r="G115" s="18" t="s">
        <v>21</v>
      </c>
      <c r="H115" s="18" t="s">
        <v>3959</v>
      </c>
      <c r="I115" s="18">
        <v>350</v>
      </c>
      <c r="J115" s="18" t="s">
        <v>22</v>
      </c>
      <c r="K115" s="18" t="s">
        <v>23</v>
      </c>
      <c r="L115" s="18">
        <v>359</v>
      </c>
      <c r="M115" s="18" t="s">
        <v>30</v>
      </c>
      <c r="N115" s="19">
        <v>46306.817986111098</v>
      </c>
      <c r="O115" s="18">
        <v>344</v>
      </c>
      <c r="P115" s="18" t="s">
        <v>25</v>
      </c>
      <c r="Q115" s="18">
        <v>40</v>
      </c>
      <c r="R115" s="3" t="str">
        <f>IF(OR(G115="12R",G115="12L"),_xlfn.XLOOKUP(C115,Tabla42[ADEP],Tabla42[SID 12R],""),IF(OR(G115="30L",G115="30R"),_xlfn.XLOOKUP(C115,Tabla42[ADEP],Tabla42[SID 30L],""),""))</f>
        <v>ENEBA</v>
      </c>
      <c r="S115" s="3">
        <f t="shared" si="1"/>
        <v>19</v>
      </c>
      <c r="T115" s="3" t="str">
        <f>_xlfn.XLOOKUP(C115,Tabla42[ADEP],Tabla42[Sector],"")</f>
        <v>Sector 3</v>
      </c>
    </row>
    <row r="116" spans="1:20" x14ac:dyDescent="0.2">
      <c r="A116" s="18" t="s">
        <v>597</v>
      </c>
      <c r="B116" s="18" t="s">
        <v>18</v>
      </c>
      <c r="C116" s="18" t="s">
        <v>598</v>
      </c>
      <c r="D116" s="18" t="s">
        <v>28</v>
      </c>
      <c r="E116" s="18" t="s">
        <v>3960</v>
      </c>
      <c r="F116" s="19">
        <v>46306.798865740697</v>
      </c>
      <c r="G116" s="18" t="s">
        <v>21</v>
      </c>
      <c r="H116" s="18" t="s">
        <v>3961</v>
      </c>
      <c r="I116" s="18">
        <v>340</v>
      </c>
      <c r="J116" s="18" t="s">
        <v>22</v>
      </c>
      <c r="K116" s="18" t="s">
        <v>23</v>
      </c>
      <c r="L116" s="18">
        <v>570</v>
      </c>
      <c r="M116" s="18" t="s">
        <v>123</v>
      </c>
      <c r="N116" s="19">
        <v>46306.828159722201</v>
      </c>
      <c r="O116" s="18">
        <v>320</v>
      </c>
      <c r="P116" s="18" t="s">
        <v>25</v>
      </c>
      <c r="Q116" s="18">
        <v>40</v>
      </c>
      <c r="R116" s="3" t="str">
        <f>IF(OR(G116="12R",G116="12L"),_xlfn.XLOOKUP(C116,Tabla42[ADEP],Tabla42[SID 12R],""),IF(OR(G116="30L",G116="30R"),_xlfn.XLOOKUP(C116,Tabla42[ADEP],Tabla42[SID 30L],""),""))</f>
        <v>OMSUK</v>
      </c>
      <c r="S116" s="3">
        <f t="shared" si="1"/>
        <v>19</v>
      </c>
      <c r="T116" s="3" t="str">
        <f>_xlfn.XLOOKUP(C116,Tabla42[ADEP],Tabla42[Sector],"")</f>
        <v>Sector 3</v>
      </c>
    </row>
    <row r="117" spans="1:20" x14ac:dyDescent="0.2">
      <c r="A117" s="18" t="s">
        <v>240</v>
      </c>
      <c r="B117" s="18" t="s">
        <v>18</v>
      </c>
      <c r="C117" s="18" t="s">
        <v>116</v>
      </c>
      <c r="D117" s="18" t="s">
        <v>117</v>
      </c>
      <c r="E117" s="18" t="s">
        <v>3962</v>
      </c>
      <c r="F117" s="19">
        <v>46306.800081018497</v>
      </c>
      <c r="G117" s="18" t="s">
        <v>21</v>
      </c>
      <c r="H117" s="18" t="s">
        <v>3963</v>
      </c>
      <c r="I117" s="18">
        <v>340</v>
      </c>
      <c r="J117" s="18" t="s">
        <v>22</v>
      </c>
      <c r="K117" s="18" t="s">
        <v>23</v>
      </c>
      <c r="L117" s="18">
        <v>554</v>
      </c>
      <c r="M117" s="18" t="s">
        <v>123</v>
      </c>
      <c r="N117" s="19">
        <v>46306.828993055598</v>
      </c>
      <c r="O117" s="18">
        <v>340</v>
      </c>
      <c r="P117" s="18" t="s">
        <v>25</v>
      </c>
      <c r="Q117" s="18">
        <v>40</v>
      </c>
      <c r="R117" s="3" t="str">
        <f>IF(OR(G117="12R",G117="12L"),_xlfn.XLOOKUP(C117,Tabla42[ADEP],Tabla42[SID 12R],""),IF(OR(G117="30L",G117="30R"),_xlfn.XLOOKUP(C117,Tabla42[ADEP],Tabla42[SID 30L],""),""))</f>
        <v>ENEBA</v>
      </c>
      <c r="S117" s="3">
        <f t="shared" si="1"/>
        <v>19</v>
      </c>
      <c r="T117" s="3" t="str">
        <f>_xlfn.XLOOKUP(C117,Tabla42[ADEP],Tabla42[Sector],"")</f>
        <v>Sector 3</v>
      </c>
    </row>
    <row r="118" spans="1:20" x14ac:dyDescent="0.2">
      <c r="A118" s="18" t="s">
        <v>445</v>
      </c>
      <c r="B118" s="18" t="s">
        <v>18</v>
      </c>
      <c r="C118" s="18" t="s">
        <v>263</v>
      </c>
      <c r="D118" s="18" t="s">
        <v>110</v>
      </c>
      <c r="E118" s="18" t="s">
        <v>3964</v>
      </c>
      <c r="F118" s="19">
        <v>46306.801412036999</v>
      </c>
      <c r="G118" s="18" t="s">
        <v>21</v>
      </c>
      <c r="H118" s="18" t="s">
        <v>3965</v>
      </c>
      <c r="I118" s="18">
        <v>370</v>
      </c>
      <c r="J118" s="18" t="s">
        <v>22</v>
      </c>
      <c r="K118" s="18" t="s">
        <v>23</v>
      </c>
      <c r="L118" s="18">
        <v>134</v>
      </c>
      <c r="M118" s="18" t="s">
        <v>39</v>
      </c>
      <c r="N118" s="19">
        <v>46306.810300925899</v>
      </c>
      <c r="O118" s="18">
        <v>272</v>
      </c>
      <c r="P118" s="18" t="s">
        <v>25</v>
      </c>
      <c r="Q118" s="18">
        <v>190</v>
      </c>
      <c r="R118" s="3" t="str">
        <f>IF(OR(G118="12R",G118="12L"),_xlfn.XLOOKUP(C118,Tabla42[ADEP],Tabla42[SID 12R],""),IF(OR(G118="30L",G118="30R"),_xlfn.XLOOKUP(C118,Tabla42[ADEP],Tabla42[SID 30L],""),""))</f>
        <v>OMSUK</v>
      </c>
      <c r="S118" s="3">
        <f t="shared" si="1"/>
        <v>19</v>
      </c>
      <c r="T118" s="3" t="str">
        <f>_xlfn.XLOOKUP(C118,Tabla42[ADEP],Tabla42[Sector],"")</f>
        <v>Sector 3</v>
      </c>
    </row>
    <row r="119" spans="1:20" x14ac:dyDescent="0.2">
      <c r="A119" s="18" t="s">
        <v>229</v>
      </c>
      <c r="B119" s="18" t="s">
        <v>18</v>
      </c>
      <c r="C119" s="18" t="s">
        <v>230</v>
      </c>
      <c r="D119" s="18" t="s">
        <v>231</v>
      </c>
      <c r="E119" s="18" t="s">
        <v>591</v>
      </c>
      <c r="F119" s="19">
        <v>46306.802453703698</v>
      </c>
      <c r="G119" s="18" t="s">
        <v>21</v>
      </c>
      <c r="H119" s="18" t="s">
        <v>3966</v>
      </c>
      <c r="I119" s="18">
        <v>100</v>
      </c>
      <c r="J119" s="18" t="s">
        <v>22</v>
      </c>
      <c r="K119" s="18" t="s">
        <v>23</v>
      </c>
      <c r="L119" s="18">
        <v>361</v>
      </c>
      <c r="M119" s="18" t="s">
        <v>230</v>
      </c>
      <c r="N119" s="19">
        <v>46306.866608796299</v>
      </c>
      <c r="O119" s="18">
        <v>0</v>
      </c>
      <c r="P119" s="18" t="s">
        <v>129</v>
      </c>
      <c r="Q119" s="18">
        <v>40</v>
      </c>
      <c r="R119" s="3" t="str">
        <f>IF(OR(G119="12R",G119="12L"),_xlfn.XLOOKUP(C119,Tabla42[ADEP],Tabla42[SID 12R],""),IF(OR(G119="30L",G119="30R"),_xlfn.XLOOKUP(C119,Tabla42[ADEP],Tabla42[SID 30L],""),""))</f>
        <v>CZM</v>
      </c>
      <c r="S119" s="3">
        <f t="shared" si="1"/>
        <v>19</v>
      </c>
      <c r="T119" s="3" t="str">
        <f>_xlfn.XLOOKUP(C119,Tabla42[ADEP],Tabla42[Sector],"")</f>
        <v>Sector 7</v>
      </c>
    </row>
    <row r="120" spans="1:20" x14ac:dyDescent="0.2">
      <c r="A120" s="18" t="s">
        <v>600</v>
      </c>
      <c r="B120" s="18" t="s">
        <v>18</v>
      </c>
      <c r="C120" s="18" t="s">
        <v>293</v>
      </c>
      <c r="D120" s="18" t="s">
        <v>20</v>
      </c>
      <c r="E120" s="18" t="s">
        <v>3967</v>
      </c>
      <c r="F120" s="19">
        <v>46306.8037847222</v>
      </c>
      <c r="G120" s="18" t="s">
        <v>21</v>
      </c>
      <c r="H120" s="18" t="s">
        <v>3968</v>
      </c>
      <c r="I120" s="18">
        <v>340</v>
      </c>
      <c r="J120" s="18" t="s">
        <v>22</v>
      </c>
      <c r="K120" s="18" t="s">
        <v>23</v>
      </c>
      <c r="L120" s="18">
        <v>577</v>
      </c>
      <c r="M120" s="18" t="s">
        <v>123</v>
      </c>
      <c r="N120" s="19">
        <v>46306.835381944402</v>
      </c>
      <c r="O120" s="18">
        <v>300</v>
      </c>
      <c r="P120" s="18" t="s">
        <v>25</v>
      </c>
      <c r="Q120" s="18">
        <v>40</v>
      </c>
      <c r="R120" s="3" t="str">
        <f>IF(OR(G120="12R",G120="12L"),_xlfn.XLOOKUP(C120,Tabla42[ADEP],Tabla42[SID 12R],""),IF(OR(G120="30L",G120="30R"),_xlfn.XLOOKUP(C120,Tabla42[ADEP],Tabla42[SID 30L],""),""))</f>
        <v>UDGUV</v>
      </c>
      <c r="S120" s="3">
        <f t="shared" si="1"/>
        <v>19</v>
      </c>
      <c r="T120" s="3" t="str">
        <f>_xlfn.XLOOKUP(C120,Tabla42[ADEP],Tabla42[Sector],"")</f>
        <v>Sector 2</v>
      </c>
    </row>
    <row r="121" spans="1:20" x14ac:dyDescent="0.2">
      <c r="A121" s="18" t="s">
        <v>285</v>
      </c>
      <c r="B121" s="18" t="s">
        <v>18</v>
      </c>
      <c r="C121" s="18" t="s">
        <v>160</v>
      </c>
      <c r="D121" s="18" t="s">
        <v>53</v>
      </c>
      <c r="E121" s="18" t="s">
        <v>3969</v>
      </c>
      <c r="F121" s="19">
        <v>46306.804918981499</v>
      </c>
      <c r="G121" s="18" t="s">
        <v>21</v>
      </c>
      <c r="H121" s="18" t="s">
        <v>3970</v>
      </c>
      <c r="I121" s="18">
        <v>320</v>
      </c>
      <c r="J121" s="18" t="s">
        <v>22</v>
      </c>
      <c r="K121" s="18" t="s">
        <v>23</v>
      </c>
      <c r="L121" s="18">
        <v>342</v>
      </c>
      <c r="M121" s="18" t="s">
        <v>3971</v>
      </c>
      <c r="N121" s="19">
        <v>46306.824143518497</v>
      </c>
      <c r="O121" s="18">
        <v>380</v>
      </c>
      <c r="P121" s="18" t="s">
        <v>25</v>
      </c>
      <c r="Q121" s="18">
        <v>190</v>
      </c>
      <c r="R121" s="3" t="str">
        <f>IF(OR(G121="12R",G121="12L"),_xlfn.XLOOKUP(C121,Tabla42[ADEP],Tabla42[SID 12R],""),IF(OR(G121="30L",G121="30R"),_xlfn.XLOOKUP(C121,Tabla42[ADEP],Tabla42[SID 30L],""),""))</f>
        <v>CZM</v>
      </c>
      <c r="S121" s="3">
        <f t="shared" si="1"/>
        <v>19</v>
      </c>
      <c r="T121" s="3" t="str">
        <f>_xlfn.XLOOKUP(C121,Tabla42[ADEP],Tabla42[Sector],"")</f>
        <v>Sector 7</v>
      </c>
    </row>
    <row r="122" spans="1:20" x14ac:dyDescent="0.2">
      <c r="A122" s="18" t="s">
        <v>246</v>
      </c>
      <c r="B122" s="18" t="s">
        <v>18</v>
      </c>
      <c r="C122" s="18" t="s">
        <v>209</v>
      </c>
      <c r="D122" s="18" t="s">
        <v>110</v>
      </c>
      <c r="E122" s="18" t="s">
        <v>3972</v>
      </c>
      <c r="F122" s="19">
        <v>46306.806053240703</v>
      </c>
      <c r="G122" s="18" t="s">
        <v>21</v>
      </c>
      <c r="H122" s="18" t="s">
        <v>3973</v>
      </c>
      <c r="I122" s="18">
        <v>380</v>
      </c>
      <c r="J122" s="18" t="s">
        <v>22</v>
      </c>
      <c r="K122" s="18" t="s">
        <v>23</v>
      </c>
      <c r="L122" s="18">
        <v>581</v>
      </c>
      <c r="M122" s="18" t="s">
        <v>123</v>
      </c>
      <c r="N122" s="19">
        <v>46306.8360763889</v>
      </c>
      <c r="O122" s="18">
        <v>340</v>
      </c>
      <c r="P122" s="18" t="s">
        <v>25</v>
      </c>
      <c r="Q122" s="18">
        <v>40</v>
      </c>
      <c r="R122" s="3" t="str">
        <f>IF(OR(G122="12R",G122="12L"),_xlfn.XLOOKUP(C122,Tabla42[ADEP],Tabla42[SID 12R],""),IF(OR(G122="30L",G122="30R"),_xlfn.XLOOKUP(C122,Tabla42[ADEP],Tabla42[SID 30L],""),""))</f>
        <v>ENEBA</v>
      </c>
      <c r="S122" s="3">
        <f t="shared" si="1"/>
        <v>19</v>
      </c>
      <c r="T122" s="3" t="str">
        <f>_xlfn.XLOOKUP(C122,Tabla42[ADEP],Tabla42[Sector],"")</f>
        <v>Sector 3</v>
      </c>
    </row>
    <row r="123" spans="1:20" x14ac:dyDescent="0.2">
      <c r="A123" s="18" t="s">
        <v>389</v>
      </c>
      <c r="B123" s="18" t="s">
        <v>18</v>
      </c>
      <c r="C123" s="18" t="s">
        <v>242</v>
      </c>
      <c r="D123" s="18" t="s">
        <v>243</v>
      </c>
      <c r="E123" s="18" t="s">
        <v>3974</v>
      </c>
      <c r="F123" s="19">
        <v>46306.807442129597</v>
      </c>
      <c r="G123" s="18" t="s">
        <v>21</v>
      </c>
      <c r="H123" s="18" t="s">
        <v>3975</v>
      </c>
      <c r="I123" s="18">
        <v>350</v>
      </c>
      <c r="J123" s="18" t="s">
        <v>22</v>
      </c>
      <c r="K123" s="18" t="s">
        <v>23</v>
      </c>
      <c r="L123" s="18">
        <v>135</v>
      </c>
      <c r="M123" s="18" t="s">
        <v>39</v>
      </c>
      <c r="N123" s="19">
        <v>46306.816655092603</v>
      </c>
      <c r="O123" s="18">
        <v>237</v>
      </c>
      <c r="P123" s="18" t="s">
        <v>40</v>
      </c>
      <c r="Q123" s="18">
        <v>190</v>
      </c>
      <c r="R123" s="3" t="str">
        <f>IF(OR(G123="12R",G123="12L"),_xlfn.XLOOKUP(C123,Tabla42[ADEP],Tabla42[SID 12R],""),IF(OR(G123="30L",G123="30R"),_xlfn.XLOOKUP(C123,Tabla42[ADEP],Tabla42[SID 30L],""),""))</f>
        <v>NUDAL</v>
      </c>
      <c r="S123" s="3">
        <f t="shared" si="1"/>
        <v>19</v>
      </c>
      <c r="T123" s="3" t="str">
        <f>_xlfn.XLOOKUP(C123,Tabla42[ADEP],Tabla42[Sector],"")</f>
        <v>Sector 3</v>
      </c>
    </row>
    <row r="124" spans="1:20" x14ac:dyDescent="0.2">
      <c r="A124" s="18" t="s">
        <v>235</v>
      </c>
      <c r="B124" s="18" t="s">
        <v>18</v>
      </c>
      <c r="C124" s="18" t="s">
        <v>62</v>
      </c>
      <c r="D124" s="18" t="s">
        <v>33</v>
      </c>
      <c r="E124" s="18" t="s">
        <v>726</v>
      </c>
      <c r="F124" s="19">
        <v>46306.809201388904</v>
      </c>
      <c r="G124" s="18" t="s">
        <v>21</v>
      </c>
      <c r="H124" s="18" t="s">
        <v>3976</v>
      </c>
      <c r="I124" s="18">
        <v>360</v>
      </c>
      <c r="J124" s="18" t="s">
        <v>22</v>
      </c>
      <c r="K124" s="18" t="s">
        <v>23</v>
      </c>
      <c r="L124" s="18">
        <v>874</v>
      </c>
      <c r="M124" s="18" t="s">
        <v>167</v>
      </c>
      <c r="N124" s="19">
        <v>46306.857060185197</v>
      </c>
      <c r="O124" s="18">
        <v>360</v>
      </c>
      <c r="P124" s="18" t="s">
        <v>25</v>
      </c>
      <c r="Q124" s="18">
        <v>190</v>
      </c>
      <c r="R124" s="3" t="str">
        <f>IF(OR(G124="12R",G124="12L"),_xlfn.XLOOKUP(C124,Tabla42[ADEP],Tabla42[SID 12R],""),IF(OR(G124="30L",G124="30R"),_xlfn.XLOOKUP(C124,Tabla42[ADEP],Tabla42[SID 30L],""),""))</f>
        <v>UDGUV</v>
      </c>
      <c r="S124" s="3">
        <f t="shared" si="1"/>
        <v>19</v>
      </c>
      <c r="T124" s="3" t="str">
        <f>_xlfn.XLOOKUP(C124,Tabla42[ADEP],Tabla42[Sector],"")</f>
        <v>Sector 2</v>
      </c>
    </row>
    <row r="125" spans="1:20" x14ac:dyDescent="0.2">
      <c r="A125" s="18" t="s">
        <v>387</v>
      </c>
      <c r="B125" s="18" t="s">
        <v>18</v>
      </c>
      <c r="C125" s="18" t="s">
        <v>388</v>
      </c>
      <c r="D125" s="18" t="s">
        <v>60</v>
      </c>
      <c r="E125" s="18" t="s">
        <v>659</v>
      </c>
      <c r="F125" s="19">
        <v>46306.810138888897</v>
      </c>
      <c r="G125" s="18" t="s">
        <v>21</v>
      </c>
      <c r="H125" s="18" t="s">
        <v>3977</v>
      </c>
      <c r="I125" s="18">
        <v>320</v>
      </c>
      <c r="J125" s="18" t="s">
        <v>22</v>
      </c>
      <c r="K125" s="18" t="s">
        <v>23</v>
      </c>
      <c r="L125" s="18">
        <v>557</v>
      </c>
      <c r="M125" s="18" t="s">
        <v>123</v>
      </c>
      <c r="N125" s="19">
        <v>46306.841701388897</v>
      </c>
      <c r="O125" s="18">
        <v>320</v>
      </c>
      <c r="P125" s="18" t="s">
        <v>25</v>
      </c>
      <c r="Q125" s="18">
        <v>40</v>
      </c>
      <c r="R125" s="3" t="str">
        <f>IF(OR(G125="12R",G125="12L"),_xlfn.XLOOKUP(C125,Tabla42[ADEP],Tabla42[SID 12R],""),IF(OR(G125="30L",G125="30R"),_xlfn.XLOOKUP(C125,Tabla42[ADEP],Tabla42[SID 30L],""),""))</f>
        <v>ENEBA</v>
      </c>
      <c r="S125" s="3">
        <f t="shared" si="1"/>
        <v>19</v>
      </c>
      <c r="T125" s="3" t="str">
        <f>_xlfn.XLOOKUP(C125,Tabla42[ADEP],Tabla42[Sector],"")</f>
        <v>Sector 3</v>
      </c>
    </row>
    <row r="126" spans="1:20" x14ac:dyDescent="0.2">
      <c r="A126" s="18" t="s">
        <v>1201</v>
      </c>
      <c r="B126" s="18" t="s">
        <v>18</v>
      </c>
      <c r="C126" s="18" t="s">
        <v>592</v>
      </c>
      <c r="D126" s="18" t="s">
        <v>28</v>
      </c>
      <c r="E126" s="18" t="s">
        <v>3978</v>
      </c>
      <c r="F126" s="19">
        <v>46306.811527777798</v>
      </c>
      <c r="G126" s="18" t="s">
        <v>21</v>
      </c>
      <c r="H126" s="18" t="s">
        <v>3979</v>
      </c>
      <c r="I126" s="18">
        <v>370</v>
      </c>
      <c r="J126" s="18" t="s">
        <v>22</v>
      </c>
      <c r="K126" s="18" t="s">
        <v>23</v>
      </c>
      <c r="L126" s="18">
        <v>361</v>
      </c>
      <c r="M126" s="18" t="s">
        <v>30</v>
      </c>
      <c r="N126" s="19">
        <v>46306.832569444399</v>
      </c>
      <c r="O126" s="18">
        <v>370</v>
      </c>
      <c r="P126" s="18" t="s">
        <v>25</v>
      </c>
      <c r="Q126" s="18">
        <v>40</v>
      </c>
      <c r="R126" s="3" t="str">
        <f>IF(OR(G126="12R",G126="12L"),_xlfn.XLOOKUP(C126,Tabla42[ADEP],Tabla42[SID 12R],""),IF(OR(G126="30L",G126="30R"),_xlfn.XLOOKUP(C126,Tabla42[ADEP],Tabla42[SID 30L],""),""))</f>
        <v>ENEBA</v>
      </c>
      <c r="S126" s="3">
        <f t="shared" si="1"/>
        <v>19</v>
      </c>
      <c r="T126" s="3" t="str">
        <f>_xlfn.XLOOKUP(C126,Tabla42[ADEP],Tabla42[Sector],"")</f>
        <v>Sector 3</v>
      </c>
    </row>
    <row r="127" spans="1:20" x14ac:dyDescent="0.2">
      <c r="A127" s="18" t="s">
        <v>247</v>
      </c>
      <c r="B127" s="18" t="s">
        <v>18</v>
      </c>
      <c r="C127" s="18" t="s">
        <v>137</v>
      </c>
      <c r="D127" s="18" t="s">
        <v>122</v>
      </c>
      <c r="E127" s="18" t="s">
        <v>3980</v>
      </c>
      <c r="F127" s="19">
        <v>46306.812928240703</v>
      </c>
      <c r="G127" s="18" t="s">
        <v>21</v>
      </c>
      <c r="H127" s="18" t="s">
        <v>386</v>
      </c>
      <c r="I127" s="18">
        <v>370</v>
      </c>
      <c r="J127" s="18" t="s">
        <v>22</v>
      </c>
      <c r="K127" s="18" t="s">
        <v>23</v>
      </c>
      <c r="L127" s="18">
        <v>136</v>
      </c>
      <c r="M127" s="18" t="s">
        <v>39</v>
      </c>
      <c r="N127" s="19">
        <v>46306.822361111103</v>
      </c>
      <c r="O127" s="18">
        <v>258</v>
      </c>
      <c r="P127" s="18" t="s">
        <v>25</v>
      </c>
      <c r="Q127" s="18">
        <v>190</v>
      </c>
      <c r="R127" s="3" t="str">
        <f>IF(OR(G127="12R",G127="12L"),_xlfn.XLOOKUP(C127,Tabla42[ADEP],Tabla42[SID 12R],""),IF(OR(G127="30L",G127="30R"),_xlfn.XLOOKUP(C127,Tabla42[ADEP],Tabla42[SID 30L],""),""))</f>
        <v>NUDAL</v>
      </c>
      <c r="S127" s="3">
        <f t="shared" si="1"/>
        <v>19</v>
      </c>
      <c r="T127" s="3" t="str">
        <f>_xlfn.XLOOKUP(C127,Tabla42[ADEP],Tabla42[Sector],"")</f>
        <v>Sector 3</v>
      </c>
    </row>
    <row r="128" spans="1:20" x14ac:dyDescent="0.2">
      <c r="A128" s="18" t="s">
        <v>205</v>
      </c>
      <c r="B128" s="18" t="s">
        <v>18</v>
      </c>
      <c r="C128" s="18" t="s">
        <v>206</v>
      </c>
      <c r="D128" s="18" t="s">
        <v>60</v>
      </c>
      <c r="E128" s="18" t="s">
        <v>2841</v>
      </c>
      <c r="F128" s="19">
        <v>46306.813877314802</v>
      </c>
      <c r="G128" s="18" t="s">
        <v>21</v>
      </c>
      <c r="H128" s="18" t="s">
        <v>3981</v>
      </c>
      <c r="I128" s="18">
        <v>360</v>
      </c>
      <c r="J128" s="18" t="s">
        <v>22</v>
      </c>
      <c r="K128" s="18" t="s">
        <v>23</v>
      </c>
      <c r="L128" s="18">
        <v>860</v>
      </c>
      <c r="M128" s="18" t="s">
        <v>45</v>
      </c>
      <c r="N128" s="19">
        <v>46306.859571759298</v>
      </c>
      <c r="O128" s="18">
        <v>360</v>
      </c>
      <c r="P128" s="18" t="s">
        <v>25</v>
      </c>
      <c r="Q128" s="18">
        <v>190</v>
      </c>
      <c r="R128" s="3" t="str">
        <f>IF(OR(G128="12R",G128="12L"),_xlfn.XLOOKUP(C128,Tabla42[ADEP],Tabla42[SID 12R],""),IF(OR(G128="30L",G128="30R"),_xlfn.XLOOKUP(C128,Tabla42[ADEP],Tabla42[SID 30L],""),""))</f>
        <v>UDGUV</v>
      </c>
      <c r="S128" s="3">
        <f t="shared" si="1"/>
        <v>19</v>
      </c>
      <c r="T128" s="3" t="str">
        <f>_xlfn.XLOOKUP(C128,Tabla42[ADEP],Tabla42[Sector],"")</f>
        <v>Sector 2</v>
      </c>
    </row>
    <row r="129" spans="1:20" x14ac:dyDescent="0.2">
      <c r="A129" s="18" t="s">
        <v>192</v>
      </c>
      <c r="B129" s="18" t="s">
        <v>18</v>
      </c>
      <c r="C129" s="18" t="s">
        <v>193</v>
      </c>
      <c r="D129" s="18" t="s">
        <v>122</v>
      </c>
      <c r="E129" s="18" t="s">
        <v>3982</v>
      </c>
      <c r="F129" s="19">
        <v>46306.8147916667</v>
      </c>
      <c r="G129" s="18" t="s">
        <v>21</v>
      </c>
      <c r="H129" s="18" t="s">
        <v>3983</v>
      </c>
      <c r="I129" s="18">
        <v>350</v>
      </c>
      <c r="J129" s="18" t="s">
        <v>22</v>
      </c>
      <c r="K129" s="18" t="s">
        <v>23</v>
      </c>
      <c r="L129" s="18">
        <v>368</v>
      </c>
      <c r="M129" s="18" t="s">
        <v>30</v>
      </c>
      <c r="N129" s="19">
        <v>46306.836145833302</v>
      </c>
      <c r="O129" s="18">
        <v>330</v>
      </c>
      <c r="P129" s="18" t="s">
        <v>25</v>
      </c>
      <c r="Q129" s="18">
        <v>40</v>
      </c>
      <c r="R129" s="3" t="str">
        <f>IF(OR(G129="12R",G129="12L"),_xlfn.XLOOKUP(C129,Tabla42[ADEP],Tabla42[SID 12R],""),IF(OR(G129="30L",G129="30R"),_xlfn.XLOOKUP(C129,Tabla42[ADEP],Tabla42[SID 30L],""),""))</f>
        <v>ENEBA</v>
      </c>
      <c r="S129" s="3">
        <f t="shared" si="1"/>
        <v>19</v>
      </c>
      <c r="T129" s="3" t="str">
        <f>_xlfn.XLOOKUP(C129,Tabla42[ADEP],Tabla42[Sector],"")</f>
        <v>Sector 3</v>
      </c>
    </row>
    <row r="130" spans="1:20" x14ac:dyDescent="0.2">
      <c r="A130" s="18" t="s">
        <v>253</v>
      </c>
      <c r="B130" s="18" t="s">
        <v>18</v>
      </c>
      <c r="C130" s="18" t="s">
        <v>254</v>
      </c>
      <c r="D130" s="18" t="s">
        <v>20</v>
      </c>
      <c r="E130" s="18" t="s">
        <v>2209</v>
      </c>
      <c r="F130" s="19">
        <v>46306.815856481502</v>
      </c>
      <c r="G130" s="18" t="s">
        <v>21</v>
      </c>
      <c r="H130" s="18" t="s">
        <v>3984</v>
      </c>
      <c r="I130" s="18">
        <v>340</v>
      </c>
      <c r="J130" s="18" t="s">
        <v>22</v>
      </c>
      <c r="K130" s="18" t="s">
        <v>23</v>
      </c>
      <c r="L130" s="18">
        <v>895</v>
      </c>
      <c r="M130" s="18" t="s">
        <v>35</v>
      </c>
      <c r="N130" s="19">
        <v>46306.863634259302</v>
      </c>
      <c r="O130" s="18">
        <v>340</v>
      </c>
      <c r="P130" s="18" t="s">
        <v>25</v>
      </c>
      <c r="Q130" s="18">
        <v>190</v>
      </c>
      <c r="R130" s="3" t="str">
        <f>IF(OR(G130="12R",G130="12L"),_xlfn.XLOOKUP(C130,Tabla42[ADEP],Tabla42[SID 12R],""),IF(OR(G130="30L",G130="30R"),_xlfn.XLOOKUP(C130,Tabla42[ADEP],Tabla42[SID 30L],""),""))</f>
        <v>UDGUV</v>
      </c>
      <c r="S130" s="3">
        <f t="shared" si="1"/>
        <v>19</v>
      </c>
      <c r="T130" s="3" t="str">
        <f>_xlfn.XLOOKUP(C130,Tabla42[ADEP],Tabla42[Sector],"")</f>
        <v>Sector 2</v>
      </c>
    </row>
    <row r="131" spans="1:20" x14ac:dyDescent="0.2">
      <c r="A131" s="18" t="s">
        <v>251</v>
      </c>
      <c r="B131" s="18" t="s">
        <v>18</v>
      </c>
      <c r="C131" s="18" t="s">
        <v>126</v>
      </c>
      <c r="D131" s="18" t="s">
        <v>60</v>
      </c>
      <c r="E131" s="18" t="s">
        <v>3064</v>
      </c>
      <c r="F131" s="19">
        <v>46306.816863425898</v>
      </c>
      <c r="G131" s="18" t="s">
        <v>21</v>
      </c>
      <c r="H131" s="18" t="s">
        <v>3985</v>
      </c>
      <c r="I131" s="18">
        <v>330</v>
      </c>
      <c r="J131" s="18" t="s">
        <v>22</v>
      </c>
      <c r="K131" s="18" t="s">
        <v>23</v>
      </c>
      <c r="L131" s="18">
        <v>370</v>
      </c>
      <c r="M131" s="18" t="s">
        <v>30</v>
      </c>
      <c r="N131" s="19">
        <v>46306.838483796302</v>
      </c>
      <c r="O131" s="18">
        <v>310</v>
      </c>
      <c r="P131" s="18" t="s">
        <v>25</v>
      </c>
      <c r="Q131" s="18">
        <v>40</v>
      </c>
      <c r="R131" s="3" t="str">
        <f>IF(OR(G131="12R",G131="12L"),_xlfn.XLOOKUP(C131,Tabla42[ADEP],Tabla42[SID 12R],""),IF(OR(G131="30L",G131="30R"),_xlfn.XLOOKUP(C131,Tabla42[ADEP],Tabla42[SID 30L],""),""))</f>
        <v>ENEBA</v>
      </c>
      <c r="S131" s="3">
        <f t="shared" ref="S131:S194" si="2">HOUR(F131)</f>
        <v>19</v>
      </c>
      <c r="T131" s="3" t="str">
        <f>_xlfn.XLOOKUP(C131,Tabla42[ADEP],Tabla42[Sector],"")</f>
        <v>Sector 3</v>
      </c>
    </row>
    <row r="132" spans="1:20" x14ac:dyDescent="0.2">
      <c r="A132" s="18" t="s">
        <v>452</v>
      </c>
      <c r="B132" s="18" t="s">
        <v>18</v>
      </c>
      <c r="C132" s="18" t="s">
        <v>453</v>
      </c>
      <c r="D132" s="18" t="s">
        <v>122</v>
      </c>
      <c r="E132" s="18" t="s">
        <v>704</v>
      </c>
      <c r="F132" s="19">
        <v>46306.818090277797</v>
      </c>
      <c r="G132" s="18" t="s">
        <v>21</v>
      </c>
      <c r="H132" s="18" t="s">
        <v>3986</v>
      </c>
      <c r="I132" s="18">
        <v>340</v>
      </c>
      <c r="J132" s="18" t="s">
        <v>22</v>
      </c>
      <c r="K132" s="18" t="s">
        <v>23</v>
      </c>
      <c r="L132" s="18">
        <v>557</v>
      </c>
      <c r="M132" s="18" t="s">
        <v>123</v>
      </c>
      <c r="N132" s="19">
        <v>46306.847673611097</v>
      </c>
      <c r="O132" s="18">
        <v>340</v>
      </c>
      <c r="P132" s="18" t="s">
        <v>25</v>
      </c>
      <c r="Q132" s="18">
        <v>40</v>
      </c>
      <c r="R132" s="3" t="str">
        <f>IF(OR(G132="12R",G132="12L"),_xlfn.XLOOKUP(C132,Tabla42[ADEP],Tabla42[SID 12R],""),IF(OR(G132="30L",G132="30R"),_xlfn.XLOOKUP(C132,Tabla42[ADEP],Tabla42[SID 30L],""),""))</f>
        <v>OMSUK</v>
      </c>
      <c r="S132" s="3">
        <f t="shared" si="2"/>
        <v>19</v>
      </c>
      <c r="T132" s="3" t="str">
        <f>_xlfn.XLOOKUP(C132,Tabla42[ADEP],Tabla42[Sector],"")</f>
        <v>Sector 3</v>
      </c>
    </row>
    <row r="133" spans="1:20" x14ac:dyDescent="0.2">
      <c r="A133" s="18" t="s">
        <v>259</v>
      </c>
      <c r="B133" s="18" t="s">
        <v>18</v>
      </c>
      <c r="C133" s="18" t="s">
        <v>32</v>
      </c>
      <c r="D133" s="18" t="s">
        <v>53</v>
      </c>
      <c r="E133" s="18" t="s">
        <v>3987</v>
      </c>
      <c r="F133" s="19">
        <v>46306.818935185198</v>
      </c>
      <c r="G133" s="18" t="s">
        <v>21</v>
      </c>
      <c r="H133" s="18" t="s">
        <v>3988</v>
      </c>
      <c r="I133" s="18">
        <v>380</v>
      </c>
      <c r="J133" s="18" t="s">
        <v>22</v>
      </c>
      <c r="K133" s="18" t="s">
        <v>23</v>
      </c>
      <c r="L133" s="18">
        <v>910</v>
      </c>
      <c r="M133" s="18" t="s">
        <v>35</v>
      </c>
      <c r="N133" s="19">
        <v>46306.867337962998</v>
      </c>
      <c r="O133" s="18">
        <v>380</v>
      </c>
      <c r="P133" s="18" t="s">
        <v>25</v>
      </c>
      <c r="Q133" s="18">
        <v>190</v>
      </c>
      <c r="R133" s="3" t="str">
        <f>IF(OR(G133="12R",G133="12L"),_xlfn.XLOOKUP(C133,Tabla42[ADEP],Tabla42[SID 12R],""),IF(OR(G133="30L",G133="30R"),_xlfn.XLOOKUP(C133,Tabla42[ADEP],Tabla42[SID 30L],""),""))</f>
        <v>UDGUV</v>
      </c>
      <c r="S133" s="3">
        <f t="shared" si="2"/>
        <v>19</v>
      </c>
      <c r="T133" s="3" t="str">
        <f>_xlfn.XLOOKUP(C133,Tabla42[ADEP],Tabla42[Sector],"")</f>
        <v>Sector 2</v>
      </c>
    </row>
    <row r="134" spans="1:20" x14ac:dyDescent="0.2">
      <c r="A134" s="18" t="s">
        <v>268</v>
      </c>
      <c r="B134" s="18" t="s">
        <v>18</v>
      </c>
      <c r="C134" s="18" t="s">
        <v>42</v>
      </c>
      <c r="D134" s="18" t="s">
        <v>43</v>
      </c>
      <c r="E134" s="18" t="s">
        <v>527</v>
      </c>
      <c r="F134" s="19">
        <v>46306.820787037002</v>
      </c>
      <c r="G134" s="18" t="s">
        <v>21</v>
      </c>
      <c r="H134" s="18" t="s">
        <v>3989</v>
      </c>
      <c r="I134" s="18">
        <v>360</v>
      </c>
      <c r="J134" s="18" t="s">
        <v>22</v>
      </c>
      <c r="K134" s="18" t="s">
        <v>23</v>
      </c>
      <c r="L134" s="18">
        <v>872</v>
      </c>
      <c r="M134" s="18" t="s">
        <v>45</v>
      </c>
      <c r="N134" s="19">
        <v>46306.867210648103</v>
      </c>
      <c r="O134" s="18">
        <v>360</v>
      </c>
      <c r="P134" s="18" t="s">
        <v>25</v>
      </c>
      <c r="Q134" s="18">
        <v>190</v>
      </c>
      <c r="R134" s="3" t="str">
        <f>IF(OR(G134="12R",G134="12L"),_xlfn.XLOOKUP(C134,Tabla42[ADEP],Tabla42[SID 12R],""),IF(OR(G134="30L",G134="30R"),_xlfn.XLOOKUP(C134,Tabla42[ADEP],Tabla42[SID 30L],""),""))</f>
        <v>UDGUV</v>
      </c>
      <c r="S134" s="3">
        <f t="shared" si="2"/>
        <v>19</v>
      </c>
      <c r="T134" s="3" t="str">
        <f>_xlfn.XLOOKUP(C134,Tabla42[ADEP],Tabla42[Sector],"")</f>
        <v>Sector 2</v>
      </c>
    </row>
    <row r="135" spans="1:20" x14ac:dyDescent="0.2">
      <c r="A135" s="18" t="s">
        <v>304</v>
      </c>
      <c r="B135" s="18" t="s">
        <v>18</v>
      </c>
      <c r="C135" s="18" t="s">
        <v>305</v>
      </c>
      <c r="D135" s="18" t="s">
        <v>33</v>
      </c>
      <c r="E135" s="18" t="s">
        <v>1235</v>
      </c>
      <c r="F135" s="19">
        <v>46306.821736111102</v>
      </c>
      <c r="G135" s="18" t="s">
        <v>21</v>
      </c>
      <c r="H135" s="18" t="s">
        <v>3990</v>
      </c>
      <c r="I135" s="18">
        <v>330</v>
      </c>
      <c r="J135" s="18" t="s">
        <v>22</v>
      </c>
      <c r="K135" s="18" t="s">
        <v>23</v>
      </c>
      <c r="L135" s="18">
        <v>137</v>
      </c>
      <c r="M135" s="18" t="s">
        <v>3015</v>
      </c>
      <c r="N135" s="19">
        <v>46306.831018518496</v>
      </c>
      <c r="O135" s="18">
        <v>229</v>
      </c>
      <c r="P135" s="18" t="s">
        <v>25</v>
      </c>
      <c r="Q135" s="18">
        <v>190</v>
      </c>
      <c r="R135" s="3" t="str">
        <f>IF(OR(G135="12R",G135="12L"),_xlfn.XLOOKUP(C135,Tabla42[ADEP],Tabla42[SID 12R],""),IF(OR(G135="30L",G135="30R"),_xlfn.XLOOKUP(C135,Tabla42[ADEP],Tabla42[SID 30L],""),""))</f>
        <v>OMSUK</v>
      </c>
      <c r="S135" s="3">
        <f t="shared" si="2"/>
        <v>19</v>
      </c>
      <c r="T135" s="3" t="str">
        <f>_xlfn.XLOOKUP(C135,Tabla42[ADEP],Tabla42[Sector],"")</f>
        <v>Sector 3</v>
      </c>
    </row>
    <row r="136" spans="1:20" x14ac:dyDescent="0.2">
      <c r="A136" s="18" t="s">
        <v>3094</v>
      </c>
      <c r="B136" s="18" t="s">
        <v>18</v>
      </c>
      <c r="C136" s="18" t="s">
        <v>190</v>
      </c>
      <c r="D136" s="18" t="s">
        <v>33</v>
      </c>
      <c r="E136" s="18" t="s">
        <v>3991</v>
      </c>
      <c r="F136" s="19">
        <v>46306.822928240697</v>
      </c>
      <c r="G136" s="18" t="s">
        <v>21</v>
      </c>
      <c r="H136" s="18" t="s">
        <v>191</v>
      </c>
      <c r="I136" s="18">
        <v>370</v>
      </c>
      <c r="J136" s="18" t="s">
        <v>22</v>
      </c>
      <c r="K136" s="18" t="s">
        <v>23</v>
      </c>
      <c r="L136" s="18">
        <v>136</v>
      </c>
      <c r="M136" s="18" t="s">
        <v>39</v>
      </c>
      <c r="N136" s="19">
        <v>46306.832187499997</v>
      </c>
      <c r="O136" s="18">
        <v>247</v>
      </c>
      <c r="P136" s="18" t="s">
        <v>25</v>
      </c>
      <c r="Q136" s="18">
        <v>190</v>
      </c>
      <c r="R136" s="3" t="str">
        <f>IF(OR(G136="12R",G136="12L"),_xlfn.XLOOKUP(C136,Tabla42[ADEP],Tabla42[SID 12R],""),IF(OR(G136="30L",G136="30R"),_xlfn.XLOOKUP(C136,Tabla42[ADEP],Tabla42[SID 30L],""),""))</f>
        <v>NUDAL</v>
      </c>
      <c r="S136" s="3">
        <f t="shared" si="2"/>
        <v>19</v>
      </c>
      <c r="T136" s="3" t="str">
        <f>_xlfn.XLOOKUP(C136,Tabla42[ADEP],Tabla42[Sector],"")</f>
        <v>Sector 3</v>
      </c>
    </row>
    <row r="137" spans="1:20" x14ac:dyDescent="0.2">
      <c r="A137" s="18" t="s">
        <v>264</v>
      </c>
      <c r="B137" s="18" t="s">
        <v>18</v>
      </c>
      <c r="C137" s="18" t="s">
        <v>265</v>
      </c>
      <c r="D137" s="18" t="s">
        <v>33</v>
      </c>
      <c r="E137" s="18" t="s">
        <v>140</v>
      </c>
      <c r="F137" s="19">
        <v>46306.824016203696</v>
      </c>
      <c r="G137" s="18" t="s">
        <v>21</v>
      </c>
      <c r="H137" s="18" t="s">
        <v>3992</v>
      </c>
      <c r="I137" s="18">
        <v>380</v>
      </c>
      <c r="J137" s="18" t="s">
        <v>22</v>
      </c>
      <c r="K137" s="18" t="s">
        <v>23</v>
      </c>
      <c r="L137" s="18">
        <v>881</v>
      </c>
      <c r="M137" s="18" t="s">
        <v>167</v>
      </c>
      <c r="N137" s="19">
        <v>46306.870844907397</v>
      </c>
      <c r="O137" s="18">
        <v>380</v>
      </c>
      <c r="P137" s="18" t="s">
        <v>25</v>
      </c>
      <c r="Q137" s="18">
        <v>190</v>
      </c>
      <c r="R137" s="3" t="str">
        <f>IF(OR(G137="12R",G137="12L"),_xlfn.XLOOKUP(C137,Tabla42[ADEP],Tabla42[SID 12R],""),IF(OR(G137="30L",G137="30R"),_xlfn.XLOOKUP(C137,Tabla42[ADEP],Tabla42[SID 30L],""),""))</f>
        <v>UDGUV</v>
      </c>
      <c r="S137" s="3">
        <f t="shared" si="2"/>
        <v>19</v>
      </c>
      <c r="T137" s="3" t="str">
        <f>_xlfn.XLOOKUP(C137,Tabla42[ADEP],Tabla42[Sector],"")</f>
        <v>Sector 2</v>
      </c>
    </row>
    <row r="138" spans="1:20" x14ac:dyDescent="0.2">
      <c r="A138" s="18" t="s">
        <v>143</v>
      </c>
      <c r="B138" s="18" t="s">
        <v>18</v>
      </c>
      <c r="C138" s="18" t="s">
        <v>32</v>
      </c>
      <c r="D138" s="18" t="s">
        <v>20</v>
      </c>
      <c r="E138" s="18" t="s">
        <v>484</v>
      </c>
      <c r="F138" s="19">
        <v>46306.825636574104</v>
      </c>
      <c r="G138" s="18" t="s">
        <v>21</v>
      </c>
      <c r="H138" s="18" t="s">
        <v>3993</v>
      </c>
      <c r="I138" s="18">
        <v>360</v>
      </c>
      <c r="J138" s="18" t="s">
        <v>22</v>
      </c>
      <c r="K138" s="18" t="s">
        <v>23</v>
      </c>
      <c r="L138" s="18">
        <v>877</v>
      </c>
      <c r="M138" s="18" t="s">
        <v>35</v>
      </c>
      <c r="N138" s="19">
        <v>46306.872662037</v>
      </c>
      <c r="O138" s="18">
        <v>360</v>
      </c>
      <c r="P138" s="18" t="s">
        <v>25</v>
      </c>
      <c r="Q138" s="18">
        <v>190</v>
      </c>
      <c r="R138" s="3" t="str">
        <f>IF(OR(G138="12R",G138="12L"),_xlfn.XLOOKUP(C138,Tabla42[ADEP],Tabla42[SID 12R],""),IF(OR(G138="30L",G138="30R"),_xlfn.XLOOKUP(C138,Tabla42[ADEP],Tabla42[SID 30L],""),""))</f>
        <v>UDGUV</v>
      </c>
      <c r="S138" s="3">
        <f t="shared" si="2"/>
        <v>19</v>
      </c>
      <c r="T138" s="3" t="str">
        <f>_xlfn.XLOOKUP(C138,Tabla42[ADEP],Tabla42[Sector],"")</f>
        <v>Sector 2</v>
      </c>
    </row>
    <row r="139" spans="1:20" x14ac:dyDescent="0.2">
      <c r="A139" s="18" t="s">
        <v>199</v>
      </c>
      <c r="B139" s="18" t="s">
        <v>18</v>
      </c>
      <c r="C139" s="18" t="s">
        <v>200</v>
      </c>
      <c r="D139" s="18" t="s">
        <v>110</v>
      </c>
      <c r="E139" s="18" t="s">
        <v>381</v>
      </c>
      <c r="F139" s="19">
        <v>46306.835046296299</v>
      </c>
      <c r="G139" s="18" t="s">
        <v>21</v>
      </c>
      <c r="H139" s="18" t="s">
        <v>3994</v>
      </c>
      <c r="I139" s="18">
        <v>370</v>
      </c>
      <c r="J139" s="18" t="s">
        <v>22</v>
      </c>
      <c r="K139" s="18" t="s">
        <v>23</v>
      </c>
      <c r="L139" s="18">
        <v>363</v>
      </c>
      <c r="M139" s="18" t="s">
        <v>30</v>
      </c>
      <c r="N139" s="19">
        <v>46306.854525463001</v>
      </c>
      <c r="O139" s="18">
        <v>370</v>
      </c>
      <c r="P139" s="18" t="s">
        <v>25</v>
      </c>
      <c r="Q139" s="18">
        <v>40</v>
      </c>
      <c r="R139" s="3" t="str">
        <f>IF(OR(G139="12R",G139="12L"),_xlfn.XLOOKUP(C139,Tabla42[ADEP],Tabla42[SID 12R],""),IF(OR(G139="30L",G139="30R"),_xlfn.XLOOKUP(C139,Tabla42[ADEP],Tabla42[SID 30L],""),""))</f>
        <v>OMSUK</v>
      </c>
      <c r="S139" s="3">
        <f t="shared" si="2"/>
        <v>20</v>
      </c>
      <c r="T139" s="3" t="str">
        <f>_xlfn.XLOOKUP(C139,Tabla42[ADEP],Tabla42[Sector],"")</f>
        <v>Sector 3</v>
      </c>
    </row>
    <row r="140" spans="1:20" x14ac:dyDescent="0.2">
      <c r="A140" s="18" t="s">
        <v>261</v>
      </c>
      <c r="B140" s="18" t="s">
        <v>18</v>
      </c>
      <c r="C140" s="18" t="s">
        <v>158</v>
      </c>
      <c r="D140" s="18" t="s">
        <v>33</v>
      </c>
      <c r="E140" s="18" t="s">
        <v>3995</v>
      </c>
      <c r="F140" s="19">
        <v>46306.837314814802</v>
      </c>
      <c r="G140" s="18" t="s">
        <v>21</v>
      </c>
      <c r="H140" s="18" t="s">
        <v>3996</v>
      </c>
      <c r="I140" s="18">
        <v>350</v>
      </c>
      <c r="J140" s="18" t="s">
        <v>22</v>
      </c>
      <c r="K140" s="18" t="s">
        <v>23</v>
      </c>
      <c r="L140" s="18">
        <v>362</v>
      </c>
      <c r="M140" s="18" t="s">
        <v>30</v>
      </c>
      <c r="N140" s="19">
        <v>46306.857152777797</v>
      </c>
      <c r="O140" s="18">
        <v>350</v>
      </c>
      <c r="P140" s="18" t="s">
        <v>25</v>
      </c>
      <c r="Q140" s="18">
        <v>40</v>
      </c>
      <c r="R140" s="3" t="str">
        <f>IF(OR(G140="12R",G140="12L"),_xlfn.XLOOKUP(C140,Tabla42[ADEP],Tabla42[SID 12R],""),IF(OR(G140="30L",G140="30R"),_xlfn.XLOOKUP(C140,Tabla42[ADEP],Tabla42[SID 30L],""),""))</f>
        <v>OMSUK</v>
      </c>
      <c r="S140" s="3">
        <f t="shared" si="2"/>
        <v>20</v>
      </c>
      <c r="T140" s="3" t="str">
        <f>_xlfn.XLOOKUP(C140,Tabla42[ADEP],Tabla42[Sector],"")</f>
        <v>Sector 3</v>
      </c>
    </row>
    <row r="141" spans="1:20" x14ac:dyDescent="0.2">
      <c r="A141" s="18" t="s">
        <v>745</v>
      </c>
      <c r="B141" s="18" t="s">
        <v>18</v>
      </c>
      <c r="C141" s="18" t="s">
        <v>121</v>
      </c>
      <c r="D141" s="18" t="s">
        <v>122</v>
      </c>
      <c r="E141" s="18" t="s">
        <v>3997</v>
      </c>
      <c r="F141" s="19">
        <v>46306.8386805556</v>
      </c>
      <c r="G141" s="18" t="s">
        <v>21</v>
      </c>
      <c r="H141" s="18" t="s">
        <v>3998</v>
      </c>
      <c r="I141" s="18">
        <v>360</v>
      </c>
      <c r="J141" s="18" t="s">
        <v>22</v>
      </c>
      <c r="K141" s="18" t="s">
        <v>23</v>
      </c>
      <c r="L141" s="18">
        <v>569</v>
      </c>
      <c r="M141" s="18" t="s">
        <v>123</v>
      </c>
      <c r="N141" s="19">
        <v>46306.8695717593</v>
      </c>
      <c r="O141" s="18">
        <v>360</v>
      </c>
      <c r="P141" s="18" t="s">
        <v>25</v>
      </c>
      <c r="Q141" s="18">
        <v>40</v>
      </c>
      <c r="R141" s="3" t="str">
        <f>IF(OR(G141="12R",G141="12L"),_xlfn.XLOOKUP(C141,Tabla42[ADEP],Tabla42[SID 12R],""),IF(OR(G141="30L",G141="30R"),_xlfn.XLOOKUP(C141,Tabla42[ADEP],Tabla42[SID 30L],""),""))</f>
        <v>ENEBA</v>
      </c>
      <c r="S141" s="3">
        <f t="shared" si="2"/>
        <v>20</v>
      </c>
      <c r="T141" s="3" t="str">
        <f>_xlfn.XLOOKUP(C141,Tabla42[ADEP],Tabla42[Sector],"")</f>
        <v>Sector 3</v>
      </c>
    </row>
    <row r="142" spans="1:20" x14ac:dyDescent="0.2">
      <c r="A142" s="18" t="s">
        <v>272</v>
      </c>
      <c r="B142" s="18" t="s">
        <v>18</v>
      </c>
      <c r="C142" s="18" t="s">
        <v>42</v>
      </c>
      <c r="D142" s="18" t="s">
        <v>60</v>
      </c>
      <c r="E142" s="18" t="s">
        <v>114</v>
      </c>
      <c r="F142" s="19">
        <v>46306.839803240699</v>
      </c>
      <c r="G142" s="18" t="s">
        <v>21</v>
      </c>
      <c r="H142" s="18" t="s">
        <v>3999</v>
      </c>
      <c r="I142" s="18">
        <v>360</v>
      </c>
      <c r="J142" s="18" t="s">
        <v>22</v>
      </c>
      <c r="K142" s="18" t="s">
        <v>23</v>
      </c>
      <c r="L142" s="18">
        <v>887</v>
      </c>
      <c r="M142" s="18" t="s">
        <v>45</v>
      </c>
      <c r="N142" s="19">
        <v>46306.887326388904</v>
      </c>
      <c r="O142" s="18">
        <v>340</v>
      </c>
      <c r="P142" s="18" t="s">
        <v>25</v>
      </c>
      <c r="Q142" s="18">
        <v>190</v>
      </c>
      <c r="R142" s="3" t="str">
        <f>IF(OR(G142="12R",G142="12L"),_xlfn.XLOOKUP(C142,Tabla42[ADEP],Tabla42[SID 12R],""),IF(OR(G142="30L",G142="30R"),_xlfn.XLOOKUP(C142,Tabla42[ADEP],Tabla42[SID 30L],""),""))</f>
        <v>UDGUV</v>
      </c>
      <c r="S142" s="3">
        <f t="shared" si="2"/>
        <v>20</v>
      </c>
      <c r="T142" s="3" t="str">
        <f>_xlfn.XLOOKUP(C142,Tabla42[ADEP],Tabla42[Sector],"")</f>
        <v>Sector 2</v>
      </c>
    </row>
    <row r="143" spans="1:20" x14ac:dyDescent="0.2">
      <c r="A143" s="18" t="s">
        <v>278</v>
      </c>
      <c r="B143" s="18" t="s">
        <v>18</v>
      </c>
      <c r="C143" s="18" t="s">
        <v>265</v>
      </c>
      <c r="D143" s="18" t="s">
        <v>53</v>
      </c>
      <c r="E143" s="18" t="s">
        <v>325</v>
      </c>
      <c r="F143" s="19">
        <v>46306.841388888897</v>
      </c>
      <c r="G143" s="18" t="s">
        <v>21</v>
      </c>
      <c r="H143" s="18" t="s">
        <v>4000</v>
      </c>
      <c r="I143" s="18">
        <v>380</v>
      </c>
      <c r="J143" s="18" t="s">
        <v>22</v>
      </c>
      <c r="K143" s="18" t="s">
        <v>23</v>
      </c>
      <c r="L143" s="18">
        <v>872</v>
      </c>
      <c r="M143" s="18" t="s">
        <v>167</v>
      </c>
      <c r="N143" s="19">
        <v>46306.886747685203</v>
      </c>
      <c r="O143" s="18">
        <v>380</v>
      </c>
      <c r="P143" s="18" t="s">
        <v>25</v>
      </c>
      <c r="Q143" s="18">
        <v>190</v>
      </c>
      <c r="R143" s="3" t="str">
        <f>IF(OR(G143="12R",G143="12L"),_xlfn.XLOOKUP(C143,Tabla42[ADEP],Tabla42[SID 12R],""),IF(OR(G143="30L",G143="30R"),_xlfn.XLOOKUP(C143,Tabla42[ADEP],Tabla42[SID 30L],""),""))</f>
        <v>UDGUV</v>
      </c>
      <c r="S143" s="3">
        <f t="shared" si="2"/>
        <v>20</v>
      </c>
      <c r="T143" s="3" t="str">
        <f>_xlfn.XLOOKUP(C143,Tabla42[ADEP],Tabla42[Sector],"")</f>
        <v>Sector 2</v>
      </c>
    </row>
    <row r="144" spans="1:20" x14ac:dyDescent="0.2">
      <c r="A144" s="18" t="s">
        <v>461</v>
      </c>
      <c r="B144" s="18" t="s">
        <v>18</v>
      </c>
      <c r="C144" s="18" t="s">
        <v>223</v>
      </c>
      <c r="D144" s="18" t="s">
        <v>110</v>
      </c>
      <c r="E144" s="18" t="s">
        <v>4001</v>
      </c>
      <c r="F144" s="19">
        <v>46306.842164351903</v>
      </c>
      <c r="G144" s="18" t="s">
        <v>21</v>
      </c>
      <c r="H144" s="18" t="s">
        <v>4002</v>
      </c>
      <c r="I144" s="18">
        <v>370</v>
      </c>
      <c r="J144" s="18" t="s">
        <v>22</v>
      </c>
      <c r="K144" s="18" t="s">
        <v>23</v>
      </c>
      <c r="L144" s="18">
        <v>360</v>
      </c>
      <c r="M144" s="18" t="s">
        <v>30</v>
      </c>
      <c r="N144" s="19">
        <v>46306.861527777801</v>
      </c>
      <c r="O144" s="18">
        <v>370</v>
      </c>
      <c r="P144" s="18" t="s">
        <v>25</v>
      </c>
      <c r="Q144" s="18">
        <v>40</v>
      </c>
      <c r="R144" s="3" t="str">
        <f>IF(OR(G144="12R",G144="12L"),_xlfn.XLOOKUP(C144,Tabla42[ADEP],Tabla42[SID 12R],""),IF(OR(G144="30L",G144="30R"),_xlfn.XLOOKUP(C144,Tabla42[ADEP],Tabla42[SID 30L],""),""))</f>
        <v>OMSUK</v>
      </c>
      <c r="S144" s="3">
        <f t="shared" si="2"/>
        <v>20</v>
      </c>
      <c r="T144" s="3" t="str">
        <f>_xlfn.XLOOKUP(C144,Tabla42[ADEP],Tabla42[Sector],"")</f>
        <v>Sector 3</v>
      </c>
    </row>
    <row r="145" spans="1:20" x14ac:dyDescent="0.2">
      <c r="A145" s="18" t="s">
        <v>280</v>
      </c>
      <c r="B145" s="18" t="s">
        <v>18</v>
      </c>
      <c r="C145" s="18" t="s">
        <v>49</v>
      </c>
      <c r="D145" s="18" t="s">
        <v>53</v>
      </c>
      <c r="E145" s="18" t="s">
        <v>4003</v>
      </c>
      <c r="F145" s="19">
        <v>46306.8429861111</v>
      </c>
      <c r="G145" s="18" t="s">
        <v>21</v>
      </c>
      <c r="H145" s="18" t="s">
        <v>4004</v>
      </c>
      <c r="I145" s="18">
        <v>380</v>
      </c>
      <c r="J145" s="18" t="s">
        <v>22</v>
      </c>
      <c r="K145" s="18" t="s">
        <v>23</v>
      </c>
      <c r="L145" s="18">
        <v>869</v>
      </c>
      <c r="M145" s="18" t="s">
        <v>45</v>
      </c>
      <c r="N145" s="19">
        <v>46306.888993055603</v>
      </c>
      <c r="O145" s="18">
        <v>380</v>
      </c>
      <c r="P145" s="18" t="s">
        <v>25</v>
      </c>
      <c r="Q145" s="18">
        <v>190</v>
      </c>
      <c r="R145" s="3" t="str">
        <f>IF(OR(G145="12R",G145="12L"),_xlfn.XLOOKUP(C145,Tabla42[ADEP],Tabla42[SID 12R],""),IF(OR(G145="30L",G145="30R"),_xlfn.XLOOKUP(C145,Tabla42[ADEP],Tabla42[SID 30L],""),""))</f>
        <v>UDGUV</v>
      </c>
      <c r="S145" s="3">
        <f t="shared" si="2"/>
        <v>20</v>
      </c>
      <c r="T145" s="3" t="str">
        <f>_xlfn.XLOOKUP(C145,Tabla42[ADEP],Tabla42[Sector],"")</f>
        <v>Sector 2</v>
      </c>
    </row>
    <row r="146" spans="1:20" x14ac:dyDescent="0.2">
      <c r="A146" s="18" t="s">
        <v>4005</v>
      </c>
      <c r="B146" s="18" t="s">
        <v>18</v>
      </c>
      <c r="C146" s="18" t="s">
        <v>109</v>
      </c>
      <c r="D146" s="18" t="s">
        <v>38</v>
      </c>
      <c r="E146" s="18" t="s">
        <v>4006</v>
      </c>
      <c r="F146" s="19">
        <v>46306.847291666701</v>
      </c>
      <c r="G146" s="18" t="s">
        <v>21</v>
      </c>
      <c r="H146" s="18" t="s">
        <v>4007</v>
      </c>
      <c r="I146" s="18">
        <v>410</v>
      </c>
      <c r="J146" s="18" t="s">
        <v>22</v>
      </c>
      <c r="K146" s="18" t="s">
        <v>455</v>
      </c>
      <c r="L146" s="18">
        <v>136</v>
      </c>
      <c r="M146" s="18" t="s">
        <v>39</v>
      </c>
      <c r="N146" s="19">
        <v>46306.8563194444</v>
      </c>
      <c r="O146" s="18">
        <v>272</v>
      </c>
      <c r="P146" s="18" t="s">
        <v>40</v>
      </c>
      <c r="Q146" s="18">
        <v>190</v>
      </c>
      <c r="R146" s="3" t="str">
        <f>IF(OR(G146="12R",G146="12L"),_xlfn.XLOOKUP(C146,Tabla42[ADEP],Tabla42[SID 12R],""),IF(OR(G146="30L",G146="30R"),_xlfn.XLOOKUP(C146,Tabla42[ADEP],Tabla42[SID 30L],""),""))</f>
        <v>TAKUX</v>
      </c>
      <c r="S146" s="3">
        <f t="shared" si="2"/>
        <v>20</v>
      </c>
      <c r="T146" s="3" t="str">
        <f>_xlfn.XLOOKUP(C146,Tabla42[ADEP],Tabla42[Sector],"")</f>
        <v>Sector 7</v>
      </c>
    </row>
    <row r="147" spans="1:20" x14ac:dyDescent="0.2">
      <c r="A147" s="18" t="s">
        <v>274</v>
      </c>
      <c r="B147" s="18" t="s">
        <v>18</v>
      </c>
      <c r="C147" s="18" t="s">
        <v>96</v>
      </c>
      <c r="D147" s="18" t="s">
        <v>53</v>
      </c>
      <c r="E147" s="18" t="s">
        <v>4008</v>
      </c>
      <c r="F147" s="19">
        <v>46306.848900463003</v>
      </c>
      <c r="G147" s="18" t="s">
        <v>21</v>
      </c>
      <c r="H147" s="18" t="s">
        <v>4009</v>
      </c>
      <c r="I147" s="18">
        <v>380</v>
      </c>
      <c r="J147" s="18" t="s">
        <v>22</v>
      </c>
      <c r="K147" s="18" t="s">
        <v>23</v>
      </c>
      <c r="L147" s="18">
        <v>910</v>
      </c>
      <c r="M147" s="18" t="s">
        <v>45</v>
      </c>
      <c r="N147" s="19">
        <v>46306.897418981498</v>
      </c>
      <c r="O147" s="18">
        <v>380</v>
      </c>
      <c r="P147" s="18" t="s">
        <v>25</v>
      </c>
      <c r="Q147" s="18">
        <v>190</v>
      </c>
      <c r="R147" s="3" t="str">
        <f>IF(OR(G147="12R",G147="12L"),_xlfn.XLOOKUP(C147,Tabla42[ADEP],Tabla42[SID 12R],""),IF(OR(G147="30L",G147="30R"),_xlfn.XLOOKUP(C147,Tabla42[ADEP],Tabla42[SID 30L],""),""))</f>
        <v>UDGUV</v>
      </c>
      <c r="S147" s="3">
        <f t="shared" si="2"/>
        <v>20</v>
      </c>
      <c r="T147" s="3" t="str">
        <f>_xlfn.XLOOKUP(C147,Tabla42[ADEP],Tabla42[Sector],"")</f>
        <v>Sector 2</v>
      </c>
    </row>
    <row r="148" spans="1:20" x14ac:dyDescent="0.2">
      <c r="A148" s="18" t="s">
        <v>282</v>
      </c>
      <c r="B148" s="18" t="s">
        <v>18</v>
      </c>
      <c r="C148" s="18" t="s">
        <v>42</v>
      </c>
      <c r="D148" s="18" t="s">
        <v>20</v>
      </c>
      <c r="E148" s="18" t="s">
        <v>661</v>
      </c>
      <c r="F148" s="19">
        <v>46306.850671296299</v>
      </c>
      <c r="G148" s="18" t="s">
        <v>21</v>
      </c>
      <c r="H148" s="18" t="s">
        <v>4010</v>
      </c>
      <c r="I148" s="18">
        <v>360</v>
      </c>
      <c r="J148" s="18" t="s">
        <v>22</v>
      </c>
      <c r="K148" s="18" t="s">
        <v>23</v>
      </c>
      <c r="L148" s="18">
        <v>869</v>
      </c>
      <c r="M148" s="18" t="s">
        <v>45</v>
      </c>
      <c r="N148" s="19">
        <v>46306.895509259302</v>
      </c>
      <c r="O148" s="18">
        <v>360</v>
      </c>
      <c r="P148" s="18" t="s">
        <v>25</v>
      </c>
      <c r="Q148" s="18">
        <v>190</v>
      </c>
      <c r="R148" s="3" t="str">
        <f>IF(OR(G148="12R",G148="12L"),_xlfn.XLOOKUP(C148,Tabla42[ADEP],Tabla42[SID 12R],""),IF(OR(G148="30L",G148="30R"),_xlfn.XLOOKUP(C148,Tabla42[ADEP],Tabla42[SID 30L],""),""))</f>
        <v>UDGUV</v>
      </c>
      <c r="S148" s="3">
        <f t="shared" si="2"/>
        <v>20</v>
      </c>
      <c r="T148" s="3" t="str">
        <f>_xlfn.XLOOKUP(C148,Tabla42[ADEP],Tabla42[Sector],"")</f>
        <v>Sector 2</v>
      </c>
    </row>
    <row r="149" spans="1:20" x14ac:dyDescent="0.2">
      <c r="A149" s="18" t="s">
        <v>665</v>
      </c>
      <c r="B149" s="18" t="s">
        <v>18</v>
      </c>
      <c r="C149" s="18" t="s">
        <v>206</v>
      </c>
      <c r="D149" s="18" t="s">
        <v>53</v>
      </c>
      <c r="E149" s="18" t="s">
        <v>2564</v>
      </c>
      <c r="F149" s="19">
        <v>46306.854930555601</v>
      </c>
      <c r="G149" s="18" t="s">
        <v>21</v>
      </c>
      <c r="H149" s="18" t="s">
        <v>4011</v>
      </c>
      <c r="I149" s="18">
        <v>380</v>
      </c>
      <c r="J149" s="18" t="s">
        <v>22</v>
      </c>
      <c r="K149" s="18" t="s">
        <v>23</v>
      </c>
      <c r="L149" s="18">
        <v>1059</v>
      </c>
      <c r="M149" s="18" t="s">
        <v>2812</v>
      </c>
      <c r="N149" s="19">
        <v>46306.911805555603</v>
      </c>
      <c r="O149" s="18">
        <v>347</v>
      </c>
      <c r="P149" s="18" t="s">
        <v>25</v>
      </c>
      <c r="Q149" s="18">
        <v>190</v>
      </c>
      <c r="R149" s="3" t="str">
        <f>IF(OR(G149="12R",G149="12L"),_xlfn.XLOOKUP(C149,Tabla42[ADEP],Tabla42[SID 12R],""),IF(OR(G149="30L",G149="30R"),_xlfn.XLOOKUP(C149,Tabla42[ADEP],Tabla42[SID 30L],""),""))</f>
        <v>UDGUV</v>
      </c>
      <c r="S149" s="3">
        <f t="shared" si="2"/>
        <v>20</v>
      </c>
      <c r="T149" s="3" t="str">
        <f>_xlfn.XLOOKUP(C149,Tabla42[ADEP],Tabla42[Sector],"")</f>
        <v>Sector 2</v>
      </c>
    </row>
    <row r="150" spans="1:20" x14ac:dyDescent="0.2">
      <c r="A150" s="18" t="s">
        <v>283</v>
      </c>
      <c r="B150" s="18" t="s">
        <v>18</v>
      </c>
      <c r="C150" s="18" t="s">
        <v>126</v>
      </c>
      <c r="D150" s="18" t="s">
        <v>117</v>
      </c>
      <c r="E150" s="18" t="s">
        <v>4012</v>
      </c>
      <c r="F150" s="19">
        <v>46306.856122685203</v>
      </c>
      <c r="G150" s="18" t="s">
        <v>21</v>
      </c>
      <c r="H150" s="18" t="s">
        <v>4013</v>
      </c>
      <c r="I150" s="18">
        <v>330</v>
      </c>
      <c r="J150" s="18" t="s">
        <v>22</v>
      </c>
      <c r="K150" s="18" t="s">
        <v>23</v>
      </c>
      <c r="L150" s="18">
        <v>363</v>
      </c>
      <c r="M150" s="18" t="s">
        <v>30</v>
      </c>
      <c r="N150" s="19">
        <v>46306.875729166699</v>
      </c>
      <c r="O150" s="18">
        <v>330</v>
      </c>
      <c r="P150" s="18" t="s">
        <v>25</v>
      </c>
      <c r="Q150" s="18">
        <v>40</v>
      </c>
      <c r="R150" s="3" t="str">
        <f>IF(OR(G150="12R",G150="12L"),_xlfn.XLOOKUP(C150,Tabla42[ADEP],Tabla42[SID 12R],""),IF(OR(G150="30L",G150="30R"),_xlfn.XLOOKUP(C150,Tabla42[ADEP],Tabla42[SID 30L],""),""))</f>
        <v>ENEBA</v>
      </c>
      <c r="S150" s="3">
        <f t="shared" si="2"/>
        <v>20</v>
      </c>
      <c r="T150" s="3" t="str">
        <f>_xlfn.XLOOKUP(C150,Tabla42[ADEP],Tabla42[Sector],"")</f>
        <v>Sector 3</v>
      </c>
    </row>
    <row r="151" spans="1:20" x14ac:dyDescent="0.2">
      <c r="A151" s="18" t="s">
        <v>271</v>
      </c>
      <c r="B151" s="18" t="s">
        <v>18</v>
      </c>
      <c r="C151" s="18" t="s">
        <v>116</v>
      </c>
      <c r="D151" s="18" t="s">
        <v>43</v>
      </c>
      <c r="E151" s="18" t="s">
        <v>466</v>
      </c>
      <c r="F151" s="19">
        <v>46306.857592592598</v>
      </c>
      <c r="G151" s="18" t="s">
        <v>21</v>
      </c>
      <c r="H151" s="18" t="s">
        <v>4014</v>
      </c>
      <c r="I151" s="18">
        <v>340</v>
      </c>
      <c r="J151" s="18" t="s">
        <v>22</v>
      </c>
      <c r="K151" s="18" t="s">
        <v>23</v>
      </c>
      <c r="L151" s="18">
        <v>537</v>
      </c>
      <c r="M151" s="18" t="s">
        <v>123</v>
      </c>
      <c r="N151" s="19">
        <v>46306.887557870403</v>
      </c>
      <c r="O151" s="18">
        <v>320</v>
      </c>
      <c r="P151" s="18" t="s">
        <v>25</v>
      </c>
      <c r="Q151" s="18">
        <v>40</v>
      </c>
      <c r="R151" s="3" t="str">
        <f>IF(OR(G151="12R",G151="12L"),_xlfn.XLOOKUP(C151,Tabla42[ADEP],Tabla42[SID 12R],""),IF(OR(G151="30L",G151="30R"),_xlfn.XLOOKUP(C151,Tabla42[ADEP],Tabla42[SID 30L],""),""))</f>
        <v>ENEBA</v>
      </c>
      <c r="S151" s="3">
        <f t="shared" si="2"/>
        <v>20</v>
      </c>
      <c r="T151" s="3" t="str">
        <f>_xlfn.XLOOKUP(C151,Tabla42[ADEP],Tabla42[Sector],"")</f>
        <v>Sector 3</v>
      </c>
    </row>
    <row r="152" spans="1:20" x14ac:dyDescent="0.2">
      <c r="A152" s="18" t="s">
        <v>262</v>
      </c>
      <c r="B152" s="18" t="s">
        <v>18</v>
      </c>
      <c r="C152" s="18" t="s">
        <v>263</v>
      </c>
      <c r="D152" s="18" t="s">
        <v>33</v>
      </c>
      <c r="E152" s="18" t="s">
        <v>1449</v>
      </c>
      <c r="F152" s="19">
        <v>46306.859143518501</v>
      </c>
      <c r="G152" s="18" t="s">
        <v>21</v>
      </c>
      <c r="H152" s="18" t="s">
        <v>4015</v>
      </c>
      <c r="I152" s="18">
        <v>370</v>
      </c>
      <c r="J152" s="18" t="s">
        <v>22</v>
      </c>
      <c r="K152" s="18" t="s">
        <v>23</v>
      </c>
      <c r="L152" s="18">
        <v>359</v>
      </c>
      <c r="M152" s="18" t="s">
        <v>30</v>
      </c>
      <c r="N152" s="19">
        <v>46306.878993055601</v>
      </c>
      <c r="O152" s="18">
        <v>370</v>
      </c>
      <c r="P152" s="18" t="s">
        <v>25</v>
      </c>
      <c r="Q152" s="18">
        <v>40</v>
      </c>
      <c r="R152" s="3" t="str">
        <f>IF(OR(G152="12R",G152="12L"),_xlfn.XLOOKUP(C152,Tabla42[ADEP],Tabla42[SID 12R],""),IF(OR(G152="30L",G152="30R"),_xlfn.XLOOKUP(C152,Tabla42[ADEP],Tabla42[SID 30L],""),""))</f>
        <v>OMSUK</v>
      </c>
      <c r="S152" s="3">
        <f t="shared" si="2"/>
        <v>20</v>
      </c>
      <c r="T152" s="3" t="str">
        <f>_xlfn.XLOOKUP(C152,Tabla42[ADEP],Tabla42[Sector],"")</f>
        <v>Sector 3</v>
      </c>
    </row>
    <row r="153" spans="1:20" x14ac:dyDescent="0.2">
      <c r="A153" s="18" t="s">
        <v>3768</v>
      </c>
      <c r="B153" s="18" t="s">
        <v>18</v>
      </c>
      <c r="C153" s="18" t="s">
        <v>209</v>
      </c>
      <c r="D153" s="18" t="s">
        <v>124</v>
      </c>
      <c r="E153" s="18"/>
      <c r="F153" s="19">
        <v>46306.861875000002</v>
      </c>
      <c r="G153" s="18" t="s">
        <v>21</v>
      </c>
      <c r="H153" s="18" t="s">
        <v>4016</v>
      </c>
      <c r="I153" s="18">
        <v>380</v>
      </c>
      <c r="J153" s="18" t="s">
        <v>22</v>
      </c>
      <c r="K153" s="18" t="s">
        <v>50</v>
      </c>
      <c r="L153" s="18">
        <v>534</v>
      </c>
      <c r="M153" s="18" t="s">
        <v>123</v>
      </c>
      <c r="N153" s="19">
        <v>46306.894340277802</v>
      </c>
      <c r="O153" s="18">
        <v>380</v>
      </c>
      <c r="P153" s="18" t="s">
        <v>25</v>
      </c>
      <c r="Q153" s="18">
        <v>30</v>
      </c>
      <c r="R153" s="3" t="str">
        <f>IF(OR(G153="12R",G153="12L"),_xlfn.XLOOKUP(C153,Tabla42[ADEP],Tabla42[SID 12R],""),IF(OR(G153="30L",G153="30R"),_xlfn.XLOOKUP(C153,Tabla42[ADEP],Tabla42[SID 30L],""),""))</f>
        <v>ENEBA</v>
      </c>
      <c r="S153" s="3">
        <f t="shared" si="2"/>
        <v>20</v>
      </c>
      <c r="T153" s="3" t="str">
        <f>_xlfn.XLOOKUP(C153,Tabla42[ADEP],Tabla42[Sector],"")</f>
        <v>Sector 3</v>
      </c>
    </row>
    <row r="154" spans="1:20" x14ac:dyDescent="0.2">
      <c r="A154" s="18" t="s">
        <v>399</v>
      </c>
      <c r="B154" s="18" t="s">
        <v>18</v>
      </c>
      <c r="C154" s="18" t="s">
        <v>400</v>
      </c>
      <c r="D154" s="18" t="s">
        <v>53</v>
      </c>
      <c r="E154" s="18" t="s">
        <v>727</v>
      </c>
      <c r="F154" s="19">
        <v>46306.864074074103</v>
      </c>
      <c r="G154" s="18" t="s">
        <v>21</v>
      </c>
      <c r="H154" s="18" t="s">
        <v>4017</v>
      </c>
      <c r="I154" s="18">
        <v>380</v>
      </c>
      <c r="J154" s="18" t="s">
        <v>22</v>
      </c>
      <c r="K154" s="18" t="s">
        <v>23</v>
      </c>
      <c r="L154" s="18">
        <v>889</v>
      </c>
      <c r="M154" s="18" t="s">
        <v>4018</v>
      </c>
      <c r="N154" s="19">
        <v>46306.910601851901</v>
      </c>
      <c r="O154" s="18">
        <v>380</v>
      </c>
      <c r="P154" s="18" t="s">
        <v>25</v>
      </c>
      <c r="Q154" s="18">
        <v>190</v>
      </c>
      <c r="R154" s="3" t="str">
        <f>IF(OR(G154="12R",G154="12L"),_xlfn.XLOOKUP(C154,Tabla42[ADEP],Tabla42[SID 12R],""),IF(OR(G154="30L",G154="30R"),_xlfn.XLOOKUP(C154,Tabla42[ADEP],Tabla42[SID 30L],""),""))</f>
        <v>UDGUV</v>
      </c>
      <c r="S154" s="3">
        <f t="shared" si="2"/>
        <v>20</v>
      </c>
      <c r="T154" s="3" t="str">
        <f>_xlfn.XLOOKUP(C154,Tabla42[ADEP],Tabla42[Sector],"")</f>
        <v>Sector 2</v>
      </c>
    </row>
    <row r="155" spans="1:20" x14ac:dyDescent="0.2">
      <c r="A155" s="18" t="s">
        <v>256</v>
      </c>
      <c r="B155" s="18" t="s">
        <v>18</v>
      </c>
      <c r="C155" s="18" t="s">
        <v>257</v>
      </c>
      <c r="D155" s="18" t="s">
        <v>117</v>
      </c>
      <c r="E155" s="18" t="s">
        <v>4019</v>
      </c>
      <c r="F155" s="19">
        <v>46306.865474537</v>
      </c>
      <c r="G155" s="18" t="s">
        <v>21</v>
      </c>
      <c r="H155" s="18" t="s">
        <v>4020</v>
      </c>
      <c r="I155" s="18">
        <v>300</v>
      </c>
      <c r="J155" s="18" t="s">
        <v>22</v>
      </c>
      <c r="K155" s="18" t="s">
        <v>23</v>
      </c>
      <c r="L155" s="18">
        <v>892</v>
      </c>
      <c r="M155" s="18" t="s">
        <v>35</v>
      </c>
      <c r="N155" s="19">
        <v>46306.912002314799</v>
      </c>
      <c r="O155" s="18">
        <v>320</v>
      </c>
      <c r="P155" s="18" t="s">
        <v>25</v>
      </c>
      <c r="Q155" s="18">
        <v>190</v>
      </c>
      <c r="R155" s="3" t="str">
        <f>IF(OR(G155="12R",G155="12L"),_xlfn.XLOOKUP(C155,Tabla42[ADEP],Tabla42[SID 12R],""),IF(OR(G155="30L",G155="30R"),_xlfn.XLOOKUP(C155,Tabla42[ADEP],Tabla42[SID 30L],""),""))</f>
        <v>UDGUV</v>
      </c>
      <c r="S155" s="3">
        <f t="shared" si="2"/>
        <v>20</v>
      </c>
      <c r="T155" s="3" t="str">
        <f>_xlfn.XLOOKUP(C155,Tabla42[ADEP],Tabla42[Sector],"")</f>
        <v>Sector 2</v>
      </c>
    </row>
    <row r="156" spans="1:20" x14ac:dyDescent="0.2">
      <c r="A156" s="18" t="s">
        <v>469</v>
      </c>
      <c r="B156" s="18" t="s">
        <v>18</v>
      </c>
      <c r="C156" s="18" t="s">
        <v>42</v>
      </c>
      <c r="D156" s="18" t="s">
        <v>43</v>
      </c>
      <c r="E156" s="18" t="s">
        <v>382</v>
      </c>
      <c r="F156" s="19">
        <v>46306.866817129601</v>
      </c>
      <c r="G156" s="18" t="s">
        <v>21</v>
      </c>
      <c r="H156" s="18" t="s">
        <v>4021</v>
      </c>
      <c r="I156" s="18">
        <v>360</v>
      </c>
      <c r="J156" s="18" t="s">
        <v>22</v>
      </c>
      <c r="K156" s="18" t="s">
        <v>23</v>
      </c>
      <c r="L156" s="18">
        <v>869</v>
      </c>
      <c r="M156" s="18" t="s">
        <v>45</v>
      </c>
      <c r="N156" s="19">
        <v>46306.913541666698</v>
      </c>
      <c r="O156" s="18">
        <v>360</v>
      </c>
      <c r="P156" s="18" t="s">
        <v>25</v>
      </c>
      <c r="Q156" s="18">
        <v>190</v>
      </c>
      <c r="R156" s="3" t="str">
        <f>IF(OR(G156="12R",G156="12L"),_xlfn.XLOOKUP(C156,Tabla42[ADEP],Tabla42[SID 12R],""),IF(OR(G156="30L",G156="30R"),_xlfn.XLOOKUP(C156,Tabla42[ADEP],Tabla42[SID 30L],""),""))</f>
        <v>UDGUV</v>
      </c>
      <c r="S156" s="3">
        <f t="shared" si="2"/>
        <v>20</v>
      </c>
      <c r="T156" s="3" t="str">
        <f>_xlfn.XLOOKUP(C156,Tabla42[ADEP],Tabla42[Sector],"")</f>
        <v>Sector 2</v>
      </c>
    </row>
    <row r="157" spans="1:20" x14ac:dyDescent="0.2">
      <c r="A157" s="18" t="s">
        <v>476</v>
      </c>
      <c r="B157" s="18" t="s">
        <v>18</v>
      </c>
      <c r="C157" s="18" t="s">
        <v>188</v>
      </c>
      <c r="D157" s="18" t="s">
        <v>43</v>
      </c>
      <c r="E157" s="18" t="s">
        <v>4022</v>
      </c>
      <c r="F157" s="19">
        <v>46306.876134259299</v>
      </c>
      <c r="G157" s="18" t="s">
        <v>21</v>
      </c>
      <c r="H157" s="18" t="s">
        <v>4023</v>
      </c>
      <c r="I157" s="18">
        <v>310</v>
      </c>
      <c r="J157" s="18" t="s">
        <v>22</v>
      </c>
      <c r="K157" s="18" t="s">
        <v>23</v>
      </c>
      <c r="L157" s="18">
        <v>360</v>
      </c>
      <c r="M157" s="18" t="s">
        <v>30</v>
      </c>
      <c r="N157" s="19">
        <v>46306.896921296298</v>
      </c>
      <c r="O157" s="18">
        <v>310</v>
      </c>
      <c r="P157" s="18" t="s">
        <v>25</v>
      </c>
      <c r="Q157" s="18">
        <v>40</v>
      </c>
      <c r="R157" s="3" t="str">
        <f>IF(OR(G157="12R",G157="12L"),_xlfn.XLOOKUP(C157,Tabla42[ADEP],Tabla42[SID 12R],""),IF(OR(G157="30L",G157="30R"),_xlfn.XLOOKUP(C157,Tabla42[ADEP],Tabla42[SID 30L],""),""))</f>
        <v>ENEBA</v>
      </c>
      <c r="S157" s="3">
        <f t="shared" si="2"/>
        <v>21</v>
      </c>
      <c r="T157" s="3" t="str">
        <f>_xlfn.XLOOKUP(C157,Tabla42[ADEP],Tabla42[Sector],"")</f>
        <v>Sector 3</v>
      </c>
    </row>
    <row r="158" spans="1:20" x14ac:dyDescent="0.2">
      <c r="A158" s="18" t="s">
        <v>296</v>
      </c>
      <c r="B158" s="18" t="s">
        <v>18</v>
      </c>
      <c r="C158" s="18" t="s">
        <v>121</v>
      </c>
      <c r="D158" s="18" t="s">
        <v>122</v>
      </c>
      <c r="E158" s="18" t="s">
        <v>4024</v>
      </c>
      <c r="F158" s="19">
        <v>46306.878657407397</v>
      </c>
      <c r="G158" s="18" t="s">
        <v>21</v>
      </c>
      <c r="H158" s="18" t="s">
        <v>4025</v>
      </c>
      <c r="I158" s="18">
        <v>360</v>
      </c>
      <c r="J158" s="18" t="s">
        <v>22</v>
      </c>
      <c r="K158" s="18" t="s">
        <v>23</v>
      </c>
      <c r="L158" s="18">
        <v>530</v>
      </c>
      <c r="M158" s="18" t="s">
        <v>123</v>
      </c>
      <c r="N158" s="19">
        <v>46306.907337962999</v>
      </c>
      <c r="O158" s="18">
        <v>340</v>
      </c>
      <c r="P158" s="18" t="s">
        <v>25</v>
      </c>
      <c r="Q158" s="18">
        <v>40</v>
      </c>
      <c r="R158" s="3" t="str">
        <f>IF(OR(G158="12R",G158="12L"),_xlfn.XLOOKUP(C158,Tabla42[ADEP],Tabla42[SID 12R],""),IF(OR(G158="30L",G158="30R"),_xlfn.XLOOKUP(C158,Tabla42[ADEP],Tabla42[SID 30L],""),""))</f>
        <v>ENEBA</v>
      </c>
      <c r="S158" s="3">
        <f t="shared" si="2"/>
        <v>21</v>
      </c>
      <c r="T158" s="3" t="str">
        <f>_xlfn.XLOOKUP(C158,Tabla42[ADEP],Tabla42[Sector],"")</f>
        <v>Sector 3</v>
      </c>
    </row>
    <row r="159" spans="1:20" x14ac:dyDescent="0.2">
      <c r="A159" s="18" t="s">
        <v>294</v>
      </c>
      <c r="B159" s="18" t="s">
        <v>18</v>
      </c>
      <c r="C159" s="18" t="s">
        <v>128</v>
      </c>
      <c r="D159" s="18" t="s">
        <v>43</v>
      </c>
      <c r="E159" s="18" t="s">
        <v>746</v>
      </c>
      <c r="F159" s="19">
        <v>46306.881412037001</v>
      </c>
      <c r="G159" s="18" t="s">
        <v>21</v>
      </c>
      <c r="H159" s="18" t="s">
        <v>4026</v>
      </c>
      <c r="I159" s="18">
        <v>330</v>
      </c>
      <c r="J159" s="18" t="s">
        <v>22</v>
      </c>
      <c r="K159" s="18" t="s">
        <v>23</v>
      </c>
      <c r="L159" s="18">
        <v>363</v>
      </c>
      <c r="M159" s="18" t="s">
        <v>30</v>
      </c>
      <c r="N159" s="19">
        <v>46306.901990740698</v>
      </c>
      <c r="O159" s="18">
        <v>330</v>
      </c>
      <c r="P159" s="18" t="s">
        <v>25</v>
      </c>
      <c r="Q159" s="18">
        <v>40</v>
      </c>
      <c r="R159" s="3" t="str">
        <f>IF(OR(G159="12R",G159="12L"),_xlfn.XLOOKUP(C159,Tabla42[ADEP],Tabla42[SID 12R],""),IF(OR(G159="30L",G159="30R"),_xlfn.XLOOKUP(C159,Tabla42[ADEP],Tabla42[SID 30L],""),""))</f>
        <v>OMSUK</v>
      </c>
      <c r="S159" s="3">
        <f t="shared" si="2"/>
        <v>21</v>
      </c>
      <c r="T159" s="3" t="str">
        <f>_xlfn.XLOOKUP(C159,Tabla42[ADEP],Tabla42[Sector],"")</f>
        <v>Sector 3</v>
      </c>
    </row>
    <row r="160" spans="1:20" x14ac:dyDescent="0.2">
      <c r="A160" s="18" t="s">
        <v>302</v>
      </c>
      <c r="B160" s="18" t="s">
        <v>18</v>
      </c>
      <c r="C160" s="18" t="s">
        <v>303</v>
      </c>
      <c r="D160" s="18" t="s">
        <v>28</v>
      </c>
      <c r="E160" s="18" t="s">
        <v>4027</v>
      </c>
      <c r="F160" s="19">
        <v>46306.8833101852</v>
      </c>
      <c r="G160" s="18" t="s">
        <v>21</v>
      </c>
      <c r="H160" s="18" t="s">
        <v>4028</v>
      </c>
      <c r="I160" s="18">
        <v>360</v>
      </c>
      <c r="J160" s="18" t="s">
        <v>22</v>
      </c>
      <c r="K160" s="18" t="s">
        <v>23</v>
      </c>
      <c r="L160" s="18">
        <v>577</v>
      </c>
      <c r="M160" s="18" t="s">
        <v>123</v>
      </c>
      <c r="N160" s="19">
        <v>46306.914942129602</v>
      </c>
      <c r="O160" s="18">
        <v>360</v>
      </c>
      <c r="P160" s="18" t="s">
        <v>25</v>
      </c>
      <c r="Q160" s="18">
        <v>40</v>
      </c>
      <c r="R160" s="3" t="str">
        <f>IF(OR(G160="12R",G160="12L"),_xlfn.XLOOKUP(C160,Tabla42[ADEP],Tabla42[SID 12R],""),IF(OR(G160="30L",G160="30R"),_xlfn.XLOOKUP(C160,Tabla42[ADEP],Tabla42[SID 30L],""),""))</f>
        <v>OMSUK</v>
      </c>
      <c r="S160" s="3">
        <f t="shared" si="2"/>
        <v>21</v>
      </c>
      <c r="T160" s="3" t="str">
        <f>_xlfn.XLOOKUP(C160,Tabla42[ADEP],Tabla42[Sector],"")</f>
        <v>Sector 3</v>
      </c>
    </row>
    <row r="161" spans="1:20" x14ac:dyDescent="0.2">
      <c r="A161" s="18" t="s">
        <v>289</v>
      </c>
      <c r="B161" s="18" t="s">
        <v>18</v>
      </c>
      <c r="C161" s="18" t="s">
        <v>290</v>
      </c>
      <c r="D161" s="18" t="s">
        <v>53</v>
      </c>
      <c r="E161" s="18" t="s">
        <v>2278</v>
      </c>
      <c r="F161" s="19">
        <v>46306.886840277803</v>
      </c>
      <c r="G161" s="18" t="s">
        <v>21</v>
      </c>
      <c r="H161" s="18" t="s">
        <v>4029</v>
      </c>
      <c r="I161" s="18">
        <v>350</v>
      </c>
      <c r="J161" s="18" t="s">
        <v>22</v>
      </c>
      <c r="K161" s="18" t="s">
        <v>23</v>
      </c>
      <c r="L161" s="18">
        <v>219</v>
      </c>
      <c r="M161" s="18" t="s">
        <v>55</v>
      </c>
      <c r="N161" s="19">
        <v>46306.900914351798</v>
      </c>
      <c r="O161" s="18">
        <v>304</v>
      </c>
      <c r="P161" s="18" t="s">
        <v>25</v>
      </c>
      <c r="Q161" s="18">
        <v>190</v>
      </c>
      <c r="R161" s="3" t="str">
        <f>IF(OR(G161="12R",G161="12L"),_xlfn.XLOOKUP(C161,Tabla42[ADEP],Tabla42[SID 12R],""),IF(OR(G161="30L",G161="30R"),_xlfn.XLOOKUP(C161,Tabla42[ADEP],Tabla42[SID 30L],""),""))</f>
        <v>CZM</v>
      </c>
      <c r="S161" s="3">
        <f t="shared" si="2"/>
        <v>21</v>
      </c>
      <c r="T161" s="3" t="str">
        <f>_xlfn.XLOOKUP(C161,Tabla42[ADEP],Tabla42[Sector],"")</f>
        <v>Sector 7</v>
      </c>
    </row>
    <row r="162" spans="1:20" x14ac:dyDescent="0.2">
      <c r="A162" s="18" t="s">
        <v>292</v>
      </c>
      <c r="B162" s="18" t="s">
        <v>18</v>
      </c>
      <c r="C162" s="18" t="s">
        <v>293</v>
      </c>
      <c r="D162" s="18" t="s">
        <v>43</v>
      </c>
      <c r="E162" s="18" t="s">
        <v>4030</v>
      </c>
      <c r="F162" s="19">
        <v>46306.887847222199</v>
      </c>
      <c r="G162" s="18" t="s">
        <v>21</v>
      </c>
      <c r="H162" s="18" t="s">
        <v>4031</v>
      </c>
      <c r="I162" s="18">
        <v>320</v>
      </c>
      <c r="J162" s="18" t="s">
        <v>22</v>
      </c>
      <c r="K162" s="18" t="s">
        <v>23</v>
      </c>
      <c r="L162" s="18">
        <v>529</v>
      </c>
      <c r="M162" s="18" t="s">
        <v>123</v>
      </c>
      <c r="N162" s="19">
        <v>46306.916365740697</v>
      </c>
      <c r="O162" s="18">
        <v>320</v>
      </c>
      <c r="P162" s="18" t="s">
        <v>25</v>
      </c>
      <c r="Q162" s="18">
        <v>40</v>
      </c>
      <c r="R162" s="3" t="str">
        <f>IF(OR(G162="12R",G162="12L"),_xlfn.XLOOKUP(C162,Tabla42[ADEP],Tabla42[SID 12R],""),IF(OR(G162="30L",G162="30R"),_xlfn.XLOOKUP(C162,Tabla42[ADEP],Tabla42[SID 30L],""),""))</f>
        <v>UDGUV</v>
      </c>
      <c r="S162" s="3">
        <f t="shared" si="2"/>
        <v>21</v>
      </c>
      <c r="T162" s="3" t="str">
        <f>_xlfn.XLOOKUP(C162,Tabla42[ADEP],Tabla42[Sector],"")</f>
        <v>Sector 2</v>
      </c>
    </row>
    <row r="163" spans="1:20" x14ac:dyDescent="0.2">
      <c r="A163" s="18" t="s">
        <v>1280</v>
      </c>
      <c r="B163" s="18" t="s">
        <v>18</v>
      </c>
      <c r="C163" s="18" t="s">
        <v>742</v>
      </c>
      <c r="D163" s="18" t="s">
        <v>28</v>
      </c>
      <c r="E163" s="18" t="s">
        <v>4032</v>
      </c>
      <c r="F163" s="19">
        <v>46306.888680555603</v>
      </c>
      <c r="G163" s="18" t="s">
        <v>21</v>
      </c>
      <c r="H163" s="18" t="s">
        <v>4033</v>
      </c>
      <c r="I163" s="18">
        <v>340</v>
      </c>
      <c r="J163" s="18" t="s">
        <v>22</v>
      </c>
      <c r="K163" s="18" t="s">
        <v>23</v>
      </c>
      <c r="L163" s="18">
        <v>756</v>
      </c>
      <c r="M163" s="18" t="s">
        <v>210</v>
      </c>
      <c r="N163" s="19">
        <v>46306.927881944401</v>
      </c>
      <c r="O163" s="18">
        <v>340</v>
      </c>
      <c r="P163" s="18" t="s">
        <v>25</v>
      </c>
      <c r="Q163" s="18">
        <v>190</v>
      </c>
      <c r="R163" s="3" t="str">
        <f>IF(OR(G163="12R",G163="12L"),_xlfn.XLOOKUP(C163,Tabla42[ADEP],Tabla42[SID 12R],""),IF(OR(G163="30L",G163="30R"),_xlfn.XLOOKUP(C163,Tabla42[ADEP],Tabla42[SID 30L],""),""))</f>
        <v>UDGUV</v>
      </c>
      <c r="S163" s="3">
        <f t="shared" si="2"/>
        <v>21</v>
      </c>
      <c r="T163" s="3" t="str">
        <f>_xlfn.XLOOKUP(C163,Tabla42[ADEP],Tabla42[Sector],"")</f>
        <v>Sector 2</v>
      </c>
    </row>
    <row r="164" spans="1:20" x14ac:dyDescent="0.2">
      <c r="A164" s="18" t="s">
        <v>301</v>
      </c>
      <c r="B164" s="18" t="s">
        <v>18</v>
      </c>
      <c r="C164" s="18" t="s">
        <v>32</v>
      </c>
      <c r="D164" s="18" t="s">
        <v>53</v>
      </c>
      <c r="E164" s="18" t="s">
        <v>277</v>
      </c>
      <c r="F164" s="19">
        <v>46306.89</v>
      </c>
      <c r="G164" s="18" t="s">
        <v>21</v>
      </c>
      <c r="H164" s="18" t="s">
        <v>4034</v>
      </c>
      <c r="I164" s="18">
        <v>380</v>
      </c>
      <c r="J164" s="18" t="s">
        <v>22</v>
      </c>
      <c r="K164" s="18" t="s">
        <v>23</v>
      </c>
      <c r="L164" s="18">
        <v>1026</v>
      </c>
      <c r="M164" s="18" t="s">
        <v>35</v>
      </c>
      <c r="N164" s="19">
        <v>46306.943923611099</v>
      </c>
      <c r="O164" s="18">
        <v>380</v>
      </c>
      <c r="P164" s="18" t="s">
        <v>25</v>
      </c>
      <c r="Q164" s="18">
        <v>190</v>
      </c>
      <c r="R164" s="3" t="str">
        <f>IF(OR(G164="12R",G164="12L"),_xlfn.XLOOKUP(C164,Tabla42[ADEP],Tabla42[SID 12R],""),IF(OR(G164="30L",G164="30R"),_xlfn.XLOOKUP(C164,Tabla42[ADEP],Tabla42[SID 30L],""),""))</f>
        <v>UDGUV</v>
      </c>
      <c r="S164" s="3">
        <f t="shared" si="2"/>
        <v>21</v>
      </c>
      <c r="T164" s="3" t="str">
        <f>_xlfn.XLOOKUP(C164,Tabla42[ADEP],Tabla42[Sector],"")</f>
        <v>Sector 2</v>
      </c>
    </row>
    <row r="165" spans="1:20" x14ac:dyDescent="0.2">
      <c r="A165" s="18" t="s">
        <v>266</v>
      </c>
      <c r="B165" s="18" t="s">
        <v>18</v>
      </c>
      <c r="C165" s="18" t="s">
        <v>184</v>
      </c>
      <c r="D165" s="18" t="s">
        <v>60</v>
      </c>
      <c r="E165" s="18" t="s">
        <v>805</v>
      </c>
      <c r="F165" s="19">
        <v>46306.8908912037</v>
      </c>
      <c r="G165" s="18" t="s">
        <v>21</v>
      </c>
      <c r="H165" s="18" t="s">
        <v>4035</v>
      </c>
      <c r="I165" s="18">
        <v>350</v>
      </c>
      <c r="J165" s="18" t="s">
        <v>22</v>
      </c>
      <c r="K165" s="18" t="s">
        <v>23</v>
      </c>
      <c r="L165" s="18">
        <v>359</v>
      </c>
      <c r="M165" s="18" t="s">
        <v>30</v>
      </c>
      <c r="N165" s="19">
        <v>46306.911331018498</v>
      </c>
      <c r="O165" s="18">
        <v>350</v>
      </c>
      <c r="P165" s="18" t="s">
        <v>25</v>
      </c>
      <c r="Q165" s="18">
        <v>40</v>
      </c>
      <c r="R165" s="3" t="str">
        <f>IF(OR(G165="12R",G165="12L"),_xlfn.XLOOKUP(C165,Tabla42[ADEP],Tabla42[SID 12R],""),IF(OR(G165="30L",G165="30R"),_xlfn.XLOOKUP(C165,Tabla42[ADEP],Tabla42[SID 30L],""),""))</f>
        <v>OMSUK</v>
      </c>
      <c r="S165" s="3">
        <f t="shared" si="2"/>
        <v>21</v>
      </c>
      <c r="T165" s="3" t="str">
        <f>_xlfn.XLOOKUP(C165,Tabla42[ADEP],Tabla42[Sector],"")</f>
        <v>Sector 3</v>
      </c>
    </row>
    <row r="166" spans="1:20" x14ac:dyDescent="0.2">
      <c r="A166" s="18" t="s">
        <v>673</v>
      </c>
      <c r="B166" s="18" t="s">
        <v>18</v>
      </c>
      <c r="C166" s="18" t="s">
        <v>137</v>
      </c>
      <c r="D166" s="18" t="s">
        <v>340</v>
      </c>
      <c r="E166" s="18" t="s">
        <v>4036</v>
      </c>
      <c r="F166" s="19">
        <v>46306.892222222203</v>
      </c>
      <c r="G166" s="18" t="s">
        <v>21</v>
      </c>
      <c r="H166" s="18" t="s">
        <v>4037</v>
      </c>
      <c r="I166" s="18">
        <v>390</v>
      </c>
      <c r="J166" s="18" t="s">
        <v>22</v>
      </c>
      <c r="K166" s="18" t="s">
        <v>23</v>
      </c>
      <c r="L166" s="18">
        <v>136</v>
      </c>
      <c r="M166" s="18" t="s">
        <v>741</v>
      </c>
      <c r="N166" s="19">
        <v>46306.901620370401</v>
      </c>
      <c r="O166" s="18">
        <v>278</v>
      </c>
      <c r="P166" s="18" t="s">
        <v>40</v>
      </c>
      <c r="Q166" s="18">
        <v>190</v>
      </c>
      <c r="R166" s="3" t="str">
        <f>IF(OR(G166="12R",G166="12L"),_xlfn.XLOOKUP(C166,Tabla42[ADEP],Tabla42[SID 12R],""),IF(OR(G166="30L",G166="30R"),_xlfn.XLOOKUP(C166,Tabla42[ADEP],Tabla42[SID 30L],""),""))</f>
        <v>NUDAL</v>
      </c>
      <c r="S166" s="3">
        <f t="shared" si="2"/>
        <v>21</v>
      </c>
      <c r="T166" s="3" t="str">
        <f>_xlfn.XLOOKUP(C166,Tabla42[ADEP],Tabla42[Sector],"")</f>
        <v>Sector 3</v>
      </c>
    </row>
    <row r="167" spans="1:20" x14ac:dyDescent="0.2">
      <c r="A167" s="18" t="s">
        <v>480</v>
      </c>
      <c r="B167" s="18" t="s">
        <v>18</v>
      </c>
      <c r="C167" s="18" t="s">
        <v>164</v>
      </c>
      <c r="D167" s="18" t="s">
        <v>43</v>
      </c>
      <c r="E167" s="18" t="s">
        <v>979</v>
      </c>
      <c r="F167" s="19">
        <v>46306.893553240698</v>
      </c>
      <c r="G167" s="18" t="s">
        <v>21</v>
      </c>
      <c r="H167" s="18" t="s">
        <v>4038</v>
      </c>
      <c r="I167" s="18">
        <v>330</v>
      </c>
      <c r="J167" s="18" t="s">
        <v>22</v>
      </c>
      <c r="K167" s="18" t="s">
        <v>23</v>
      </c>
      <c r="L167" s="18">
        <v>359</v>
      </c>
      <c r="M167" s="18" t="s">
        <v>30</v>
      </c>
      <c r="N167" s="19">
        <v>46306.9136574074</v>
      </c>
      <c r="O167" s="18">
        <v>330</v>
      </c>
      <c r="P167" s="18" t="s">
        <v>25</v>
      </c>
      <c r="Q167" s="18">
        <v>40</v>
      </c>
      <c r="R167" s="3" t="str">
        <f>IF(OR(G167="12R",G167="12L"),_xlfn.XLOOKUP(C167,Tabla42[ADEP],Tabla42[SID 12R],""),IF(OR(G167="30L",G167="30R"),_xlfn.XLOOKUP(C167,Tabla42[ADEP],Tabla42[SID 30L],""),""))</f>
        <v>OMSUK</v>
      </c>
      <c r="S167" s="3">
        <f t="shared" si="2"/>
        <v>21</v>
      </c>
      <c r="T167" s="3" t="str">
        <f>_xlfn.XLOOKUP(C167,Tabla42[ADEP],Tabla42[Sector],"")</f>
        <v>Sector 3</v>
      </c>
    </row>
    <row r="168" spans="1:20" x14ac:dyDescent="0.2">
      <c r="A168" s="18" t="s">
        <v>765</v>
      </c>
      <c r="B168" s="18" t="s">
        <v>18</v>
      </c>
      <c r="C168" s="18" t="s">
        <v>158</v>
      </c>
      <c r="D168" s="18" t="s">
        <v>60</v>
      </c>
      <c r="E168" s="18" t="s">
        <v>4039</v>
      </c>
      <c r="F168" s="19">
        <v>46306.895671296297</v>
      </c>
      <c r="G168" s="18" t="s">
        <v>21</v>
      </c>
      <c r="H168" s="18" t="s">
        <v>4040</v>
      </c>
      <c r="I168" s="18">
        <v>310</v>
      </c>
      <c r="J168" s="18" t="s">
        <v>22</v>
      </c>
      <c r="K168" s="18" t="s">
        <v>23</v>
      </c>
      <c r="L168" s="18">
        <v>365</v>
      </c>
      <c r="M168" s="18" t="s">
        <v>30</v>
      </c>
      <c r="N168" s="19">
        <v>46306.916284722203</v>
      </c>
      <c r="O168" s="18">
        <v>310</v>
      </c>
      <c r="P168" s="18" t="s">
        <v>25</v>
      </c>
      <c r="Q168" s="18">
        <v>40</v>
      </c>
      <c r="R168" s="3" t="str">
        <f>IF(OR(G168="12R",G168="12L"),_xlfn.XLOOKUP(C168,Tabla42[ADEP],Tabla42[SID 12R],""),IF(OR(G168="30L",G168="30R"),_xlfn.XLOOKUP(C168,Tabla42[ADEP],Tabla42[SID 30L],""),""))</f>
        <v>OMSUK</v>
      </c>
      <c r="S168" s="3">
        <f t="shared" si="2"/>
        <v>21</v>
      </c>
      <c r="T168" s="3" t="str">
        <f>_xlfn.XLOOKUP(C168,Tabla42[ADEP],Tabla42[Sector],"")</f>
        <v>Sector 3</v>
      </c>
    </row>
    <row r="169" spans="1:20" x14ac:dyDescent="0.2">
      <c r="A169" s="18" t="s">
        <v>309</v>
      </c>
      <c r="B169" s="18" t="s">
        <v>18</v>
      </c>
      <c r="C169" s="18" t="s">
        <v>19</v>
      </c>
      <c r="D169" s="18" t="s">
        <v>20</v>
      </c>
      <c r="E169" s="18" t="s">
        <v>4041</v>
      </c>
      <c r="F169" s="19">
        <v>46306.896585648101</v>
      </c>
      <c r="G169" s="18" t="s">
        <v>21</v>
      </c>
      <c r="H169" s="18" t="s">
        <v>4042</v>
      </c>
      <c r="I169" s="18">
        <v>360</v>
      </c>
      <c r="J169" s="18" t="s">
        <v>22</v>
      </c>
      <c r="K169" s="18" t="s">
        <v>23</v>
      </c>
      <c r="L169" s="18">
        <v>941</v>
      </c>
      <c r="M169" s="18" t="s">
        <v>24</v>
      </c>
      <c r="N169" s="19">
        <v>46306.945729166699</v>
      </c>
      <c r="O169" s="18">
        <v>360</v>
      </c>
      <c r="P169" s="18" t="s">
        <v>25</v>
      </c>
      <c r="Q169" s="18">
        <v>190</v>
      </c>
      <c r="R169" s="3" t="str">
        <f>IF(OR(G169="12R",G169="12L"),_xlfn.XLOOKUP(C169,Tabla42[ADEP],Tabla42[SID 12R],""),IF(OR(G169="30L",G169="30R"),_xlfn.XLOOKUP(C169,Tabla42[ADEP],Tabla42[SID 30L],""),""))</f>
        <v>UDGUV</v>
      </c>
      <c r="S169" s="3">
        <f t="shared" si="2"/>
        <v>21</v>
      </c>
      <c r="T169" s="3" t="str">
        <f>_xlfn.XLOOKUP(C169,Tabla42[ADEP],Tabla42[Sector],"")</f>
        <v>Sector 2</v>
      </c>
    </row>
    <row r="170" spans="1:20" x14ac:dyDescent="0.2">
      <c r="A170" s="18" t="s">
        <v>4043</v>
      </c>
      <c r="B170" s="18" t="s">
        <v>18</v>
      </c>
      <c r="C170" s="18" t="s">
        <v>49</v>
      </c>
      <c r="D170" s="18" t="s">
        <v>3146</v>
      </c>
      <c r="E170" s="18"/>
      <c r="F170" s="19">
        <v>46306.897974537002</v>
      </c>
      <c r="G170" s="18" t="s">
        <v>21</v>
      </c>
      <c r="H170" s="18" t="s">
        <v>4044</v>
      </c>
      <c r="I170" s="18">
        <v>430</v>
      </c>
      <c r="J170" s="18" t="s">
        <v>22</v>
      </c>
      <c r="K170" s="18" t="s">
        <v>50</v>
      </c>
      <c r="L170" s="18">
        <v>872</v>
      </c>
      <c r="M170" s="18" t="s">
        <v>45</v>
      </c>
      <c r="N170" s="19">
        <v>46306.942233796297</v>
      </c>
      <c r="O170" s="18">
        <v>430</v>
      </c>
      <c r="P170" s="18" t="s">
        <v>25</v>
      </c>
      <c r="Q170" s="18">
        <v>30</v>
      </c>
      <c r="R170" s="3" t="str">
        <f>IF(OR(G170="12R",G170="12L"),_xlfn.XLOOKUP(C170,Tabla42[ADEP],Tabla42[SID 12R],""),IF(OR(G170="30L",G170="30R"),_xlfn.XLOOKUP(C170,Tabla42[ADEP],Tabla42[SID 30L],""),""))</f>
        <v>UDGUV</v>
      </c>
      <c r="S170" s="3">
        <f t="shared" si="2"/>
        <v>21</v>
      </c>
      <c r="T170" s="3" t="str">
        <f>_xlfn.XLOOKUP(C170,Tabla42[ADEP],Tabla42[Sector],"")</f>
        <v>Sector 2</v>
      </c>
    </row>
    <row r="171" spans="1:20" x14ac:dyDescent="0.2">
      <c r="A171" s="18" t="s">
        <v>475</v>
      </c>
      <c r="B171" s="18" t="s">
        <v>18</v>
      </c>
      <c r="C171" s="18" t="s">
        <v>293</v>
      </c>
      <c r="D171" s="18" t="s">
        <v>28</v>
      </c>
      <c r="E171" s="18" t="s">
        <v>4045</v>
      </c>
      <c r="F171" s="19">
        <v>46306.898854166699</v>
      </c>
      <c r="G171" s="18" t="s">
        <v>21</v>
      </c>
      <c r="H171" s="18" t="s">
        <v>4046</v>
      </c>
      <c r="I171" s="18">
        <v>340</v>
      </c>
      <c r="J171" s="18" t="s">
        <v>22</v>
      </c>
      <c r="K171" s="18" t="s">
        <v>23</v>
      </c>
      <c r="L171" s="18">
        <v>540</v>
      </c>
      <c r="M171" s="18" t="s">
        <v>123</v>
      </c>
      <c r="N171" s="19">
        <v>46306.927233796298</v>
      </c>
      <c r="O171" s="18">
        <v>340</v>
      </c>
      <c r="P171" s="18" t="s">
        <v>25</v>
      </c>
      <c r="Q171" s="18">
        <v>40</v>
      </c>
      <c r="R171" s="3" t="str">
        <f>IF(OR(G171="12R",G171="12L"),_xlfn.XLOOKUP(C171,Tabla42[ADEP],Tabla42[SID 12R],""),IF(OR(G171="30L",G171="30R"),_xlfn.XLOOKUP(C171,Tabla42[ADEP],Tabla42[SID 30L],""),""))</f>
        <v>UDGUV</v>
      </c>
      <c r="S171" s="3">
        <f t="shared" si="2"/>
        <v>21</v>
      </c>
      <c r="T171" s="3" t="str">
        <f>_xlfn.XLOOKUP(C171,Tabla42[ADEP],Tabla42[Sector],"")</f>
        <v>Sector 2</v>
      </c>
    </row>
    <row r="172" spans="1:20" x14ac:dyDescent="0.2">
      <c r="A172" s="18" t="s">
        <v>315</v>
      </c>
      <c r="B172" s="18" t="s">
        <v>18</v>
      </c>
      <c r="C172" s="18" t="s">
        <v>96</v>
      </c>
      <c r="D172" s="18" t="s">
        <v>60</v>
      </c>
      <c r="E172" s="18" t="s">
        <v>2648</v>
      </c>
      <c r="F172" s="19">
        <v>46306.900173611102</v>
      </c>
      <c r="G172" s="18" t="s">
        <v>21</v>
      </c>
      <c r="H172" s="18" t="s">
        <v>4047</v>
      </c>
      <c r="I172" s="18">
        <v>340</v>
      </c>
      <c r="J172" s="18" t="s">
        <v>22</v>
      </c>
      <c r="K172" s="18" t="s">
        <v>141</v>
      </c>
      <c r="L172" s="18">
        <v>859</v>
      </c>
      <c r="M172" s="18" t="s">
        <v>45</v>
      </c>
      <c r="N172" s="19">
        <v>46306.944652777798</v>
      </c>
      <c r="O172" s="18">
        <v>340</v>
      </c>
      <c r="P172" s="18" t="s">
        <v>25</v>
      </c>
      <c r="Q172" s="18">
        <v>190</v>
      </c>
      <c r="R172" s="3" t="str">
        <f>IF(OR(G172="12R",G172="12L"),_xlfn.XLOOKUP(C172,Tabla42[ADEP],Tabla42[SID 12R],""),IF(OR(G172="30L",G172="30R"),_xlfn.XLOOKUP(C172,Tabla42[ADEP],Tabla42[SID 30L],""),""))</f>
        <v>UDGUV</v>
      </c>
      <c r="S172" s="3">
        <f t="shared" si="2"/>
        <v>21</v>
      </c>
      <c r="T172" s="3" t="str">
        <f>_xlfn.XLOOKUP(C172,Tabla42[ADEP],Tabla42[Sector],"")</f>
        <v>Sector 2</v>
      </c>
    </row>
    <row r="173" spans="1:20" x14ac:dyDescent="0.2">
      <c r="A173" s="18" t="s">
        <v>299</v>
      </c>
      <c r="B173" s="18" t="s">
        <v>18</v>
      </c>
      <c r="C173" s="18" t="s">
        <v>300</v>
      </c>
      <c r="D173" s="18" t="s">
        <v>117</v>
      </c>
      <c r="E173" s="18" t="s">
        <v>4048</v>
      </c>
      <c r="F173" s="19">
        <v>46306.900937500002</v>
      </c>
      <c r="G173" s="18" t="s">
        <v>21</v>
      </c>
      <c r="H173" s="18" t="s">
        <v>4049</v>
      </c>
      <c r="I173" s="18">
        <v>320</v>
      </c>
      <c r="J173" s="18" t="s">
        <v>22</v>
      </c>
      <c r="K173" s="18" t="s">
        <v>23</v>
      </c>
      <c r="L173" s="18">
        <v>531</v>
      </c>
      <c r="M173" s="18" t="s">
        <v>123</v>
      </c>
      <c r="N173" s="19">
        <v>46306.929027777798</v>
      </c>
      <c r="O173" s="18">
        <v>320</v>
      </c>
      <c r="P173" s="18" t="s">
        <v>25</v>
      </c>
      <c r="Q173" s="18">
        <v>40</v>
      </c>
      <c r="R173" s="3" t="str">
        <f>IF(OR(G173="12R",G173="12L"),_xlfn.XLOOKUP(C173,Tabla42[ADEP],Tabla42[SID 12R],""),IF(OR(G173="30L",G173="30R"),_xlfn.XLOOKUP(C173,Tabla42[ADEP],Tabla42[SID 30L],""),""))</f>
        <v>OMSUK</v>
      </c>
      <c r="S173" s="3">
        <f t="shared" si="2"/>
        <v>21</v>
      </c>
      <c r="T173" s="3" t="str">
        <f>_xlfn.XLOOKUP(C173,Tabla42[ADEP],Tabla42[Sector],"")</f>
        <v>Sector 3</v>
      </c>
    </row>
    <row r="174" spans="1:20" x14ac:dyDescent="0.2">
      <c r="A174" s="18" t="s">
        <v>477</v>
      </c>
      <c r="B174" s="18" t="s">
        <v>18</v>
      </c>
      <c r="C174" s="18" t="s">
        <v>478</v>
      </c>
      <c r="D174" s="18" t="s">
        <v>20</v>
      </c>
      <c r="E174" s="18" t="s">
        <v>4050</v>
      </c>
      <c r="F174" s="19">
        <v>46306.903738425899</v>
      </c>
      <c r="G174" s="18" t="s">
        <v>21</v>
      </c>
      <c r="H174" s="18" t="s">
        <v>4051</v>
      </c>
      <c r="I174" s="18">
        <v>340</v>
      </c>
      <c r="J174" s="18" t="s">
        <v>22</v>
      </c>
      <c r="K174" s="18" t="s">
        <v>23</v>
      </c>
      <c r="L174" s="18">
        <v>700</v>
      </c>
      <c r="M174" s="18" t="s">
        <v>4052</v>
      </c>
      <c r="N174" s="19">
        <v>46306.940127314803</v>
      </c>
      <c r="O174" s="18">
        <v>340</v>
      </c>
      <c r="P174" s="18" t="s">
        <v>25</v>
      </c>
      <c r="Q174" s="18">
        <v>40</v>
      </c>
      <c r="R174" s="3" t="str">
        <f>IF(OR(G174="12R",G174="12L"),_xlfn.XLOOKUP(C174,Tabla42[ADEP],Tabla42[SID 12R],""),IF(OR(G174="30L",G174="30R"),_xlfn.XLOOKUP(C174,Tabla42[ADEP],Tabla42[SID 30L],""),""))</f>
        <v>ENEBA</v>
      </c>
      <c r="S174" s="3">
        <f t="shared" si="2"/>
        <v>21</v>
      </c>
      <c r="T174" s="3" t="str">
        <f>_xlfn.XLOOKUP(C174,Tabla42[ADEP],Tabla42[Sector],"")</f>
        <v>Sector 3</v>
      </c>
    </row>
    <row r="175" spans="1:20" x14ac:dyDescent="0.2">
      <c r="A175" s="18" t="s">
        <v>308</v>
      </c>
      <c r="B175" s="18" t="s">
        <v>18</v>
      </c>
      <c r="C175" s="18" t="s">
        <v>137</v>
      </c>
      <c r="D175" s="18" t="s">
        <v>122</v>
      </c>
      <c r="E175" s="18" t="s">
        <v>4053</v>
      </c>
      <c r="F175" s="19">
        <v>46306.905196759297</v>
      </c>
      <c r="G175" s="18" t="s">
        <v>21</v>
      </c>
      <c r="H175" s="18" t="s">
        <v>386</v>
      </c>
      <c r="I175" s="18">
        <v>370</v>
      </c>
      <c r="J175" s="18" t="s">
        <v>22</v>
      </c>
      <c r="K175" s="18" t="s">
        <v>23</v>
      </c>
      <c r="L175" s="18">
        <v>136</v>
      </c>
      <c r="M175" s="18" t="s">
        <v>39</v>
      </c>
      <c r="N175" s="19">
        <v>46306.914212962998</v>
      </c>
      <c r="O175" s="18">
        <v>264</v>
      </c>
      <c r="P175" s="18" t="s">
        <v>25</v>
      </c>
      <c r="Q175" s="18">
        <v>190</v>
      </c>
      <c r="R175" s="3" t="str">
        <f>IF(OR(G175="12R",G175="12L"),_xlfn.XLOOKUP(C175,Tabla42[ADEP],Tabla42[SID 12R],""),IF(OR(G175="30L",G175="30R"),_xlfn.XLOOKUP(C175,Tabla42[ADEP],Tabla42[SID 30L],""),""))</f>
        <v>NUDAL</v>
      </c>
      <c r="S175" s="3">
        <f t="shared" si="2"/>
        <v>21</v>
      </c>
      <c r="T175" s="3" t="str">
        <f>_xlfn.XLOOKUP(C175,Tabla42[ADEP],Tabla42[Sector],"")</f>
        <v>Sector 3</v>
      </c>
    </row>
    <row r="176" spans="1:20" x14ac:dyDescent="0.2">
      <c r="A176" s="18" t="s">
        <v>467</v>
      </c>
      <c r="B176" s="18" t="s">
        <v>18</v>
      </c>
      <c r="C176" s="18" t="s">
        <v>184</v>
      </c>
      <c r="D176" s="18" t="s">
        <v>60</v>
      </c>
      <c r="E176" s="18" t="s">
        <v>2223</v>
      </c>
      <c r="F176" s="19">
        <v>46306.906458333302</v>
      </c>
      <c r="G176" s="18" t="s">
        <v>21</v>
      </c>
      <c r="H176" s="18" t="s">
        <v>4054</v>
      </c>
      <c r="I176" s="18">
        <v>350</v>
      </c>
      <c r="J176" s="18" t="s">
        <v>22</v>
      </c>
      <c r="K176" s="18" t="s">
        <v>23</v>
      </c>
      <c r="L176" s="18">
        <v>362</v>
      </c>
      <c r="M176" s="18" t="s">
        <v>30</v>
      </c>
      <c r="N176" s="19">
        <v>46306.926481481503</v>
      </c>
      <c r="O176" s="18">
        <v>350</v>
      </c>
      <c r="P176" s="18" t="s">
        <v>25</v>
      </c>
      <c r="Q176" s="18">
        <v>40</v>
      </c>
      <c r="R176" s="3" t="str">
        <f>IF(OR(G176="12R",G176="12L"),_xlfn.XLOOKUP(C176,Tabla42[ADEP],Tabla42[SID 12R],""),IF(OR(G176="30L",G176="30R"),_xlfn.XLOOKUP(C176,Tabla42[ADEP],Tabla42[SID 30L],""),""))</f>
        <v>OMSUK</v>
      </c>
      <c r="S176" s="3">
        <f t="shared" si="2"/>
        <v>21</v>
      </c>
      <c r="T176" s="3" t="str">
        <f>_xlfn.XLOOKUP(C176,Tabla42[ADEP],Tabla42[Sector],"")</f>
        <v>Sector 3</v>
      </c>
    </row>
    <row r="177" spans="1:20" x14ac:dyDescent="0.2">
      <c r="A177" s="18" t="s">
        <v>671</v>
      </c>
      <c r="B177" s="18" t="s">
        <v>18</v>
      </c>
      <c r="C177" s="18" t="s">
        <v>297</v>
      </c>
      <c r="D177" s="18" t="s">
        <v>243</v>
      </c>
      <c r="E177" s="18" t="s">
        <v>298</v>
      </c>
      <c r="F177" s="19">
        <v>46306.913067129601</v>
      </c>
      <c r="G177" s="18" t="s">
        <v>21</v>
      </c>
      <c r="H177" s="18" t="s">
        <v>4055</v>
      </c>
      <c r="I177" s="18">
        <v>370</v>
      </c>
      <c r="J177" s="18" t="s">
        <v>22</v>
      </c>
      <c r="K177" s="18" t="s">
        <v>23</v>
      </c>
      <c r="L177" s="18">
        <v>359</v>
      </c>
      <c r="M177" s="18" t="s">
        <v>30</v>
      </c>
      <c r="N177" s="19">
        <v>46306.932511574101</v>
      </c>
      <c r="O177" s="18">
        <v>370</v>
      </c>
      <c r="P177" s="18" t="s">
        <v>40</v>
      </c>
      <c r="Q177" s="18">
        <v>40</v>
      </c>
      <c r="R177" s="3" t="str">
        <f>IF(OR(G177="12R",G177="12L"),_xlfn.XLOOKUP(C177,Tabla42[ADEP],Tabla42[SID 12R],""),IF(OR(G177="30L",G177="30R"),_xlfn.XLOOKUP(C177,Tabla42[ADEP],Tabla42[SID 30L],""),""))</f>
        <v>NUDAL</v>
      </c>
      <c r="S177" s="3">
        <f t="shared" si="2"/>
        <v>21</v>
      </c>
      <c r="T177" s="3" t="str">
        <f>_xlfn.XLOOKUP(C177,Tabla42[ADEP],Tabla42[Sector],"")</f>
        <v>Sector 3</v>
      </c>
    </row>
    <row r="178" spans="1:20" x14ac:dyDescent="0.2">
      <c r="A178" s="18" t="s">
        <v>662</v>
      </c>
      <c r="B178" s="18" t="s">
        <v>18</v>
      </c>
      <c r="C178" s="18" t="s">
        <v>195</v>
      </c>
      <c r="D178" s="18" t="s">
        <v>28</v>
      </c>
      <c r="E178" s="18" t="s">
        <v>4056</v>
      </c>
      <c r="F178" s="19">
        <v>46306.9155439815</v>
      </c>
      <c r="G178" s="18" t="s">
        <v>21</v>
      </c>
      <c r="H178" s="18" t="s">
        <v>4057</v>
      </c>
      <c r="I178" s="18">
        <v>350</v>
      </c>
      <c r="J178" s="18" t="s">
        <v>22</v>
      </c>
      <c r="K178" s="18" t="s">
        <v>23</v>
      </c>
      <c r="L178" s="18">
        <v>150</v>
      </c>
      <c r="M178" s="18" t="s">
        <v>111</v>
      </c>
      <c r="N178" s="19">
        <v>46306.926400463002</v>
      </c>
      <c r="O178" s="18">
        <v>233</v>
      </c>
      <c r="P178" s="18" t="s">
        <v>25</v>
      </c>
      <c r="Q178" s="18">
        <v>190</v>
      </c>
      <c r="R178" s="3" t="str">
        <f>IF(OR(G178="12R",G178="12L"),_xlfn.XLOOKUP(C178,Tabla42[ADEP],Tabla42[SID 12R],""),IF(OR(G178="30L",G178="30R"),_xlfn.XLOOKUP(C178,Tabla42[ADEP],Tabla42[SID 30L],""),""))</f>
        <v>HECAT</v>
      </c>
      <c r="S178" s="3">
        <f t="shared" si="2"/>
        <v>21</v>
      </c>
      <c r="T178" s="3" t="str">
        <f>_xlfn.XLOOKUP(C178,Tabla42[ADEP],Tabla42[Sector],"")</f>
        <v>Sector 7</v>
      </c>
    </row>
    <row r="179" spans="1:20" x14ac:dyDescent="0.2">
      <c r="A179" s="18" t="s">
        <v>314</v>
      </c>
      <c r="B179" s="18" t="s">
        <v>18</v>
      </c>
      <c r="C179" s="18" t="s">
        <v>179</v>
      </c>
      <c r="D179" s="18" t="s">
        <v>33</v>
      </c>
      <c r="E179" s="18" t="s">
        <v>550</v>
      </c>
      <c r="F179" s="19">
        <v>46306.916504629597</v>
      </c>
      <c r="G179" s="18" t="s">
        <v>21</v>
      </c>
      <c r="H179" s="18" t="s">
        <v>4058</v>
      </c>
      <c r="I179" s="18">
        <v>320</v>
      </c>
      <c r="J179" s="18" t="s">
        <v>22</v>
      </c>
      <c r="K179" s="18" t="s">
        <v>23</v>
      </c>
      <c r="L179" s="18">
        <v>851</v>
      </c>
      <c r="M179" s="18" t="s">
        <v>179</v>
      </c>
      <c r="N179" s="19">
        <v>46306.962118055599</v>
      </c>
      <c r="O179" s="18">
        <v>15</v>
      </c>
      <c r="P179" s="18" t="s">
        <v>25</v>
      </c>
      <c r="Q179" s="18">
        <v>190</v>
      </c>
      <c r="R179" s="3" t="str">
        <f>IF(OR(G179="12R",G179="12L"),_xlfn.XLOOKUP(C179,Tabla42[ADEP],Tabla42[SID 12R],""),IF(OR(G179="30L",G179="30R"),_xlfn.XLOOKUP(C179,Tabla42[ADEP],Tabla42[SID 30L],""),""))</f>
        <v>UDGUV</v>
      </c>
      <c r="S179" s="3">
        <f t="shared" si="2"/>
        <v>21</v>
      </c>
      <c r="T179" s="3" t="str">
        <f>_xlfn.XLOOKUP(C179,Tabla42[ADEP],Tabla42[Sector],"")</f>
        <v>Sector 2</v>
      </c>
    </row>
    <row r="180" spans="1:20" x14ac:dyDescent="0.2">
      <c r="A180" s="18" t="s">
        <v>313</v>
      </c>
      <c r="B180" s="18" t="s">
        <v>18</v>
      </c>
      <c r="C180" s="18" t="s">
        <v>73</v>
      </c>
      <c r="D180" s="18" t="s">
        <v>53</v>
      </c>
      <c r="E180" s="18" t="s">
        <v>393</v>
      </c>
      <c r="F180" s="19">
        <v>46306.918958333299</v>
      </c>
      <c r="G180" s="18" t="s">
        <v>21</v>
      </c>
      <c r="H180" s="18" t="s">
        <v>4059</v>
      </c>
      <c r="I180" s="18">
        <v>380</v>
      </c>
      <c r="J180" s="18" t="s">
        <v>22</v>
      </c>
      <c r="K180" s="18" t="s">
        <v>23</v>
      </c>
      <c r="L180" s="18">
        <v>770</v>
      </c>
      <c r="M180" s="18" t="s">
        <v>73</v>
      </c>
      <c r="N180" s="19">
        <v>46306.965995370403</v>
      </c>
      <c r="O180" s="18">
        <v>0</v>
      </c>
      <c r="P180" s="18" t="s">
        <v>25</v>
      </c>
      <c r="Q180" s="18">
        <v>190</v>
      </c>
      <c r="R180" s="3" t="str">
        <f>IF(OR(G180="12R",G180="12L"),_xlfn.XLOOKUP(C180,Tabla42[ADEP],Tabla42[SID 12R],""),IF(OR(G180="30L",G180="30R"),_xlfn.XLOOKUP(C180,Tabla42[ADEP],Tabla42[SID 30L],""),""))</f>
        <v>UDGUV</v>
      </c>
      <c r="S180" s="3">
        <f t="shared" si="2"/>
        <v>22</v>
      </c>
      <c r="T180" s="3" t="str">
        <f>_xlfn.XLOOKUP(C180,Tabla42[ADEP],Tabla42[Sector],"")</f>
        <v>Sector 2</v>
      </c>
    </row>
    <row r="181" spans="1:20" x14ac:dyDescent="0.2">
      <c r="A181" s="18" t="s">
        <v>312</v>
      </c>
      <c r="B181" s="18" t="s">
        <v>18</v>
      </c>
      <c r="C181" s="18" t="s">
        <v>204</v>
      </c>
      <c r="D181" s="18" t="s">
        <v>33</v>
      </c>
      <c r="E181" s="18" t="s">
        <v>4060</v>
      </c>
      <c r="F181" s="19">
        <v>46306.925740740699</v>
      </c>
      <c r="G181" s="18" t="s">
        <v>21</v>
      </c>
      <c r="H181" s="18" t="s">
        <v>4061</v>
      </c>
      <c r="I181" s="18">
        <v>330</v>
      </c>
      <c r="J181" s="18" t="s">
        <v>22</v>
      </c>
      <c r="K181" s="18" t="s">
        <v>23</v>
      </c>
      <c r="L181" s="18">
        <v>150</v>
      </c>
      <c r="M181" s="18" t="s">
        <v>111</v>
      </c>
      <c r="N181" s="19">
        <v>46306.936296296299</v>
      </c>
      <c r="O181" s="18">
        <v>246</v>
      </c>
      <c r="P181" s="18" t="s">
        <v>25</v>
      </c>
      <c r="Q181" s="18">
        <v>190</v>
      </c>
      <c r="R181" s="3" t="str">
        <f>IF(OR(G181="12R",G181="12L"),_xlfn.XLOOKUP(C181,Tabla42[ADEP],Tabla42[SID 12R],""),IF(OR(G181="30L",G181="30R"),_xlfn.XLOOKUP(C181,Tabla42[ADEP],Tabla42[SID 30L],""),""))</f>
        <v>TAKUX</v>
      </c>
      <c r="S181" s="3">
        <f t="shared" si="2"/>
        <v>22</v>
      </c>
      <c r="T181" s="3" t="str">
        <f>_xlfn.XLOOKUP(C181,Tabla42[ADEP],Tabla42[Sector],"")</f>
        <v>Sector 7</v>
      </c>
    </row>
    <row r="182" spans="1:20" x14ac:dyDescent="0.2">
      <c r="A182" s="18" t="s">
        <v>443</v>
      </c>
      <c r="B182" s="18" t="s">
        <v>18</v>
      </c>
      <c r="C182" s="18" t="s">
        <v>444</v>
      </c>
      <c r="D182" s="18" t="s">
        <v>110</v>
      </c>
      <c r="E182" s="18" t="s">
        <v>4062</v>
      </c>
      <c r="F182" s="19">
        <v>46306.932557870401</v>
      </c>
      <c r="G182" s="18" t="s">
        <v>21</v>
      </c>
      <c r="H182" s="18" t="s">
        <v>4063</v>
      </c>
      <c r="I182" s="18">
        <v>390</v>
      </c>
      <c r="J182" s="18" t="s">
        <v>22</v>
      </c>
      <c r="K182" s="18" t="s">
        <v>23</v>
      </c>
      <c r="L182" s="18">
        <v>233</v>
      </c>
      <c r="M182" s="18" t="s">
        <v>355</v>
      </c>
      <c r="N182" s="19">
        <v>46306.946307870399</v>
      </c>
      <c r="O182" s="18">
        <v>390</v>
      </c>
      <c r="P182" s="18" t="s">
        <v>25</v>
      </c>
      <c r="Q182" s="18">
        <v>40</v>
      </c>
      <c r="R182" s="3" t="str">
        <f>IF(OR(G182="12R",G182="12L"),_xlfn.XLOOKUP(C182,Tabla42[ADEP],Tabla42[SID 12R],""),IF(OR(G182="30L",G182="30R"),_xlfn.XLOOKUP(C182,Tabla42[ADEP],Tabla42[SID 30L],""),""))</f>
        <v>ENEBA</v>
      </c>
      <c r="S182" s="3">
        <f t="shared" si="2"/>
        <v>22</v>
      </c>
      <c r="T182" s="3" t="str">
        <f>_xlfn.XLOOKUP(C182,Tabla42[ADEP],Tabla42[Sector],"")</f>
        <v>Sector 3</v>
      </c>
    </row>
    <row r="183" spans="1:20" x14ac:dyDescent="0.2">
      <c r="A183" s="18" t="s">
        <v>328</v>
      </c>
      <c r="B183" s="18" t="s">
        <v>18</v>
      </c>
      <c r="C183" s="18" t="s">
        <v>42</v>
      </c>
      <c r="D183" s="18" t="s">
        <v>43</v>
      </c>
      <c r="E183" s="18" t="s">
        <v>515</v>
      </c>
      <c r="F183" s="19">
        <v>46306.937870370399</v>
      </c>
      <c r="G183" s="18" t="s">
        <v>21</v>
      </c>
      <c r="H183" s="18" t="s">
        <v>4064</v>
      </c>
      <c r="I183" s="18">
        <v>360</v>
      </c>
      <c r="J183" s="18" t="s">
        <v>22</v>
      </c>
      <c r="K183" s="18" t="s">
        <v>23</v>
      </c>
      <c r="L183" s="18">
        <v>899</v>
      </c>
      <c r="M183" s="18" t="s">
        <v>4065</v>
      </c>
      <c r="N183" s="19">
        <v>46306.983715277798</v>
      </c>
      <c r="O183" s="18">
        <v>360</v>
      </c>
      <c r="P183" s="18" t="s">
        <v>25</v>
      </c>
      <c r="Q183" s="18">
        <v>190</v>
      </c>
      <c r="R183" s="3" t="str">
        <f>IF(OR(G183="12R",G183="12L"),_xlfn.XLOOKUP(C183,Tabla42[ADEP],Tabla42[SID 12R],""),IF(OR(G183="30L",G183="30R"),_xlfn.XLOOKUP(C183,Tabla42[ADEP],Tabla42[SID 30L],""),""))</f>
        <v>UDGUV</v>
      </c>
      <c r="S183" s="3">
        <f t="shared" si="2"/>
        <v>22</v>
      </c>
      <c r="T183" s="3" t="str">
        <f>_xlfn.XLOOKUP(C183,Tabla42[ADEP],Tabla42[Sector],"")</f>
        <v>Sector 2</v>
      </c>
    </row>
    <row r="184" spans="1:20" x14ac:dyDescent="0.2">
      <c r="A184" s="18" t="s">
        <v>3788</v>
      </c>
      <c r="B184" s="18" t="s">
        <v>18</v>
      </c>
      <c r="C184" s="18" t="s">
        <v>371</v>
      </c>
      <c r="D184" s="18" t="s">
        <v>3789</v>
      </c>
      <c r="E184" s="18"/>
      <c r="F184" s="19">
        <v>46306.938773148097</v>
      </c>
      <c r="G184" s="18" t="s">
        <v>21</v>
      </c>
      <c r="H184" s="18" t="s">
        <v>155</v>
      </c>
      <c r="I184" s="18">
        <v>10</v>
      </c>
      <c r="J184" s="18" t="s">
        <v>130</v>
      </c>
      <c r="K184" s="18" t="s">
        <v>50</v>
      </c>
      <c r="L184" s="18">
        <v>69</v>
      </c>
      <c r="M184" s="18" t="s">
        <v>371</v>
      </c>
      <c r="N184" s="19">
        <v>46306.9558680556</v>
      </c>
      <c r="O184" s="18">
        <v>0</v>
      </c>
      <c r="P184" s="18" t="s">
        <v>129</v>
      </c>
      <c r="Q184" s="18">
        <v>10</v>
      </c>
      <c r="R184" s="3" t="str">
        <f>IF(OR(G184="12R",G184="12L"),_xlfn.XLOOKUP(C184,Tabla42[ADEP],Tabla42[SID 12R],""),IF(OR(G184="30L",G184="30R"),_xlfn.XLOOKUP(C184,Tabla42[ADEP],Tabla42[SID 30L],""),""))</f>
        <v/>
      </c>
      <c r="S184" s="3">
        <f t="shared" si="2"/>
        <v>22</v>
      </c>
      <c r="T184" s="3" t="str">
        <f>_xlfn.XLOOKUP(C184,Tabla42[ADEP],Tabla42[Sector],"")</f>
        <v/>
      </c>
    </row>
    <row r="185" spans="1:20" x14ac:dyDescent="0.2">
      <c r="A185" s="18" t="s">
        <v>318</v>
      </c>
      <c r="B185" s="18" t="s">
        <v>18</v>
      </c>
      <c r="C185" s="18" t="s">
        <v>116</v>
      </c>
      <c r="D185" s="18" t="s">
        <v>43</v>
      </c>
      <c r="E185" s="18" t="s">
        <v>3419</v>
      </c>
      <c r="F185" s="19">
        <v>46306.940868055601</v>
      </c>
      <c r="G185" s="18" t="s">
        <v>21</v>
      </c>
      <c r="H185" s="18" t="s">
        <v>4066</v>
      </c>
      <c r="I185" s="18">
        <v>340</v>
      </c>
      <c r="J185" s="18" t="s">
        <v>22</v>
      </c>
      <c r="K185" s="18" t="s">
        <v>23</v>
      </c>
      <c r="L185" s="18">
        <v>531</v>
      </c>
      <c r="M185" s="18" t="s">
        <v>123</v>
      </c>
      <c r="N185" s="19">
        <v>46306.969930555599</v>
      </c>
      <c r="O185" s="18">
        <v>340</v>
      </c>
      <c r="P185" s="18" t="s">
        <v>25</v>
      </c>
      <c r="Q185" s="18">
        <v>40</v>
      </c>
      <c r="R185" s="3" t="str">
        <f>IF(OR(G185="12R",G185="12L"),_xlfn.XLOOKUP(C185,Tabla42[ADEP],Tabla42[SID 12R],""),IF(OR(G185="30L",G185="30R"),_xlfn.XLOOKUP(C185,Tabla42[ADEP],Tabla42[SID 30L],""),""))</f>
        <v>ENEBA</v>
      </c>
      <c r="S185" s="3">
        <f t="shared" si="2"/>
        <v>22</v>
      </c>
      <c r="T185" s="3" t="str">
        <f>_xlfn.XLOOKUP(C185,Tabla42[ADEP],Tabla42[Sector],"")</f>
        <v>Sector 3</v>
      </c>
    </row>
    <row r="186" spans="1:20" x14ac:dyDescent="0.2">
      <c r="A186" s="18" t="s">
        <v>409</v>
      </c>
      <c r="B186" s="18" t="s">
        <v>18</v>
      </c>
      <c r="C186" s="18" t="s">
        <v>254</v>
      </c>
      <c r="D186" s="18" t="s">
        <v>53</v>
      </c>
      <c r="E186" s="18" t="s">
        <v>401</v>
      </c>
      <c r="F186" s="19">
        <v>46306.942129629599</v>
      </c>
      <c r="G186" s="18" t="s">
        <v>21</v>
      </c>
      <c r="H186" s="18" t="s">
        <v>4067</v>
      </c>
      <c r="I186" s="18">
        <v>340</v>
      </c>
      <c r="J186" s="18" t="s">
        <v>22</v>
      </c>
      <c r="K186" s="18" t="s">
        <v>23</v>
      </c>
      <c r="L186" s="18">
        <v>881</v>
      </c>
      <c r="M186" s="18" t="s">
        <v>35</v>
      </c>
      <c r="N186" s="19">
        <v>46306.988969907397</v>
      </c>
      <c r="O186" s="18">
        <v>340</v>
      </c>
      <c r="P186" s="18" t="s">
        <v>25</v>
      </c>
      <c r="Q186" s="18">
        <v>190</v>
      </c>
      <c r="R186" s="3" t="str">
        <f>IF(OR(G186="12R",G186="12L"),_xlfn.XLOOKUP(C186,Tabla42[ADEP],Tabla42[SID 12R],""),IF(OR(G186="30L",G186="30R"),_xlfn.XLOOKUP(C186,Tabla42[ADEP],Tabla42[SID 30L],""),""))</f>
        <v>UDGUV</v>
      </c>
      <c r="S186" s="3">
        <f t="shared" si="2"/>
        <v>22</v>
      </c>
      <c r="T186" s="3" t="str">
        <f>_xlfn.XLOOKUP(C186,Tabla42[ADEP],Tabla42[Sector],"")</f>
        <v>Sector 2</v>
      </c>
    </row>
    <row r="187" spans="1:20" x14ac:dyDescent="0.2">
      <c r="A187" s="18" t="s">
        <v>291</v>
      </c>
      <c r="B187" s="18" t="s">
        <v>18</v>
      </c>
      <c r="C187" s="18" t="s">
        <v>209</v>
      </c>
      <c r="D187" s="18" t="s">
        <v>28</v>
      </c>
      <c r="E187" s="18" t="s">
        <v>4068</v>
      </c>
      <c r="F187" s="19">
        <v>46306.943043981497</v>
      </c>
      <c r="G187" s="18" t="s">
        <v>21</v>
      </c>
      <c r="H187" s="18" t="s">
        <v>4069</v>
      </c>
      <c r="I187" s="18">
        <v>360</v>
      </c>
      <c r="J187" s="18" t="s">
        <v>22</v>
      </c>
      <c r="K187" s="18" t="s">
        <v>23</v>
      </c>
      <c r="L187" s="18">
        <v>537</v>
      </c>
      <c r="M187" s="18" t="s">
        <v>123</v>
      </c>
      <c r="N187" s="19">
        <v>46306.971215277801</v>
      </c>
      <c r="O187" s="18">
        <v>360</v>
      </c>
      <c r="P187" s="18" t="s">
        <v>25</v>
      </c>
      <c r="Q187" s="18">
        <v>40</v>
      </c>
      <c r="R187" s="3" t="str">
        <f>IF(OR(G187="12R",G187="12L"),_xlfn.XLOOKUP(C187,Tabla42[ADEP],Tabla42[SID 12R],""),IF(OR(G187="30L",G187="30R"),_xlfn.XLOOKUP(C187,Tabla42[ADEP],Tabla42[SID 30L],""),""))</f>
        <v>ENEBA</v>
      </c>
      <c r="S187" s="3">
        <f t="shared" si="2"/>
        <v>22</v>
      </c>
      <c r="T187" s="3" t="str">
        <f>_xlfn.XLOOKUP(C187,Tabla42[ADEP],Tabla42[Sector],"")</f>
        <v>Sector 3</v>
      </c>
    </row>
    <row r="188" spans="1:20" x14ac:dyDescent="0.2">
      <c r="A188" s="18" t="s">
        <v>4070</v>
      </c>
      <c r="B188" s="18" t="s">
        <v>18</v>
      </c>
      <c r="C188" s="18" t="s">
        <v>93</v>
      </c>
      <c r="D188" s="18" t="s">
        <v>4071</v>
      </c>
      <c r="E188" s="18"/>
      <c r="F188" s="19">
        <v>46306.943865740701</v>
      </c>
      <c r="G188" s="18" t="s">
        <v>21</v>
      </c>
      <c r="H188" s="18" t="s">
        <v>4072</v>
      </c>
      <c r="I188" s="18">
        <v>450</v>
      </c>
      <c r="J188" s="18" t="s">
        <v>22</v>
      </c>
      <c r="K188" s="18" t="s">
        <v>50</v>
      </c>
      <c r="L188" s="18">
        <v>880</v>
      </c>
      <c r="M188" s="18" t="s">
        <v>94</v>
      </c>
      <c r="N188" s="19">
        <v>46306.989965277797</v>
      </c>
      <c r="O188" s="18">
        <v>208</v>
      </c>
      <c r="P188" s="18" t="s">
        <v>25</v>
      </c>
      <c r="Q188" s="18">
        <v>30</v>
      </c>
      <c r="R188" s="3" t="str">
        <f>IF(OR(G188="12R",G188="12L"),_xlfn.XLOOKUP(C188,Tabla42[ADEP],Tabla42[SID 12R],""),IF(OR(G188="30L",G188="30R"),_xlfn.XLOOKUP(C188,Tabla42[ADEP],Tabla42[SID 30L],""),""))</f>
        <v>UDGUV</v>
      </c>
      <c r="S188" s="3">
        <f t="shared" si="2"/>
        <v>22</v>
      </c>
      <c r="T188" s="3" t="str">
        <f>_xlfn.XLOOKUP(C188,Tabla42[ADEP],Tabla42[Sector],"")</f>
        <v>Sector 2</v>
      </c>
    </row>
    <row r="189" spans="1:20" x14ac:dyDescent="0.2">
      <c r="A189" s="18" t="s">
        <v>744</v>
      </c>
      <c r="B189" s="18" t="s">
        <v>18</v>
      </c>
      <c r="C189" s="18" t="s">
        <v>188</v>
      </c>
      <c r="D189" s="18" t="s">
        <v>122</v>
      </c>
      <c r="E189" s="18" t="s">
        <v>4073</v>
      </c>
      <c r="F189" s="19">
        <v>46306.944687499999</v>
      </c>
      <c r="G189" s="18" t="s">
        <v>21</v>
      </c>
      <c r="H189" s="18" t="s">
        <v>4074</v>
      </c>
      <c r="I189" s="18">
        <v>370</v>
      </c>
      <c r="J189" s="18" t="s">
        <v>22</v>
      </c>
      <c r="K189" s="18" t="s">
        <v>23</v>
      </c>
      <c r="L189" s="18">
        <v>358</v>
      </c>
      <c r="M189" s="18" t="s">
        <v>30</v>
      </c>
      <c r="N189" s="19">
        <v>46306.964918981503</v>
      </c>
      <c r="O189" s="18">
        <v>370</v>
      </c>
      <c r="P189" s="18" t="s">
        <v>25</v>
      </c>
      <c r="Q189" s="18">
        <v>40</v>
      </c>
      <c r="R189" s="3" t="str">
        <f>IF(OR(G189="12R",G189="12L"),_xlfn.XLOOKUP(C189,Tabla42[ADEP],Tabla42[SID 12R],""),IF(OR(G189="30L",G189="30R"),_xlfn.XLOOKUP(C189,Tabla42[ADEP],Tabla42[SID 30L],""),""))</f>
        <v>ENEBA</v>
      </c>
      <c r="S189" s="3">
        <f t="shared" si="2"/>
        <v>22</v>
      </c>
      <c r="T189" s="3" t="str">
        <f>_xlfn.XLOOKUP(C189,Tabla42[ADEP],Tabla42[Sector],"")</f>
        <v>Sector 3</v>
      </c>
    </row>
    <row r="190" spans="1:20" x14ac:dyDescent="0.2">
      <c r="A190" s="18" t="s">
        <v>2048</v>
      </c>
      <c r="B190" s="18" t="s">
        <v>18</v>
      </c>
      <c r="C190" s="18" t="s">
        <v>65</v>
      </c>
      <c r="D190" s="18" t="s">
        <v>124</v>
      </c>
      <c r="E190" s="18"/>
      <c r="F190" s="19">
        <v>46306.945601851898</v>
      </c>
      <c r="G190" s="18" t="s">
        <v>21</v>
      </c>
      <c r="H190" s="18" t="s">
        <v>1021</v>
      </c>
      <c r="I190" s="18">
        <v>220</v>
      </c>
      <c r="J190" s="18" t="s">
        <v>22</v>
      </c>
      <c r="K190" s="18" t="s">
        <v>50</v>
      </c>
      <c r="L190" s="18">
        <v>358</v>
      </c>
      <c r="M190" s="18" t="s">
        <v>65</v>
      </c>
      <c r="N190" s="19">
        <v>46306.971840277802</v>
      </c>
      <c r="O190" s="18">
        <v>0</v>
      </c>
      <c r="P190" s="18" t="s">
        <v>25</v>
      </c>
      <c r="Q190" s="18">
        <v>30</v>
      </c>
      <c r="R190" s="3" t="str">
        <f>IF(OR(G190="12R",G190="12L"),_xlfn.XLOOKUP(C190,Tabla42[ADEP],Tabla42[SID 12R],""),IF(OR(G190="30L",G190="30R"),_xlfn.XLOOKUP(C190,Tabla42[ADEP],Tabla42[SID 30L],""),""))</f>
        <v>UDGUV</v>
      </c>
      <c r="S190" s="3">
        <f t="shared" si="2"/>
        <v>22</v>
      </c>
      <c r="T190" s="3" t="str">
        <f>_xlfn.XLOOKUP(C190,Tabla42[ADEP],Tabla42[Sector],"")</f>
        <v>Sector 2</v>
      </c>
    </row>
    <row r="191" spans="1:20" x14ac:dyDescent="0.2">
      <c r="A191" s="18" t="s">
        <v>672</v>
      </c>
      <c r="B191" s="18" t="s">
        <v>18</v>
      </c>
      <c r="C191" s="18" t="s">
        <v>406</v>
      </c>
      <c r="D191" s="18" t="s">
        <v>243</v>
      </c>
      <c r="E191" s="18" t="s">
        <v>288</v>
      </c>
      <c r="F191" s="19">
        <v>46306.946875000001</v>
      </c>
      <c r="G191" s="18" t="s">
        <v>21</v>
      </c>
      <c r="H191" s="18" t="s">
        <v>4075</v>
      </c>
      <c r="I191" s="18">
        <v>370</v>
      </c>
      <c r="J191" s="18" t="s">
        <v>22</v>
      </c>
      <c r="K191" s="18" t="s">
        <v>23</v>
      </c>
      <c r="L191" s="18">
        <v>362</v>
      </c>
      <c r="M191" s="18" t="s">
        <v>30</v>
      </c>
      <c r="N191" s="19">
        <v>46306.966481481497</v>
      </c>
      <c r="O191" s="18">
        <v>350</v>
      </c>
      <c r="P191" s="18" t="s">
        <v>40</v>
      </c>
      <c r="Q191" s="18">
        <v>40</v>
      </c>
      <c r="R191" s="3" t="str">
        <f>IF(OR(G191="12R",G191="12L"),_xlfn.XLOOKUP(C191,Tabla42[ADEP],Tabla42[SID 12R],""),IF(OR(G191="30L",G191="30R"),_xlfn.XLOOKUP(C191,Tabla42[ADEP],Tabla42[SID 30L],""),""))</f>
        <v>NUDAL</v>
      </c>
      <c r="S191" s="3">
        <f t="shared" si="2"/>
        <v>22</v>
      </c>
      <c r="T191" s="3" t="str">
        <f>_xlfn.XLOOKUP(C191,Tabla42[ADEP],Tabla42[Sector],"")</f>
        <v>Sector 3</v>
      </c>
    </row>
    <row r="192" spans="1:20" x14ac:dyDescent="0.2">
      <c r="A192" s="18" t="s">
        <v>4076</v>
      </c>
      <c r="B192" s="18" t="s">
        <v>18</v>
      </c>
      <c r="C192" s="18" t="s">
        <v>49</v>
      </c>
      <c r="D192" s="18" t="s">
        <v>2789</v>
      </c>
      <c r="E192" s="18"/>
      <c r="F192" s="19">
        <v>46306.951018518499</v>
      </c>
      <c r="G192" s="18" t="s">
        <v>21</v>
      </c>
      <c r="H192" s="18" t="s">
        <v>4077</v>
      </c>
      <c r="I192" s="18">
        <v>380</v>
      </c>
      <c r="J192" s="18" t="s">
        <v>22</v>
      </c>
      <c r="K192" s="18" t="s">
        <v>50</v>
      </c>
      <c r="L192" s="18">
        <v>915</v>
      </c>
      <c r="M192" s="18" t="s">
        <v>83</v>
      </c>
      <c r="N192" s="19">
        <v>46306.998634259297</v>
      </c>
      <c r="O192" s="18">
        <v>380</v>
      </c>
      <c r="P192" s="18" t="s">
        <v>25</v>
      </c>
      <c r="Q192" s="18">
        <v>30</v>
      </c>
      <c r="R192" s="3" t="str">
        <f>IF(OR(G192="12R",G192="12L"),_xlfn.XLOOKUP(C192,Tabla42[ADEP],Tabla42[SID 12R],""),IF(OR(G192="30L",G192="30R"),_xlfn.XLOOKUP(C192,Tabla42[ADEP],Tabla42[SID 30L],""),""))</f>
        <v>UDGUV</v>
      </c>
      <c r="S192" s="3">
        <f t="shared" si="2"/>
        <v>22</v>
      </c>
      <c r="T192" s="3" t="str">
        <f>_xlfn.XLOOKUP(C192,Tabla42[ADEP],Tabla42[Sector],"")</f>
        <v>Sector 2</v>
      </c>
    </row>
    <row r="193" spans="1:20" x14ac:dyDescent="0.2">
      <c r="A193" s="18" t="s">
        <v>4078</v>
      </c>
      <c r="B193" s="18" t="s">
        <v>18</v>
      </c>
      <c r="C193" s="18" t="s">
        <v>616</v>
      </c>
      <c r="D193" s="18" t="s">
        <v>2007</v>
      </c>
      <c r="E193" s="18" t="s">
        <v>4079</v>
      </c>
      <c r="F193" s="19">
        <v>46306.952442129601</v>
      </c>
      <c r="G193" s="18" t="s">
        <v>21</v>
      </c>
      <c r="H193" s="18" t="s">
        <v>4080</v>
      </c>
      <c r="I193" s="18">
        <v>370</v>
      </c>
      <c r="J193" s="18" t="s">
        <v>22</v>
      </c>
      <c r="K193" s="18" t="s">
        <v>23</v>
      </c>
      <c r="L193" s="18">
        <v>134</v>
      </c>
      <c r="M193" s="18" t="s">
        <v>39</v>
      </c>
      <c r="N193" s="19">
        <v>46306.961736111101</v>
      </c>
      <c r="O193" s="18">
        <v>257</v>
      </c>
      <c r="P193" s="18" t="s">
        <v>40</v>
      </c>
      <c r="Q193" s="18">
        <v>190</v>
      </c>
      <c r="R193" s="3" t="str">
        <f>IF(OR(G193="12R",G193="12L"),_xlfn.XLOOKUP(C193,Tabla42[ADEP],Tabla42[SID 12R],""),IF(OR(G193="30L",G193="30R"),_xlfn.XLOOKUP(C193,Tabla42[ADEP],Tabla42[SID 30L],""),""))</f>
        <v>NUDAL</v>
      </c>
      <c r="S193" s="3">
        <f t="shared" si="2"/>
        <v>22</v>
      </c>
      <c r="T193" s="3" t="str">
        <f>_xlfn.XLOOKUP(C193,Tabla42[ADEP],Tabla42[Sector],"")</f>
        <v>Sector 3</v>
      </c>
    </row>
    <row r="194" spans="1:20" x14ac:dyDescent="0.2">
      <c r="A194" s="18" t="s">
        <v>311</v>
      </c>
      <c r="B194" s="18" t="s">
        <v>18</v>
      </c>
      <c r="C194" s="18" t="s">
        <v>109</v>
      </c>
      <c r="D194" s="18" t="s">
        <v>110</v>
      </c>
      <c r="E194" s="18" t="s">
        <v>1844</v>
      </c>
      <c r="F194" s="19">
        <v>46306.957291666702</v>
      </c>
      <c r="G194" s="18" t="s">
        <v>21</v>
      </c>
      <c r="H194" s="18" t="s">
        <v>4081</v>
      </c>
      <c r="I194" s="18">
        <v>370</v>
      </c>
      <c r="J194" s="18" t="s">
        <v>22</v>
      </c>
      <c r="K194" s="18" t="s">
        <v>23</v>
      </c>
      <c r="L194" s="18">
        <v>149</v>
      </c>
      <c r="M194" s="18" t="s">
        <v>111</v>
      </c>
      <c r="N194" s="19">
        <v>46306.967650462997</v>
      </c>
      <c r="O194" s="18">
        <v>271</v>
      </c>
      <c r="P194" s="18" t="s">
        <v>25</v>
      </c>
      <c r="Q194" s="18">
        <v>190</v>
      </c>
      <c r="R194" s="3" t="str">
        <f>IF(OR(G194="12R",G194="12L"),_xlfn.XLOOKUP(C194,Tabla42[ADEP],Tabla42[SID 12R],""),IF(OR(G194="30L",G194="30R"),_xlfn.XLOOKUP(C194,Tabla42[ADEP],Tabla42[SID 30L],""),""))</f>
        <v>TAKUX</v>
      </c>
      <c r="S194" s="3">
        <f t="shared" si="2"/>
        <v>22</v>
      </c>
      <c r="T194" s="3" t="str">
        <f>_xlfn.XLOOKUP(C194,Tabla42[ADEP],Tabla42[Sector],"")</f>
        <v>Sector 7</v>
      </c>
    </row>
    <row r="195" spans="1:20" x14ac:dyDescent="0.2">
      <c r="A195" s="18" t="s">
        <v>327</v>
      </c>
      <c r="B195" s="18" t="s">
        <v>18</v>
      </c>
      <c r="C195" s="18" t="s">
        <v>84</v>
      </c>
      <c r="D195" s="18" t="s">
        <v>85</v>
      </c>
      <c r="E195" s="18" t="s">
        <v>2335</v>
      </c>
      <c r="F195" s="19">
        <v>46306.962094907401</v>
      </c>
      <c r="G195" s="18" t="s">
        <v>21</v>
      </c>
      <c r="H195" s="18" t="s">
        <v>4082</v>
      </c>
      <c r="I195" s="18">
        <v>370</v>
      </c>
      <c r="J195" s="18" t="s">
        <v>22</v>
      </c>
      <c r="K195" s="18" t="s">
        <v>23</v>
      </c>
      <c r="L195" s="18">
        <v>361</v>
      </c>
      <c r="M195" s="18" t="s">
        <v>30</v>
      </c>
      <c r="N195" s="19">
        <v>46306.983148148101</v>
      </c>
      <c r="O195" s="18">
        <v>351</v>
      </c>
      <c r="P195" s="18" t="s">
        <v>40</v>
      </c>
      <c r="Q195" s="18">
        <v>40</v>
      </c>
      <c r="R195" s="3" t="str">
        <f>IF(OR(G195="12R",G195="12L"),_xlfn.XLOOKUP(C195,Tabla42[ADEP],Tabla42[SID 12R],""),IF(OR(G195="30L",G195="30R"),_xlfn.XLOOKUP(C195,Tabla42[ADEP],Tabla42[SID 30L],""),""))</f>
        <v>NUDAL</v>
      </c>
      <c r="S195" s="3">
        <f t="shared" ref="S195:S220" si="3">HOUR(F195)</f>
        <v>23</v>
      </c>
      <c r="T195" s="3" t="str">
        <f>_xlfn.XLOOKUP(C195,Tabla42[ADEP],Tabla42[Sector],"")</f>
        <v>Sector 3</v>
      </c>
    </row>
    <row r="196" spans="1:20" x14ac:dyDescent="0.2">
      <c r="A196" s="18" t="s">
        <v>332</v>
      </c>
      <c r="B196" s="18" t="s">
        <v>18</v>
      </c>
      <c r="C196" s="18" t="s">
        <v>257</v>
      </c>
      <c r="D196" s="18" t="s">
        <v>122</v>
      </c>
      <c r="E196" s="18" t="s">
        <v>4083</v>
      </c>
      <c r="F196" s="19">
        <v>46306.970393518503</v>
      </c>
      <c r="G196" s="18" t="s">
        <v>21</v>
      </c>
      <c r="H196" s="18" t="s">
        <v>4084</v>
      </c>
      <c r="I196" s="18">
        <v>340</v>
      </c>
      <c r="J196" s="18" t="s">
        <v>22</v>
      </c>
      <c r="K196" s="18" t="s">
        <v>23</v>
      </c>
      <c r="L196" s="18">
        <v>497</v>
      </c>
      <c r="M196" s="18" t="s">
        <v>4085</v>
      </c>
      <c r="N196" s="19">
        <v>46306.996446759302</v>
      </c>
      <c r="O196" s="18">
        <v>340</v>
      </c>
      <c r="P196" s="18" t="s">
        <v>25</v>
      </c>
      <c r="Q196" s="18">
        <v>40</v>
      </c>
      <c r="R196" s="3" t="str">
        <f>IF(OR(G196="12R",G196="12L"),_xlfn.XLOOKUP(C196,Tabla42[ADEP],Tabla42[SID 12R],""),IF(OR(G196="30L",G196="30R"),_xlfn.XLOOKUP(C196,Tabla42[ADEP],Tabla42[SID 30L],""),""))</f>
        <v>UDGUV</v>
      </c>
      <c r="S196" s="3">
        <f t="shared" si="3"/>
        <v>23</v>
      </c>
      <c r="T196" s="3" t="str">
        <f>_xlfn.XLOOKUP(C196,Tabla42[ADEP],Tabla42[Sector],"")</f>
        <v>Sector 2</v>
      </c>
    </row>
    <row r="197" spans="1:20" x14ac:dyDescent="0.2">
      <c r="A197" s="18" t="s">
        <v>333</v>
      </c>
      <c r="B197" s="18" t="s">
        <v>18</v>
      </c>
      <c r="C197" s="18" t="s">
        <v>204</v>
      </c>
      <c r="D197" s="18" t="s">
        <v>53</v>
      </c>
      <c r="E197" s="18" t="s">
        <v>4086</v>
      </c>
      <c r="F197" s="19">
        <v>46306.985243055598</v>
      </c>
      <c r="G197" s="18" t="s">
        <v>21</v>
      </c>
      <c r="H197" s="18" t="s">
        <v>4087</v>
      </c>
      <c r="I197" s="18">
        <v>370</v>
      </c>
      <c r="J197" s="18" t="s">
        <v>22</v>
      </c>
      <c r="K197" s="18" t="s">
        <v>23</v>
      </c>
      <c r="L197" s="18">
        <v>149</v>
      </c>
      <c r="M197" s="18" t="s">
        <v>111</v>
      </c>
      <c r="N197" s="19">
        <v>46306.995416666701</v>
      </c>
      <c r="O197" s="18">
        <v>288</v>
      </c>
      <c r="P197" s="18" t="s">
        <v>25</v>
      </c>
      <c r="Q197" s="18">
        <v>190</v>
      </c>
      <c r="R197" s="3" t="str">
        <f>IF(OR(G197="12R",G197="12L"),_xlfn.XLOOKUP(C197,Tabla42[ADEP],Tabla42[SID 12R],""),IF(OR(G197="30L",G197="30R"),_xlfn.XLOOKUP(C197,Tabla42[ADEP],Tabla42[SID 30L],""),""))</f>
        <v>TAKUX</v>
      </c>
      <c r="S197" s="3">
        <f t="shared" si="3"/>
        <v>23</v>
      </c>
      <c r="T197" s="3" t="str">
        <f>_xlfn.XLOOKUP(C197,Tabla42[ADEP],Tabla42[Sector],"")</f>
        <v>Sector 7</v>
      </c>
    </row>
    <row r="198" spans="1: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1: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1: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1: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1: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1: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1: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1: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1: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1: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1: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4</v>
      </c>
      <c r="I227" s="9">
        <f t="shared" ref="I227:I235" si="5">SUM(B227:H227)</f>
        <v>4</v>
      </c>
    </row>
    <row r="228" spans="1:9" x14ac:dyDescent="0.2">
      <c r="A228" s="7">
        <v>15</v>
      </c>
      <c r="B228" s="8">
        <f t="shared" si="4"/>
        <v>0</v>
      </c>
      <c r="C228" s="8">
        <f t="shared" si="4"/>
        <v>2</v>
      </c>
      <c r="D228" s="8">
        <f t="shared" si="4"/>
        <v>0</v>
      </c>
      <c r="E228" s="8">
        <f t="shared" si="4"/>
        <v>0</v>
      </c>
      <c r="F228" s="8">
        <f t="shared" si="4"/>
        <v>0</v>
      </c>
      <c r="G228" s="8">
        <f t="shared" si="4"/>
        <v>0</v>
      </c>
      <c r="H228" s="8">
        <f t="shared" si="4"/>
        <v>6</v>
      </c>
      <c r="I228" s="9">
        <f t="shared" si="5"/>
        <v>8</v>
      </c>
    </row>
    <row r="229" spans="1:9" x14ac:dyDescent="0.2">
      <c r="A229" s="7">
        <v>16</v>
      </c>
      <c r="B229" s="8">
        <f t="shared" si="4"/>
        <v>2</v>
      </c>
      <c r="C229" s="8">
        <f t="shared" si="4"/>
        <v>4</v>
      </c>
      <c r="D229" s="8">
        <f t="shared" si="4"/>
        <v>0</v>
      </c>
      <c r="E229" s="8">
        <f t="shared" si="4"/>
        <v>0</v>
      </c>
      <c r="F229" s="8">
        <f t="shared" si="4"/>
        <v>3</v>
      </c>
      <c r="G229" s="8">
        <f t="shared" si="4"/>
        <v>3</v>
      </c>
      <c r="H229" s="8">
        <f t="shared" si="4"/>
        <v>9</v>
      </c>
      <c r="I229" s="9">
        <f t="shared" si="5"/>
        <v>21</v>
      </c>
    </row>
    <row r="230" spans="1:9" x14ac:dyDescent="0.2">
      <c r="A230" s="7">
        <v>17</v>
      </c>
      <c r="B230" s="8">
        <f t="shared" si="4"/>
        <v>1</v>
      </c>
      <c r="C230" s="8">
        <f t="shared" si="4"/>
        <v>3</v>
      </c>
      <c r="D230" s="8">
        <f t="shared" si="4"/>
        <v>0</v>
      </c>
      <c r="E230" s="8">
        <f t="shared" si="4"/>
        <v>2</v>
      </c>
      <c r="F230" s="8">
        <f t="shared" si="4"/>
        <v>4</v>
      </c>
      <c r="G230" s="8">
        <f t="shared" si="4"/>
        <v>1</v>
      </c>
      <c r="H230" s="8">
        <f t="shared" si="4"/>
        <v>6</v>
      </c>
      <c r="I230" s="9">
        <f t="shared" si="5"/>
        <v>17</v>
      </c>
    </row>
    <row r="231" spans="1:9" x14ac:dyDescent="0.2">
      <c r="A231" s="7">
        <v>18</v>
      </c>
      <c r="B231" s="8">
        <f t="shared" si="4"/>
        <v>0</v>
      </c>
      <c r="C231" s="8">
        <f t="shared" si="4"/>
        <v>6</v>
      </c>
      <c r="D231" s="8">
        <f t="shared" si="4"/>
        <v>0</v>
      </c>
      <c r="E231" s="8">
        <f t="shared" si="4"/>
        <v>1</v>
      </c>
      <c r="F231" s="8">
        <f t="shared" si="4"/>
        <v>5</v>
      </c>
      <c r="G231" s="8">
        <f t="shared" si="4"/>
        <v>1</v>
      </c>
      <c r="H231" s="8">
        <f t="shared" si="4"/>
        <v>4</v>
      </c>
      <c r="I231" s="9">
        <f t="shared" si="5"/>
        <v>17</v>
      </c>
    </row>
    <row r="232" spans="1:9" x14ac:dyDescent="0.2">
      <c r="A232" s="7">
        <v>19</v>
      </c>
      <c r="B232" s="8">
        <f t="shared" si="4"/>
        <v>2</v>
      </c>
      <c r="C232" s="8">
        <f t="shared" si="4"/>
        <v>8</v>
      </c>
      <c r="D232" s="8">
        <f t="shared" si="4"/>
        <v>0</v>
      </c>
      <c r="E232" s="8">
        <f t="shared" si="4"/>
        <v>3</v>
      </c>
      <c r="F232" s="8">
        <f t="shared" si="4"/>
        <v>5</v>
      </c>
      <c r="G232" s="8">
        <f t="shared" si="4"/>
        <v>0</v>
      </c>
      <c r="H232" s="8">
        <f t="shared" si="4"/>
        <v>9</v>
      </c>
      <c r="I232" s="9">
        <f t="shared" si="5"/>
        <v>27</v>
      </c>
    </row>
    <row r="233" spans="1:9" x14ac:dyDescent="0.2">
      <c r="A233" s="7">
        <v>20</v>
      </c>
      <c r="B233" s="8">
        <f t="shared" si="4"/>
        <v>0</v>
      </c>
      <c r="C233" s="8">
        <f t="shared" si="4"/>
        <v>4</v>
      </c>
      <c r="D233" s="8">
        <f t="shared" si="4"/>
        <v>0</v>
      </c>
      <c r="E233" s="8">
        <f t="shared" si="4"/>
        <v>0</v>
      </c>
      <c r="F233" s="8">
        <f t="shared" si="4"/>
        <v>4</v>
      </c>
      <c r="G233" s="8">
        <f t="shared" si="4"/>
        <v>1</v>
      </c>
      <c r="H233" s="8">
        <f t="shared" si="4"/>
        <v>9</v>
      </c>
      <c r="I233" s="9">
        <f t="shared" si="5"/>
        <v>18</v>
      </c>
    </row>
    <row r="234" spans="1:9" x14ac:dyDescent="0.2">
      <c r="A234" s="7">
        <v>21</v>
      </c>
      <c r="B234" s="8">
        <f t="shared" si="4"/>
        <v>1</v>
      </c>
      <c r="C234" s="8">
        <f t="shared" si="4"/>
        <v>3</v>
      </c>
      <c r="D234" s="8">
        <f t="shared" si="4"/>
        <v>1</v>
      </c>
      <c r="E234" s="8">
        <f t="shared" si="4"/>
        <v>3</v>
      </c>
      <c r="F234" s="8">
        <f t="shared" si="4"/>
        <v>7</v>
      </c>
      <c r="G234" s="8">
        <f t="shared" si="4"/>
        <v>0</v>
      </c>
      <c r="H234" s="8">
        <f t="shared" si="4"/>
        <v>8</v>
      </c>
      <c r="I234" s="9">
        <f t="shared" si="5"/>
        <v>23</v>
      </c>
    </row>
    <row r="235" spans="1:9" x14ac:dyDescent="0.2">
      <c r="A235" s="10">
        <v>22</v>
      </c>
      <c r="B235" s="11">
        <f t="shared" si="4"/>
        <v>0</v>
      </c>
      <c r="C235" s="11">
        <f t="shared" si="4"/>
        <v>4</v>
      </c>
      <c r="D235" s="11">
        <f t="shared" si="4"/>
        <v>0</v>
      </c>
      <c r="E235" s="11">
        <f t="shared" si="4"/>
        <v>2</v>
      </c>
      <c r="F235" s="11">
        <f t="shared" si="4"/>
        <v>0</v>
      </c>
      <c r="G235" s="11">
        <f t="shared" si="4"/>
        <v>2</v>
      </c>
      <c r="H235" s="11">
        <f t="shared" si="4"/>
        <v>6</v>
      </c>
      <c r="I235" s="12">
        <f t="shared" si="5"/>
        <v>14</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4</v>
      </c>
      <c r="C263" s="8">
        <f t="shared" si="6"/>
        <v>0</v>
      </c>
      <c r="D263" s="8">
        <f t="shared" si="6"/>
        <v>0</v>
      </c>
      <c r="E263" s="9">
        <f t="shared" ref="E263:E272" si="7">SUM(B263:D263)</f>
        <v>4</v>
      </c>
    </row>
    <row r="264" spans="1:9" x14ac:dyDescent="0.2">
      <c r="A264" s="7">
        <v>15</v>
      </c>
      <c r="B264" s="8">
        <f t="shared" si="6"/>
        <v>6</v>
      </c>
      <c r="C264" s="8">
        <f t="shared" si="6"/>
        <v>2</v>
      </c>
      <c r="D264" s="8">
        <f t="shared" si="6"/>
        <v>0</v>
      </c>
      <c r="E264" s="9">
        <f t="shared" si="7"/>
        <v>8</v>
      </c>
    </row>
    <row r="265" spans="1:9" x14ac:dyDescent="0.2">
      <c r="A265" s="7">
        <v>16</v>
      </c>
      <c r="B265" s="8">
        <f t="shared" si="6"/>
        <v>9</v>
      </c>
      <c r="C265" s="8">
        <f t="shared" si="6"/>
        <v>7</v>
      </c>
      <c r="D265" s="8">
        <f t="shared" si="6"/>
        <v>5</v>
      </c>
      <c r="E265" s="9">
        <f t="shared" si="7"/>
        <v>21</v>
      </c>
    </row>
    <row r="266" spans="1:9" x14ac:dyDescent="0.2">
      <c r="A266" s="7">
        <v>17</v>
      </c>
      <c r="B266" s="8">
        <f t="shared" si="6"/>
        <v>6</v>
      </c>
      <c r="C266" s="8">
        <f t="shared" si="6"/>
        <v>9</v>
      </c>
      <c r="D266" s="8">
        <f t="shared" si="6"/>
        <v>2</v>
      </c>
      <c r="E266" s="9">
        <f t="shared" si="7"/>
        <v>17</v>
      </c>
    </row>
    <row r="267" spans="1:9" x14ac:dyDescent="0.2">
      <c r="A267" s="7">
        <v>18</v>
      </c>
      <c r="B267" s="8">
        <f t="shared" si="6"/>
        <v>4</v>
      </c>
      <c r="C267" s="8">
        <f t="shared" si="6"/>
        <v>12</v>
      </c>
      <c r="D267" s="8">
        <f t="shared" si="6"/>
        <v>1</v>
      </c>
      <c r="E267" s="9">
        <f t="shared" si="7"/>
        <v>17</v>
      </c>
    </row>
    <row r="268" spans="1:9" x14ac:dyDescent="0.2">
      <c r="A268" s="7">
        <v>19</v>
      </c>
      <c r="B268" s="8">
        <f t="shared" si="6"/>
        <v>9</v>
      </c>
      <c r="C268" s="8">
        <f t="shared" si="6"/>
        <v>16</v>
      </c>
      <c r="D268" s="8">
        <f t="shared" si="6"/>
        <v>2</v>
      </c>
      <c r="E268" s="9">
        <f t="shared" si="7"/>
        <v>27</v>
      </c>
    </row>
    <row r="269" spans="1:9" x14ac:dyDescent="0.2">
      <c r="A269" s="7">
        <v>20</v>
      </c>
      <c r="B269" s="8">
        <f t="shared" si="6"/>
        <v>9</v>
      </c>
      <c r="C269" s="8">
        <f t="shared" si="6"/>
        <v>8</v>
      </c>
      <c r="D269" s="8">
        <f t="shared" si="6"/>
        <v>1</v>
      </c>
      <c r="E269" s="9">
        <f t="shared" si="7"/>
        <v>18</v>
      </c>
    </row>
    <row r="270" spans="1:9" x14ac:dyDescent="0.2">
      <c r="A270" s="7">
        <v>21</v>
      </c>
      <c r="B270" s="8">
        <f t="shared" si="6"/>
        <v>8</v>
      </c>
      <c r="C270" s="8">
        <f t="shared" si="6"/>
        <v>13</v>
      </c>
      <c r="D270" s="8">
        <f t="shared" si="6"/>
        <v>2</v>
      </c>
      <c r="E270" s="9">
        <f t="shared" si="7"/>
        <v>23</v>
      </c>
    </row>
    <row r="271" spans="1:9" x14ac:dyDescent="0.2">
      <c r="A271" s="7">
        <v>22</v>
      </c>
      <c r="B271" s="8">
        <f t="shared" si="6"/>
        <v>6</v>
      </c>
      <c r="C271" s="8">
        <f t="shared" si="6"/>
        <v>6</v>
      </c>
      <c r="D271" s="8">
        <f t="shared" si="6"/>
        <v>2</v>
      </c>
      <c r="E271" s="9">
        <f t="shared" si="7"/>
        <v>14</v>
      </c>
    </row>
    <row r="272" spans="1:9" x14ac:dyDescent="0.2">
      <c r="A272" s="10">
        <v>23</v>
      </c>
      <c r="B272" s="11">
        <f t="shared" si="6"/>
        <v>1</v>
      </c>
      <c r="C272" s="11">
        <f t="shared" si="6"/>
        <v>1</v>
      </c>
      <c r="D272" s="11">
        <f t="shared" si="6"/>
        <v>1</v>
      </c>
      <c r="E272" s="12">
        <f t="shared" si="7"/>
        <v>3</v>
      </c>
    </row>
  </sheetData>
  <mergeCells count="6">
    <mergeCell ref="A261:E261"/>
    <mergeCell ref="A221:I221"/>
    <mergeCell ref="A223:I223"/>
    <mergeCell ref="A225:I225"/>
    <mergeCell ref="A258:I258"/>
    <mergeCell ref="A259:I259"/>
  </mergeCell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48FBE-E6D2-2A4E-9CE6-CE78E5BC06EC}">
  <dimension ref="A1:T272"/>
  <sheetViews>
    <sheetView showGridLines="0" zoomScale="110" zoomScaleNormal="110" workbookViewId="0">
      <selection activeCell="A2" sqref="A2:Q209"/>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23" t="s">
        <v>500</v>
      </c>
      <c r="B2" s="23" t="s">
        <v>18</v>
      </c>
      <c r="C2" s="23" t="s">
        <v>501</v>
      </c>
      <c r="D2" s="23" t="s">
        <v>33</v>
      </c>
      <c r="E2" s="23" t="s">
        <v>368</v>
      </c>
      <c r="F2" s="24">
        <v>46307.004780092589</v>
      </c>
      <c r="G2" s="23" t="s">
        <v>21</v>
      </c>
      <c r="H2" s="23" t="s">
        <v>4088</v>
      </c>
      <c r="I2" s="23">
        <v>380</v>
      </c>
      <c r="J2" s="23" t="s">
        <v>22</v>
      </c>
      <c r="K2" s="23" t="s">
        <v>23</v>
      </c>
      <c r="L2" s="23">
        <v>878</v>
      </c>
      <c r="M2" s="23" t="s">
        <v>35</v>
      </c>
      <c r="N2" s="24">
        <v>46307.050462962965</v>
      </c>
      <c r="O2" s="23">
        <v>380</v>
      </c>
      <c r="P2" s="23" t="s">
        <v>25</v>
      </c>
      <c r="Q2" s="23">
        <v>190</v>
      </c>
      <c r="R2" s="3" t="str">
        <f>IF(OR(G2="12R",G2="12L"),_xlfn.XLOOKUP(C2,Tabla42[ADEP],Tabla42[SID 12R],""),IF(OR(G2="30L",G2="30R"),_xlfn.XLOOKUP(C2,Tabla42[ADEP],Tabla42[SID 30L],""),""))</f>
        <v>UDGUV</v>
      </c>
      <c r="S2" s="3">
        <f>HOUR(F2)</f>
        <v>0</v>
      </c>
      <c r="T2" s="3" t="str">
        <f>_xlfn.XLOOKUP(C2,Tabla42[ADEP],Tabla42[Sector],"")</f>
        <v>Sector 2</v>
      </c>
    </row>
    <row r="3" spans="1:20" x14ac:dyDescent="0.2">
      <c r="A3" s="23" t="s">
        <v>17</v>
      </c>
      <c r="B3" s="23" t="s">
        <v>18</v>
      </c>
      <c r="C3" s="23" t="s">
        <v>19</v>
      </c>
      <c r="D3" s="23" t="s">
        <v>20</v>
      </c>
      <c r="E3" s="23" t="s">
        <v>4089</v>
      </c>
      <c r="F3" s="24">
        <v>46307.010289351849</v>
      </c>
      <c r="G3" s="23" t="s">
        <v>21</v>
      </c>
      <c r="H3" s="23" t="s">
        <v>4090</v>
      </c>
      <c r="I3" s="23">
        <v>360</v>
      </c>
      <c r="J3" s="23" t="s">
        <v>22</v>
      </c>
      <c r="K3" s="23" t="s">
        <v>23</v>
      </c>
      <c r="L3" s="23">
        <v>879</v>
      </c>
      <c r="M3" s="23" t="s">
        <v>24</v>
      </c>
      <c r="N3" s="24">
        <v>46307.056238425925</v>
      </c>
      <c r="O3" s="23">
        <v>360</v>
      </c>
      <c r="P3" s="23" t="s">
        <v>25</v>
      </c>
      <c r="Q3" s="23">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23" t="s">
        <v>31</v>
      </c>
      <c r="B4" s="23" t="s">
        <v>18</v>
      </c>
      <c r="C4" s="23" t="s">
        <v>32</v>
      </c>
      <c r="D4" s="23" t="s">
        <v>53</v>
      </c>
      <c r="E4" s="23" t="s">
        <v>392</v>
      </c>
      <c r="F4" s="24">
        <v>46307.035069444442</v>
      </c>
      <c r="G4" s="23" t="s">
        <v>21</v>
      </c>
      <c r="H4" s="23" t="s">
        <v>4091</v>
      </c>
      <c r="I4" s="23">
        <v>380</v>
      </c>
      <c r="J4" s="23" t="s">
        <v>22</v>
      </c>
      <c r="K4" s="23" t="s">
        <v>23</v>
      </c>
      <c r="L4" s="23">
        <v>868</v>
      </c>
      <c r="M4" s="23" t="s">
        <v>35</v>
      </c>
      <c r="N4" s="24">
        <v>46307.080358796295</v>
      </c>
      <c r="O4" s="23">
        <v>380</v>
      </c>
      <c r="P4" s="23" t="s">
        <v>25</v>
      </c>
      <c r="Q4" s="23">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23" t="s">
        <v>41</v>
      </c>
      <c r="B5" s="23" t="s">
        <v>18</v>
      </c>
      <c r="C5" s="23" t="s">
        <v>42</v>
      </c>
      <c r="D5" s="23" t="s">
        <v>43</v>
      </c>
      <c r="E5" s="23" t="s">
        <v>269</v>
      </c>
      <c r="F5" s="24">
        <v>46307.044108796297</v>
      </c>
      <c r="G5" s="23" t="s">
        <v>21</v>
      </c>
      <c r="H5" s="23" t="s">
        <v>4092</v>
      </c>
      <c r="I5" s="23">
        <v>360</v>
      </c>
      <c r="J5" s="23" t="s">
        <v>22</v>
      </c>
      <c r="K5" s="23" t="s">
        <v>23</v>
      </c>
      <c r="L5" s="23">
        <v>865</v>
      </c>
      <c r="M5" s="23" t="s">
        <v>45</v>
      </c>
      <c r="N5" s="24">
        <v>46307.089212962965</v>
      </c>
      <c r="O5" s="23">
        <v>360</v>
      </c>
      <c r="P5" s="23" t="s">
        <v>25</v>
      </c>
      <c r="Q5" s="23">
        <v>190</v>
      </c>
      <c r="R5" s="3" t="str">
        <f>IF(OR(G5="12R",G5="12L"),_xlfn.XLOOKUP(C5,Tabla42[ADEP],Tabla42[SID 12R],""),IF(OR(G5="30L",G5="30R"),_xlfn.XLOOKUP(C5,Tabla42[ADEP],Tabla42[SID 30L],""),""))</f>
        <v>UDGUV</v>
      </c>
      <c r="S5" s="3">
        <f t="shared" si="0"/>
        <v>1</v>
      </c>
      <c r="T5" s="3" t="str">
        <f>_xlfn.XLOOKUP(C5,Tabla42[ADEP],Tabla42[Sector],"")</f>
        <v>Sector 2</v>
      </c>
    </row>
    <row r="6" spans="1:20" x14ac:dyDescent="0.2">
      <c r="A6" s="23" t="s">
        <v>56</v>
      </c>
      <c r="B6" s="23" t="s">
        <v>18</v>
      </c>
      <c r="C6" s="23" t="s">
        <v>42</v>
      </c>
      <c r="D6" s="23" t="s">
        <v>20</v>
      </c>
      <c r="E6" s="23" t="s">
        <v>2024</v>
      </c>
      <c r="F6" s="24">
        <v>46307.050324074073</v>
      </c>
      <c r="G6" s="23" t="s">
        <v>21</v>
      </c>
      <c r="H6" s="23" t="s">
        <v>4093</v>
      </c>
      <c r="I6" s="23">
        <v>360</v>
      </c>
      <c r="J6" s="23" t="s">
        <v>22</v>
      </c>
      <c r="K6" s="23" t="s">
        <v>23</v>
      </c>
      <c r="L6" s="23">
        <v>933</v>
      </c>
      <c r="M6" s="23" t="s">
        <v>4094</v>
      </c>
      <c r="N6" s="24">
        <v>46307.09814814815</v>
      </c>
      <c r="O6" s="23">
        <v>340</v>
      </c>
      <c r="P6" s="23" t="s">
        <v>25</v>
      </c>
      <c r="Q6" s="23">
        <v>190</v>
      </c>
      <c r="R6" s="3" t="str">
        <f>IF(OR(G6="12R",G6="12L"),_xlfn.XLOOKUP(C6,Tabla42[ADEP],Tabla42[SID 12R],""),IF(OR(G6="30L",G6="30R"),_xlfn.XLOOKUP(C6,Tabla42[ADEP],Tabla42[SID 30L],""),""))</f>
        <v>UDGUV</v>
      </c>
      <c r="S6" s="3">
        <f t="shared" si="0"/>
        <v>1</v>
      </c>
      <c r="T6" s="3" t="str">
        <f>_xlfn.XLOOKUP(C6,Tabla42[ADEP],Tabla42[Sector],"")</f>
        <v>Sector 2</v>
      </c>
    </row>
    <row r="7" spans="1:20" x14ac:dyDescent="0.2">
      <c r="A7" s="23" t="s">
        <v>46</v>
      </c>
      <c r="B7" s="23" t="s">
        <v>18</v>
      </c>
      <c r="C7" s="23" t="s">
        <v>47</v>
      </c>
      <c r="D7" s="23" t="s">
        <v>48</v>
      </c>
      <c r="E7" s="23" t="s">
        <v>619</v>
      </c>
      <c r="F7" s="24">
        <v>46307.060902777775</v>
      </c>
      <c r="G7" s="23" t="s">
        <v>21</v>
      </c>
      <c r="H7" s="23" t="s">
        <v>4095</v>
      </c>
      <c r="I7" s="23">
        <v>370</v>
      </c>
      <c r="J7" s="23" t="s">
        <v>22</v>
      </c>
      <c r="K7" s="23" t="s">
        <v>23</v>
      </c>
      <c r="L7" s="23">
        <v>359</v>
      </c>
      <c r="M7" s="23" t="s">
        <v>30</v>
      </c>
      <c r="N7" s="24">
        <v>46307.080578703702</v>
      </c>
      <c r="O7" s="23">
        <v>370</v>
      </c>
      <c r="P7" s="23" t="s">
        <v>40</v>
      </c>
      <c r="Q7" s="23">
        <v>40</v>
      </c>
      <c r="R7" s="3" t="str">
        <f>IF(OR(G7="12R",G7="12L"),_xlfn.XLOOKUP(C7,Tabla42[ADEP],Tabla42[SID 12R],""),IF(OR(G7="30L",G7="30R"),_xlfn.XLOOKUP(C7,Tabla42[ADEP],Tabla42[SID 30L],""),""))</f>
        <v>NUDAL</v>
      </c>
      <c r="S7" s="3">
        <f t="shared" si="0"/>
        <v>1</v>
      </c>
      <c r="T7" s="3" t="str">
        <f>_xlfn.XLOOKUP(C7,Tabla42[ADEP],Tabla42[Sector],"")</f>
        <v>Sector 3</v>
      </c>
    </row>
    <row r="8" spans="1:20" x14ac:dyDescent="0.2">
      <c r="A8" s="23" t="s">
        <v>202</v>
      </c>
      <c r="B8" s="23" t="s">
        <v>18</v>
      </c>
      <c r="C8" s="23" t="s">
        <v>32</v>
      </c>
      <c r="D8" s="23" t="s">
        <v>60</v>
      </c>
      <c r="E8" s="23" t="s">
        <v>2841</v>
      </c>
      <c r="F8" s="24">
        <v>46307.062905092593</v>
      </c>
      <c r="G8" s="23" t="s">
        <v>21</v>
      </c>
      <c r="H8" s="23" t="s">
        <v>4096</v>
      </c>
      <c r="I8" s="23">
        <v>340</v>
      </c>
      <c r="J8" s="23" t="s">
        <v>22</v>
      </c>
      <c r="K8" s="23" t="s">
        <v>23</v>
      </c>
      <c r="L8" s="23">
        <v>862</v>
      </c>
      <c r="M8" s="23" t="s">
        <v>35</v>
      </c>
      <c r="N8" s="24">
        <v>46307.107777777775</v>
      </c>
      <c r="O8" s="23">
        <v>340</v>
      </c>
      <c r="P8" s="23" t="s">
        <v>25</v>
      </c>
      <c r="Q8" s="23">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23" t="s">
        <v>2006</v>
      </c>
      <c r="B9" s="23" t="s">
        <v>18</v>
      </c>
      <c r="C9" s="23" t="s">
        <v>341</v>
      </c>
      <c r="D9" s="23" t="s">
        <v>2007</v>
      </c>
      <c r="E9" s="23" t="s">
        <v>2008</v>
      </c>
      <c r="F9" s="24">
        <v>46307.064270833333</v>
      </c>
      <c r="G9" s="23" t="s">
        <v>21</v>
      </c>
      <c r="H9" s="23" t="s">
        <v>4097</v>
      </c>
      <c r="I9" s="23">
        <v>350</v>
      </c>
      <c r="J9" s="23" t="s">
        <v>22</v>
      </c>
      <c r="K9" s="23" t="s">
        <v>141</v>
      </c>
      <c r="L9" s="23">
        <v>136</v>
      </c>
      <c r="M9" s="23" t="s">
        <v>39</v>
      </c>
      <c r="N9" s="24">
        <v>46307.074444444443</v>
      </c>
      <c r="O9" s="23">
        <v>191</v>
      </c>
      <c r="P9" s="23" t="s">
        <v>40</v>
      </c>
      <c r="Q9" s="23">
        <v>190</v>
      </c>
      <c r="R9" s="3" t="str">
        <f>IF(OR(G9="12R",G9="12L"),_xlfn.XLOOKUP(C9,Tabla42[ADEP],Tabla42[SID 12R],""),IF(OR(G9="30L",G9="30R"),_xlfn.XLOOKUP(C9,Tabla42[ADEP],Tabla42[SID 30L],""),""))</f>
        <v>NUDAL</v>
      </c>
      <c r="S9" s="3">
        <f t="shared" si="0"/>
        <v>1</v>
      </c>
      <c r="T9" s="3" t="str">
        <f>_xlfn.XLOOKUP(C9,Tabla42[ADEP],Tabla42[Sector],"")</f>
        <v>Sector 3</v>
      </c>
    </row>
    <row r="10" spans="1:20" x14ac:dyDescent="0.2">
      <c r="A10" s="23" t="s">
        <v>346</v>
      </c>
      <c r="B10" s="23" t="s">
        <v>18</v>
      </c>
      <c r="C10" s="23" t="s">
        <v>37</v>
      </c>
      <c r="D10" s="23" t="s">
        <v>340</v>
      </c>
      <c r="E10" s="23" t="s">
        <v>4098</v>
      </c>
      <c r="F10" s="24">
        <v>46307.073460648149</v>
      </c>
      <c r="G10" s="23" t="s">
        <v>21</v>
      </c>
      <c r="H10" s="23" t="s">
        <v>4099</v>
      </c>
      <c r="I10" s="23">
        <v>390</v>
      </c>
      <c r="J10" s="23" t="s">
        <v>22</v>
      </c>
      <c r="K10" s="23" t="s">
        <v>23</v>
      </c>
      <c r="L10" s="23">
        <v>133</v>
      </c>
      <c r="M10" s="23" t="s">
        <v>39</v>
      </c>
      <c r="N10" s="24">
        <v>46307.083229166667</v>
      </c>
      <c r="O10" s="23">
        <v>211</v>
      </c>
      <c r="P10" s="23" t="s">
        <v>40</v>
      </c>
      <c r="Q10" s="23">
        <v>190</v>
      </c>
      <c r="R10" s="3" t="str">
        <f>IF(OR(G10="12R",G10="12L"),_xlfn.XLOOKUP(C10,Tabla42[ADEP],Tabla42[SID 12R],""),IF(OR(G10="30L",G10="30R"),_xlfn.XLOOKUP(C10,Tabla42[ADEP],Tabla42[SID 30L],""),""))</f>
        <v>NUDAL</v>
      </c>
      <c r="S10" s="3">
        <f t="shared" si="0"/>
        <v>1</v>
      </c>
      <c r="T10" s="3" t="str">
        <f>_xlfn.XLOOKUP(C10,Tabla42[ADEP],Tabla42[Sector],"")</f>
        <v>Sector 3</v>
      </c>
    </row>
    <row r="11" spans="1:20" x14ac:dyDescent="0.2">
      <c r="A11" s="23" t="s">
        <v>59</v>
      </c>
      <c r="B11" s="23" t="s">
        <v>18</v>
      </c>
      <c r="C11" s="23" t="s">
        <v>27</v>
      </c>
      <c r="D11" s="23" t="s">
        <v>60</v>
      </c>
      <c r="E11" s="23" t="s">
        <v>3497</v>
      </c>
      <c r="F11" s="24">
        <v>46307.093078703707</v>
      </c>
      <c r="G11" s="23" t="s">
        <v>21</v>
      </c>
      <c r="H11" s="23" t="s">
        <v>4100</v>
      </c>
      <c r="I11" s="23">
        <v>330</v>
      </c>
      <c r="J11" s="23" t="s">
        <v>22</v>
      </c>
      <c r="K11" s="23" t="s">
        <v>23</v>
      </c>
      <c r="L11" s="23">
        <v>345</v>
      </c>
      <c r="M11" s="23" t="s">
        <v>30</v>
      </c>
      <c r="N11" s="24">
        <v>46307.113541666666</v>
      </c>
      <c r="O11" s="23">
        <v>326</v>
      </c>
      <c r="P11" s="23" t="s">
        <v>25</v>
      </c>
      <c r="Q11" s="23">
        <v>40</v>
      </c>
      <c r="R11" s="3" t="str">
        <f>IF(OR(G11="12R",G11="12L"),_xlfn.XLOOKUP(C11,Tabla42[ADEP],Tabla42[SID 12R],""),IF(OR(G11="30L",G11="30R"),_xlfn.XLOOKUP(C11,Tabla42[ADEP],Tabla42[SID 30L],""),""))</f>
        <v>OMSUK</v>
      </c>
      <c r="S11" s="3">
        <f t="shared" si="0"/>
        <v>2</v>
      </c>
      <c r="T11" s="3" t="str">
        <f>_xlfn.XLOOKUP(C11,Tabla42[ADEP],Tabla42[Sector],"")</f>
        <v>Sector 3</v>
      </c>
    </row>
    <row r="12" spans="1:20" x14ac:dyDescent="0.2">
      <c r="A12" s="23" t="s">
        <v>2023</v>
      </c>
      <c r="B12" s="23" t="s">
        <v>18</v>
      </c>
      <c r="C12" s="23" t="s">
        <v>32</v>
      </c>
      <c r="D12" s="23" t="s">
        <v>20</v>
      </c>
      <c r="E12" s="23" t="s">
        <v>484</v>
      </c>
      <c r="F12" s="24">
        <v>46307.109317129631</v>
      </c>
      <c r="G12" s="23" t="s">
        <v>21</v>
      </c>
      <c r="H12" s="23" t="s">
        <v>2363</v>
      </c>
      <c r="I12" s="23">
        <v>360</v>
      </c>
      <c r="J12" s="23" t="s">
        <v>22</v>
      </c>
      <c r="K12" s="23" t="s">
        <v>23</v>
      </c>
      <c r="L12" s="23">
        <v>865</v>
      </c>
      <c r="M12" s="23" t="s">
        <v>35</v>
      </c>
      <c r="N12" s="24">
        <v>46307.154907407406</v>
      </c>
      <c r="O12" s="23">
        <v>360</v>
      </c>
      <c r="P12" s="23" t="s">
        <v>25</v>
      </c>
      <c r="Q12" s="23">
        <v>190</v>
      </c>
      <c r="R12" s="3" t="str">
        <f>IF(OR(G12="12R",G12="12L"),_xlfn.XLOOKUP(C12,Tabla42[ADEP],Tabla42[SID 12R],""),IF(OR(G12="30L",G12="30R"),_xlfn.XLOOKUP(C12,Tabla42[ADEP],Tabla42[SID 30L],""),""))</f>
        <v>UDGUV</v>
      </c>
      <c r="S12" s="3">
        <f t="shared" si="0"/>
        <v>2</v>
      </c>
      <c r="T12" s="3" t="str">
        <f>_xlfn.XLOOKUP(C12,Tabla42[ADEP],Tabla42[Sector],"")</f>
        <v>Sector 2</v>
      </c>
    </row>
    <row r="13" spans="1:20" x14ac:dyDescent="0.2">
      <c r="A13" s="23" t="s">
        <v>348</v>
      </c>
      <c r="B13" s="23" t="s">
        <v>18</v>
      </c>
      <c r="C13" s="23" t="s">
        <v>204</v>
      </c>
      <c r="D13" s="23" t="s">
        <v>53</v>
      </c>
      <c r="E13" s="23" t="s">
        <v>393</v>
      </c>
      <c r="F13" s="24">
        <v>46307.119212962964</v>
      </c>
      <c r="G13" s="23" t="s">
        <v>21</v>
      </c>
      <c r="H13" s="23" t="s">
        <v>4101</v>
      </c>
      <c r="I13" s="23">
        <v>370</v>
      </c>
      <c r="J13" s="23" t="s">
        <v>22</v>
      </c>
      <c r="K13" s="23" t="s">
        <v>23</v>
      </c>
      <c r="L13" s="23">
        <v>153</v>
      </c>
      <c r="M13" s="23" t="s">
        <v>111</v>
      </c>
      <c r="N13" s="24">
        <v>46307.130011574074</v>
      </c>
      <c r="O13" s="23">
        <v>278</v>
      </c>
      <c r="P13" s="23" t="s">
        <v>25</v>
      </c>
      <c r="Q13" s="23">
        <v>190</v>
      </c>
      <c r="R13" s="3" t="str">
        <f>IF(OR(G13="12R",G13="12L"),_xlfn.XLOOKUP(C13,Tabla42[ADEP],Tabla42[SID 12R],""),IF(OR(G13="30L",G13="30R"),_xlfn.XLOOKUP(C13,Tabla42[ADEP],Tabla42[SID 30L],""),""))</f>
        <v>TAKUX</v>
      </c>
      <c r="S13" s="3">
        <f t="shared" si="0"/>
        <v>2</v>
      </c>
      <c r="T13" s="3" t="str">
        <f>_xlfn.XLOOKUP(C13,Tabla42[ADEP],Tabla42[Sector],"")</f>
        <v>Sector 7</v>
      </c>
    </row>
    <row r="14" spans="1:20" x14ac:dyDescent="0.2">
      <c r="A14" s="23" t="s">
        <v>2015</v>
      </c>
      <c r="B14" s="23" t="s">
        <v>18</v>
      </c>
      <c r="C14" s="23" t="s">
        <v>341</v>
      </c>
      <c r="D14" s="23" t="s">
        <v>85</v>
      </c>
      <c r="E14" s="23" t="s">
        <v>342</v>
      </c>
      <c r="F14" s="24">
        <v>46307.120972222219</v>
      </c>
      <c r="G14" s="23" t="s">
        <v>21</v>
      </c>
      <c r="H14" s="23" t="s">
        <v>4102</v>
      </c>
      <c r="I14" s="23">
        <v>370</v>
      </c>
      <c r="J14" s="23" t="s">
        <v>22</v>
      </c>
      <c r="K14" s="23" t="s">
        <v>23</v>
      </c>
      <c r="L14" s="23">
        <v>136</v>
      </c>
      <c r="M14" s="23" t="s">
        <v>39</v>
      </c>
      <c r="N14" s="24">
        <v>46307.13082175926</v>
      </c>
      <c r="O14" s="23">
        <v>186</v>
      </c>
      <c r="P14" s="23" t="s">
        <v>40</v>
      </c>
      <c r="Q14" s="23">
        <v>190</v>
      </c>
      <c r="R14" s="3" t="str">
        <f>IF(OR(G14="12R",G14="12L"),_xlfn.XLOOKUP(C14,Tabla42[ADEP],Tabla42[SID 12R],""),IF(OR(G14="30L",G14="30R"),_xlfn.XLOOKUP(C14,Tabla42[ADEP],Tabla42[SID 30L],""),""))</f>
        <v>NUDAL</v>
      </c>
      <c r="S14" s="3">
        <f t="shared" si="0"/>
        <v>2</v>
      </c>
      <c r="T14" s="3" t="str">
        <f>_xlfn.XLOOKUP(C14,Tabla42[ADEP],Tabla42[Sector],"")</f>
        <v>Sector 3</v>
      </c>
    </row>
    <row r="15" spans="1:20" x14ac:dyDescent="0.2">
      <c r="A15" s="23" t="s">
        <v>78</v>
      </c>
      <c r="B15" s="23" t="s">
        <v>18</v>
      </c>
      <c r="C15" s="23" t="s">
        <v>42</v>
      </c>
      <c r="D15" s="23" t="s">
        <v>20</v>
      </c>
      <c r="E15" s="23" t="s">
        <v>661</v>
      </c>
      <c r="F15" s="24">
        <v>46307.122870370367</v>
      </c>
      <c r="G15" s="23" t="s">
        <v>21</v>
      </c>
      <c r="H15" s="23" t="s">
        <v>4103</v>
      </c>
      <c r="I15" s="23">
        <v>360</v>
      </c>
      <c r="J15" s="23" t="s">
        <v>22</v>
      </c>
      <c r="K15" s="23" t="s">
        <v>23</v>
      </c>
      <c r="L15" s="23">
        <v>889</v>
      </c>
      <c r="M15" s="23" t="s">
        <v>4104</v>
      </c>
      <c r="N15" s="24">
        <v>46307.168506944443</v>
      </c>
      <c r="O15" s="23">
        <v>360</v>
      </c>
      <c r="P15" s="23" t="s">
        <v>25</v>
      </c>
      <c r="Q15" s="23">
        <v>190</v>
      </c>
      <c r="R15" s="3" t="str">
        <f>IF(OR(G15="12R",G15="12L"),_xlfn.XLOOKUP(C15,Tabla42[ADEP],Tabla42[SID 12R],""),IF(OR(G15="30L",G15="30R"),_xlfn.XLOOKUP(C15,Tabla42[ADEP],Tabla42[SID 30L],""),""))</f>
        <v>UDGUV</v>
      </c>
      <c r="S15" s="3">
        <f t="shared" si="0"/>
        <v>2</v>
      </c>
      <c r="T15" s="3" t="str">
        <f>_xlfn.XLOOKUP(C15,Tabla42[ADEP],Tabla42[Sector],"")</f>
        <v>Sector 2</v>
      </c>
    </row>
    <row r="16" spans="1:20" x14ac:dyDescent="0.2">
      <c r="A16" s="23" t="s">
        <v>69</v>
      </c>
      <c r="B16" s="23" t="s">
        <v>18</v>
      </c>
      <c r="C16" s="23" t="s">
        <v>42</v>
      </c>
      <c r="D16" s="23" t="s">
        <v>53</v>
      </c>
      <c r="E16" s="23" t="s">
        <v>3541</v>
      </c>
      <c r="F16" s="24">
        <v>46307.12462962963</v>
      </c>
      <c r="G16" s="23" t="s">
        <v>21</v>
      </c>
      <c r="H16" s="23" t="s">
        <v>4105</v>
      </c>
      <c r="I16" s="23">
        <v>380</v>
      </c>
      <c r="J16" s="23" t="s">
        <v>22</v>
      </c>
      <c r="K16" s="23" t="s">
        <v>23</v>
      </c>
      <c r="L16" s="23">
        <v>916</v>
      </c>
      <c r="M16" s="23" t="s">
        <v>668</v>
      </c>
      <c r="N16" s="24">
        <v>46307.172025462962</v>
      </c>
      <c r="O16" s="23">
        <v>380</v>
      </c>
      <c r="P16" s="23" t="s">
        <v>25</v>
      </c>
      <c r="Q16" s="23">
        <v>190</v>
      </c>
      <c r="R16" s="3" t="str">
        <f>IF(OR(G16="12R",G16="12L"),_xlfn.XLOOKUP(C16,Tabla42[ADEP],Tabla42[SID 12R],""),IF(OR(G16="30L",G16="30R"),_xlfn.XLOOKUP(C16,Tabla42[ADEP],Tabla42[SID 30L],""),""))</f>
        <v>UDGUV</v>
      </c>
      <c r="S16" s="3">
        <f t="shared" si="0"/>
        <v>2</v>
      </c>
      <c r="T16" s="3" t="str">
        <f>_xlfn.XLOOKUP(C16,Tabla42[ADEP],Tabla42[Sector],"")</f>
        <v>Sector 2</v>
      </c>
    </row>
    <row r="17" spans="1:20" x14ac:dyDescent="0.2">
      <c r="A17" s="23" t="s">
        <v>4106</v>
      </c>
      <c r="B17" s="23" t="s">
        <v>18</v>
      </c>
      <c r="C17" s="23" t="s">
        <v>197</v>
      </c>
      <c r="D17" s="23" t="s">
        <v>124</v>
      </c>
      <c r="E17" s="23"/>
      <c r="F17" s="24">
        <v>46307.127766203703</v>
      </c>
      <c r="G17" s="23" t="s">
        <v>21</v>
      </c>
      <c r="H17" s="23" t="s">
        <v>4107</v>
      </c>
      <c r="I17" s="23">
        <v>400</v>
      </c>
      <c r="J17" s="23" t="s">
        <v>22</v>
      </c>
      <c r="K17" s="23" t="s">
        <v>50</v>
      </c>
      <c r="L17" s="23">
        <v>863</v>
      </c>
      <c r="M17" s="23" t="s">
        <v>35</v>
      </c>
      <c r="N17" s="24">
        <v>46307.174618055556</v>
      </c>
      <c r="O17" s="23">
        <v>400</v>
      </c>
      <c r="P17" s="23" t="s">
        <v>25</v>
      </c>
      <c r="Q17" s="23">
        <v>30</v>
      </c>
      <c r="R17" s="3" t="str">
        <f>IF(OR(G17="12R",G17="12L"),_xlfn.XLOOKUP(C17,Tabla42[ADEP],Tabla42[SID 12R],""),IF(OR(G17="30L",G17="30R"),_xlfn.XLOOKUP(C17,Tabla42[ADEP],Tabla42[SID 30L],""),""))</f>
        <v>UDGUV</v>
      </c>
      <c r="S17" s="3">
        <f t="shared" si="0"/>
        <v>3</v>
      </c>
      <c r="T17" s="3" t="str">
        <f>_xlfn.XLOOKUP(C17,Tabla42[ADEP],Tabla42[Sector],"")</f>
        <v>Sector 2</v>
      </c>
    </row>
    <row r="18" spans="1:20" x14ac:dyDescent="0.2">
      <c r="A18" s="23" t="s">
        <v>81</v>
      </c>
      <c r="B18" s="23" t="s">
        <v>18</v>
      </c>
      <c r="C18" s="23" t="s">
        <v>49</v>
      </c>
      <c r="D18" s="23" t="s">
        <v>33</v>
      </c>
      <c r="E18" s="23" t="s">
        <v>456</v>
      </c>
      <c r="F18" s="24">
        <v>46307.132002314815</v>
      </c>
      <c r="G18" s="23" t="s">
        <v>21</v>
      </c>
      <c r="H18" s="23" t="s">
        <v>2361</v>
      </c>
      <c r="I18" s="23">
        <v>380</v>
      </c>
      <c r="J18" s="23" t="s">
        <v>22</v>
      </c>
      <c r="K18" s="23" t="s">
        <v>23</v>
      </c>
      <c r="L18" s="23">
        <v>859</v>
      </c>
      <c r="M18" s="23" t="s">
        <v>45</v>
      </c>
      <c r="N18" s="24">
        <v>46307.17664351852</v>
      </c>
      <c r="O18" s="23">
        <v>380</v>
      </c>
      <c r="P18" s="23" t="s">
        <v>25</v>
      </c>
      <c r="Q18" s="23">
        <v>190</v>
      </c>
      <c r="R18" s="3" t="str">
        <f>IF(OR(G18="12R",G18="12L"),_xlfn.XLOOKUP(C18,Tabla42[ADEP],Tabla42[SID 12R],""),IF(OR(G18="30L",G18="30R"),_xlfn.XLOOKUP(C18,Tabla42[ADEP],Tabla42[SID 30L],""),""))</f>
        <v>UDGUV</v>
      </c>
      <c r="S18" s="3">
        <f t="shared" si="0"/>
        <v>3</v>
      </c>
      <c r="T18" s="3" t="str">
        <f>_xlfn.XLOOKUP(C18,Tabla42[ADEP],Tabla42[Sector],"")</f>
        <v>Sector 2</v>
      </c>
    </row>
    <row r="19" spans="1:20" x14ac:dyDescent="0.2">
      <c r="A19" s="23" t="s">
        <v>4108</v>
      </c>
      <c r="B19" s="23" t="s">
        <v>18</v>
      </c>
      <c r="C19" s="23" t="s">
        <v>49</v>
      </c>
      <c r="D19" s="23" t="s">
        <v>4109</v>
      </c>
      <c r="E19" s="23"/>
      <c r="F19" s="24">
        <v>46307.134872685187</v>
      </c>
      <c r="G19" s="23" t="s">
        <v>21</v>
      </c>
      <c r="H19" s="23" t="s">
        <v>985</v>
      </c>
      <c r="I19" s="23">
        <v>400</v>
      </c>
      <c r="J19" s="23" t="s">
        <v>22</v>
      </c>
      <c r="K19" s="23" t="s">
        <v>50</v>
      </c>
      <c r="L19" s="23">
        <v>862</v>
      </c>
      <c r="M19" s="23" t="s">
        <v>45</v>
      </c>
      <c r="N19" s="24">
        <v>46307.180208333331</v>
      </c>
      <c r="O19" s="23">
        <v>400</v>
      </c>
      <c r="P19" s="23" t="s">
        <v>25</v>
      </c>
      <c r="Q19" s="23">
        <v>30</v>
      </c>
      <c r="R19" s="3" t="str">
        <f>IF(OR(G19="12R",G19="12L"),_xlfn.XLOOKUP(C19,Tabla42[ADEP],Tabla42[SID 12R],""),IF(OR(G19="30L",G19="30R"),_xlfn.XLOOKUP(C19,Tabla42[ADEP],Tabla42[SID 30L],""),""))</f>
        <v>UDGUV</v>
      </c>
      <c r="S19" s="3">
        <f t="shared" si="0"/>
        <v>3</v>
      </c>
      <c r="T19" s="3" t="str">
        <f>_xlfn.XLOOKUP(C19,Tabla42[ADEP],Tabla42[Sector],"")</f>
        <v>Sector 2</v>
      </c>
    </row>
    <row r="20" spans="1:20" x14ac:dyDescent="0.2">
      <c r="A20" s="23" t="s">
        <v>504</v>
      </c>
      <c r="B20" s="23" t="s">
        <v>18</v>
      </c>
      <c r="C20" s="23" t="s">
        <v>96</v>
      </c>
      <c r="D20" s="23" t="s">
        <v>53</v>
      </c>
      <c r="E20" s="23" t="s">
        <v>787</v>
      </c>
      <c r="F20" s="24">
        <v>46307.149097222224</v>
      </c>
      <c r="G20" s="23" t="s">
        <v>21</v>
      </c>
      <c r="H20" s="23" t="s">
        <v>170</v>
      </c>
      <c r="I20" s="23">
        <v>360</v>
      </c>
      <c r="J20" s="23" t="s">
        <v>22</v>
      </c>
      <c r="K20" s="23" t="s">
        <v>23</v>
      </c>
      <c r="L20" s="23">
        <v>859</v>
      </c>
      <c r="M20" s="23" t="s">
        <v>45</v>
      </c>
      <c r="N20" s="24">
        <v>46307.194050925929</v>
      </c>
      <c r="O20" s="23">
        <v>360</v>
      </c>
      <c r="P20" s="23" t="s">
        <v>25</v>
      </c>
      <c r="Q20" s="23">
        <v>190</v>
      </c>
      <c r="R20" s="3" t="str">
        <f>IF(OR(G20="12R",G20="12L"),_xlfn.XLOOKUP(C20,Tabla42[ADEP],Tabla42[SID 12R],""),IF(OR(G20="30L",G20="30R"),_xlfn.XLOOKUP(C20,Tabla42[ADEP],Tabla42[SID 30L],""),""))</f>
        <v>UDGUV</v>
      </c>
      <c r="S20" s="3">
        <f t="shared" si="0"/>
        <v>3</v>
      </c>
      <c r="T20" s="3" t="str">
        <f>_xlfn.XLOOKUP(C20,Tabla42[ADEP],Tabla42[Sector],"")</f>
        <v>Sector 2</v>
      </c>
    </row>
    <row r="21" spans="1:20" x14ac:dyDescent="0.2">
      <c r="A21" s="23" t="s">
        <v>2030</v>
      </c>
      <c r="B21" s="23" t="s">
        <v>18</v>
      </c>
      <c r="C21" s="23" t="s">
        <v>657</v>
      </c>
      <c r="D21" s="23" t="s">
        <v>60</v>
      </c>
      <c r="E21" s="23" t="s">
        <v>2031</v>
      </c>
      <c r="F21" s="24">
        <v>46307.176516203705</v>
      </c>
      <c r="G21" s="23" t="s">
        <v>21</v>
      </c>
      <c r="H21" s="23" t="s">
        <v>4110</v>
      </c>
      <c r="I21" s="23">
        <v>350</v>
      </c>
      <c r="J21" s="23" t="s">
        <v>22</v>
      </c>
      <c r="K21" s="23" t="s">
        <v>23</v>
      </c>
      <c r="L21" s="23">
        <v>356</v>
      </c>
      <c r="M21" s="23" t="s">
        <v>30</v>
      </c>
      <c r="N21" s="24">
        <v>46307.197337962964</v>
      </c>
      <c r="O21" s="23">
        <v>350</v>
      </c>
      <c r="P21" s="23" t="s">
        <v>25</v>
      </c>
      <c r="Q21" s="23">
        <v>190</v>
      </c>
      <c r="R21" s="3" t="str">
        <f>IF(OR(G21="12R",G21="12L"),_xlfn.XLOOKUP(C21,Tabla42[ADEP],Tabla42[SID 12R],""),IF(OR(G21="30L",G21="30R"),_xlfn.XLOOKUP(C21,Tabla42[ADEP],Tabla42[SID 30L],""),""))</f>
        <v>OMSUK</v>
      </c>
      <c r="S21" s="3">
        <f t="shared" si="0"/>
        <v>4</v>
      </c>
      <c r="T21" s="3" t="str">
        <f>_xlfn.XLOOKUP(C21,Tabla42[ADEP],Tabla42[Sector],"")</f>
        <v>Sector 3</v>
      </c>
    </row>
    <row r="22" spans="1:20" x14ac:dyDescent="0.2">
      <c r="A22" s="23" t="s">
        <v>86</v>
      </c>
      <c r="B22" s="23" t="s">
        <v>18</v>
      </c>
      <c r="C22" s="23" t="s">
        <v>42</v>
      </c>
      <c r="D22" s="23" t="s">
        <v>20</v>
      </c>
      <c r="E22" s="23" t="s">
        <v>2141</v>
      </c>
      <c r="F22" s="24">
        <v>46307.182685185187</v>
      </c>
      <c r="G22" s="23" t="s">
        <v>21</v>
      </c>
      <c r="H22" s="23" t="s">
        <v>4111</v>
      </c>
      <c r="I22" s="23">
        <v>360</v>
      </c>
      <c r="J22" s="23" t="s">
        <v>22</v>
      </c>
      <c r="K22" s="23" t="s">
        <v>23</v>
      </c>
      <c r="L22" s="23">
        <v>859</v>
      </c>
      <c r="M22" s="23" t="s">
        <v>45</v>
      </c>
      <c r="N22" s="24">
        <v>46307.226770833331</v>
      </c>
      <c r="O22" s="23">
        <v>360</v>
      </c>
      <c r="P22" s="23" t="s">
        <v>25</v>
      </c>
      <c r="Q22" s="23">
        <v>190</v>
      </c>
      <c r="R22" s="3" t="str">
        <f>IF(OR(G22="12R",G22="12L"),_xlfn.XLOOKUP(C22,Tabla42[ADEP],Tabla42[SID 12R],""),IF(OR(G22="30L",G22="30R"),_xlfn.XLOOKUP(C22,Tabla42[ADEP],Tabla42[SID 30L],""),""))</f>
        <v>UDGUV</v>
      </c>
      <c r="S22" s="3">
        <f t="shared" si="0"/>
        <v>4</v>
      </c>
      <c r="T22" s="3" t="str">
        <f>_xlfn.XLOOKUP(C22,Tabla42[ADEP],Tabla42[Sector],"")</f>
        <v>Sector 2</v>
      </c>
    </row>
    <row r="23" spans="1:20" x14ac:dyDescent="0.2">
      <c r="A23" s="23" t="s">
        <v>75</v>
      </c>
      <c r="B23" s="23" t="s">
        <v>18</v>
      </c>
      <c r="C23" s="23" t="s">
        <v>19</v>
      </c>
      <c r="D23" s="23" t="s">
        <v>60</v>
      </c>
      <c r="E23" s="23" t="s">
        <v>690</v>
      </c>
      <c r="F23" s="24">
        <v>46307.240347222221</v>
      </c>
      <c r="G23" s="23" t="s">
        <v>623</v>
      </c>
      <c r="H23" s="23" t="s">
        <v>4112</v>
      </c>
      <c r="I23" s="23">
        <v>360</v>
      </c>
      <c r="J23" s="23" t="s">
        <v>22</v>
      </c>
      <c r="K23" s="23" t="s">
        <v>23</v>
      </c>
      <c r="L23" s="23">
        <v>870</v>
      </c>
      <c r="M23" s="23" t="s">
        <v>167</v>
      </c>
      <c r="N23" s="24">
        <v>46307.285173611112</v>
      </c>
      <c r="O23" s="23">
        <v>360</v>
      </c>
      <c r="P23" s="23" t="s">
        <v>25</v>
      </c>
      <c r="Q23" s="23">
        <v>190</v>
      </c>
      <c r="R23" s="3" t="str">
        <f>IF(OR(G23="12R",G23="12L"),_xlfn.XLOOKUP(C23,Tabla42[ADEP],Tabla42[SID 12R],""),IF(OR(G23="30L",G23="30R"),_xlfn.XLOOKUP(C23,Tabla42[ADEP],Tabla42[SID 30L],""),""))</f>
        <v>UDGUV</v>
      </c>
      <c r="S23" s="3">
        <f t="shared" si="0"/>
        <v>5</v>
      </c>
      <c r="T23" s="3" t="str">
        <f>_xlfn.XLOOKUP(C23,Tabla42[ADEP],Tabla42[Sector],"")</f>
        <v>Sector 2</v>
      </c>
    </row>
    <row r="24" spans="1:20" x14ac:dyDescent="0.2">
      <c r="A24" s="23" t="s">
        <v>90</v>
      </c>
      <c r="B24" s="23" t="s">
        <v>18</v>
      </c>
      <c r="C24" s="23" t="s">
        <v>42</v>
      </c>
      <c r="D24" s="23" t="s">
        <v>20</v>
      </c>
      <c r="E24" s="23" t="s">
        <v>3714</v>
      </c>
      <c r="F24" s="24">
        <v>46307.438391203701</v>
      </c>
      <c r="G24" s="23" t="s">
        <v>623</v>
      </c>
      <c r="H24" s="23" t="s">
        <v>4113</v>
      </c>
      <c r="I24" s="23">
        <v>380</v>
      </c>
      <c r="J24" s="23" t="s">
        <v>22</v>
      </c>
      <c r="K24" s="23" t="s">
        <v>23</v>
      </c>
      <c r="L24" s="23">
        <v>863</v>
      </c>
      <c r="M24" s="23" t="s">
        <v>2654</v>
      </c>
      <c r="N24" s="24">
        <v>46307.4840625</v>
      </c>
      <c r="O24" s="23">
        <v>380</v>
      </c>
      <c r="P24" s="23" t="s">
        <v>25</v>
      </c>
      <c r="Q24" s="23">
        <v>190</v>
      </c>
      <c r="R24" s="3" t="str">
        <f>IF(OR(G24="12R",G24="12L"),_xlfn.XLOOKUP(C24,Tabla42[ADEP],Tabla42[SID 12R],""),IF(OR(G24="30L",G24="30R"),_xlfn.XLOOKUP(C24,Tabla42[ADEP],Tabla42[SID 30L],""),""))</f>
        <v>UDGUV</v>
      </c>
      <c r="S24" s="3">
        <f t="shared" si="0"/>
        <v>10</v>
      </c>
      <c r="T24" s="3" t="str">
        <f>_xlfn.XLOOKUP(C24,Tabla42[ADEP],Tabla42[Sector],"")</f>
        <v>Sector 2</v>
      </c>
    </row>
    <row r="25" spans="1:20" x14ac:dyDescent="0.2">
      <c r="A25" s="23" t="s">
        <v>100</v>
      </c>
      <c r="B25" s="23" t="s">
        <v>18</v>
      </c>
      <c r="C25" s="23" t="s">
        <v>42</v>
      </c>
      <c r="D25" s="23" t="s">
        <v>20</v>
      </c>
      <c r="E25" s="23" t="s">
        <v>1010</v>
      </c>
      <c r="F25" s="24">
        <v>46307.451770833337</v>
      </c>
      <c r="G25" s="23" t="s">
        <v>623</v>
      </c>
      <c r="H25" s="23" t="s">
        <v>4114</v>
      </c>
      <c r="I25" s="23">
        <v>360</v>
      </c>
      <c r="J25" s="23" t="s">
        <v>22</v>
      </c>
      <c r="K25" s="23" t="s">
        <v>23</v>
      </c>
      <c r="L25" s="23">
        <v>861</v>
      </c>
      <c r="M25" s="23" t="s">
        <v>45</v>
      </c>
      <c r="N25" s="24">
        <v>46307.496886574074</v>
      </c>
      <c r="O25" s="23">
        <v>360</v>
      </c>
      <c r="P25" s="23" t="s">
        <v>25</v>
      </c>
      <c r="Q25" s="23">
        <v>190</v>
      </c>
      <c r="R25" s="3" t="str">
        <f>IF(OR(G25="12R",G25="12L"),_xlfn.XLOOKUP(C25,Tabla42[ADEP],Tabla42[SID 12R],""),IF(OR(G25="30L",G25="30R"),_xlfn.XLOOKUP(C25,Tabla42[ADEP],Tabla42[SID 30L],""),""))</f>
        <v>UDGUV</v>
      </c>
      <c r="S25" s="3">
        <f t="shared" si="0"/>
        <v>10</v>
      </c>
      <c r="T25" s="3" t="str">
        <f>_xlfn.XLOOKUP(C25,Tabla42[ADEP],Tabla42[Sector],"")</f>
        <v>Sector 2</v>
      </c>
    </row>
    <row r="26" spans="1:20" x14ac:dyDescent="0.2">
      <c r="A26" s="23" t="s">
        <v>98</v>
      </c>
      <c r="B26" s="23" t="s">
        <v>18</v>
      </c>
      <c r="C26" s="23" t="s">
        <v>42</v>
      </c>
      <c r="D26" s="23" t="s">
        <v>43</v>
      </c>
      <c r="E26" s="23" t="s">
        <v>182</v>
      </c>
      <c r="F26" s="24">
        <v>46307.467627314814</v>
      </c>
      <c r="G26" s="23" t="s">
        <v>623</v>
      </c>
      <c r="H26" s="23" t="s">
        <v>4115</v>
      </c>
      <c r="I26" s="23">
        <v>360</v>
      </c>
      <c r="J26" s="23" t="s">
        <v>22</v>
      </c>
      <c r="K26" s="23" t="s">
        <v>23</v>
      </c>
      <c r="L26" s="23">
        <v>861</v>
      </c>
      <c r="M26" s="23" t="s">
        <v>24</v>
      </c>
      <c r="N26" s="24">
        <v>46307.512511574074</v>
      </c>
      <c r="O26" s="23">
        <v>360</v>
      </c>
      <c r="P26" s="23" t="s">
        <v>25</v>
      </c>
      <c r="Q26" s="23">
        <v>190</v>
      </c>
      <c r="R26" s="3" t="str">
        <f>IF(OR(G26="12R",G26="12L"),_xlfn.XLOOKUP(C26,Tabla42[ADEP],Tabla42[SID 12R],""),IF(OR(G26="30L",G26="30R"),_xlfn.XLOOKUP(C26,Tabla42[ADEP],Tabla42[SID 30L],""),""))</f>
        <v>UDGUV</v>
      </c>
      <c r="S26" s="3">
        <f t="shared" si="0"/>
        <v>11</v>
      </c>
      <c r="T26" s="3" t="str">
        <f>_xlfn.XLOOKUP(C26,Tabla42[ADEP],Tabla42[Sector],"")</f>
        <v>Sector 2</v>
      </c>
    </row>
    <row r="27" spans="1:20" x14ac:dyDescent="0.2">
      <c r="A27" s="23" t="s">
        <v>92</v>
      </c>
      <c r="B27" s="23" t="s">
        <v>18</v>
      </c>
      <c r="C27" s="23" t="s">
        <v>93</v>
      </c>
      <c r="D27" s="23" t="s">
        <v>20</v>
      </c>
      <c r="E27" s="23" t="s">
        <v>2024</v>
      </c>
      <c r="F27" s="24">
        <v>46307.469328703701</v>
      </c>
      <c r="G27" s="23" t="s">
        <v>623</v>
      </c>
      <c r="H27" s="23" t="s">
        <v>4116</v>
      </c>
      <c r="I27" s="23">
        <v>360</v>
      </c>
      <c r="J27" s="23" t="s">
        <v>22</v>
      </c>
      <c r="K27" s="23" t="s">
        <v>23</v>
      </c>
      <c r="L27" s="23">
        <v>893</v>
      </c>
      <c r="M27" s="23" t="s">
        <v>94</v>
      </c>
      <c r="N27" s="24">
        <v>46307.516134259262</v>
      </c>
      <c r="O27" s="23">
        <v>225</v>
      </c>
      <c r="P27" s="23" t="s">
        <v>25</v>
      </c>
      <c r="Q27" s="23">
        <v>190</v>
      </c>
      <c r="R27" s="3" t="str">
        <f>IF(OR(G27="12R",G27="12L"),_xlfn.XLOOKUP(C27,Tabla42[ADEP],Tabla42[SID 12R],""),IF(OR(G27="30L",G27="30R"),_xlfn.XLOOKUP(C27,Tabla42[ADEP],Tabla42[SID 30L],""),""))</f>
        <v>UDGUV</v>
      </c>
      <c r="S27" s="3">
        <f t="shared" si="0"/>
        <v>11</v>
      </c>
      <c r="T27" s="3" t="str">
        <f>_xlfn.XLOOKUP(C27,Tabla42[ADEP],Tabla42[Sector],"")</f>
        <v>Sector 2</v>
      </c>
    </row>
    <row r="28" spans="1:20" x14ac:dyDescent="0.2">
      <c r="A28" s="23" t="s">
        <v>95</v>
      </c>
      <c r="B28" s="23" t="s">
        <v>18</v>
      </c>
      <c r="C28" s="23" t="s">
        <v>96</v>
      </c>
      <c r="D28" s="23" t="s">
        <v>60</v>
      </c>
      <c r="E28" s="23" t="s">
        <v>529</v>
      </c>
      <c r="F28" s="24">
        <v>46307.476909722223</v>
      </c>
      <c r="G28" s="23" t="s">
        <v>623</v>
      </c>
      <c r="H28" s="23" t="s">
        <v>4117</v>
      </c>
      <c r="I28" s="23">
        <v>360</v>
      </c>
      <c r="J28" s="23" t="s">
        <v>22</v>
      </c>
      <c r="K28" s="23" t="s">
        <v>23</v>
      </c>
      <c r="L28" s="23">
        <v>861</v>
      </c>
      <c r="M28" s="23" t="s">
        <v>45</v>
      </c>
      <c r="N28" s="24">
        <v>46307.521423611113</v>
      </c>
      <c r="O28" s="23">
        <v>360</v>
      </c>
      <c r="P28" s="23" t="s">
        <v>25</v>
      </c>
      <c r="Q28" s="23">
        <v>190</v>
      </c>
      <c r="R28" s="3" t="str">
        <f>IF(OR(G28="12R",G28="12L"),_xlfn.XLOOKUP(C28,Tabla42[ADEP],Tabla42[SID 12R],""),IF(OR(G28="30L",G28="30R"),_xlfn.XLOOKUP(C28,Tabla42[ADEP],Tabla42[SID 30L],""),""))</f>
        <v>UDGUV</v>
      </c>
      <c r="S28" s="3">
        <f t="shared" si="0"/>
        <v>11</v>
      </c>
      <c r="T28" s="3" t="str">
        <f>_xlfn.XLOOKUP(C28,Tabla42[ADEP],Tabla42[Sector],"")</f>
        <v>Sector 2</v>
      </c>
    </row>
    <row r="29" spans="1:20" x14ac:dyDescent="0.2">
      <c r="A29" s="23" t="s">
        <v>101</v>
      </c>
      <c r="B29" s="23" t="s">
        <v>18</v>
      </c>
      <c r="C29" s="23" t="s">
        <v>102</v>
      </c>
      <c r="D29" s="23" t="s">
        <v>33</v>
      </c>
      <c r="E29" s="23" t="s">
        <v>368</v>
      </c>
      <c r="F29" s="24">
        <v>46307.488425925927</v>
      </c>
      <c r="G29" s="23" t="s">
        <v>623</v>
      </c>
      <c r="H29" s="23" t="s">
        <v>2670</v>
      </c>
      <c r="I29" s="23">
        <v>290</v>
      </c>
      <c r="J29" s="23" t="s">
        <v>22</v>
      </c>
      <c r="K29" s="23" t="s">
        <v>23</v>
      </c>
      <c r="L29" s="23">
        <v>132</v>
      </c>
      <c r="M29" s="23" t="s">
        <v>39</v>
      </c>
      <c r="N29" s="24">
        <v>46307.49795138889</v>
      </c>
      <c r="O29" s="23">
        <v>259</v>
      </c>
      <c r="P29" s="23" t="s">
        <v>25</v>
      </c>
      <c r="Q29" s="23">
        <v>190</v>
      </c>
      <c r="R29" s="3" t="str">
        <f>IF(OR(G29="12R",G29="12L"),_xlfn.XLOOKUP(C29,Tabla42[ADEP],Tabla42[SID 12R],""),IF(OR(G29="30L",G29="30R"),_xlfn.XLOOKUP(C29,Tabla42[ADEP],Tabla42[SID 30L],""),""))</f>
        <v>NUDAL</v>
      </c>
      <c r="S29" s="3">
        <f t="shared" si="0"/>
        <v>11</v>
      </c>
      <c r="T29" s="3" t="str">
        <f>_xlfn.XLOOKUP(C29,Tabla42[ADEP],Tabla42[Sector],"")</f>
        <v>Sector 3</v>
      </c>
    </row>
    <row r="30" spans="1:20" x14ac:dyDescent="0.2">
      <c r="A30" s="23" t="s">
        <v>105</v>
      </c>
      <c r="B30" s="23" t="s">
        <v>18</v>
      </c>
      <c r="C30" s="23" t="s">
        <v>32</v>
      </c>
      <c r="D30" s="23" t="s">
        <v>53</v>
      </c>
      <c r="E30" s="23" t="s">
        <v>106</v>
      </c>
      <c r="F30" s="24">
        <v>46307.503460648149</v>
      </c>
      <c r="G30" s="23" t="s">
        <v>623</v>
      </c>
      <c r="H30" s="23" t="s">
        <v>4118</v>
      </c>
      <c r="I30" s="23">
        <v>380</v>
      </c>
      <c r="J30" s="23" t="s">
        <v>22</v>
      </c>
      <c r="K30" s="23" t="s">
        <v>23</v>
      </c>
      <c r="L30" s="23">
        <v>880</v>
      </c>
      <c r="M30" s="23" t="s">
        <v>35</v>
      </c>
      <c r="N30" s="24">
        <v>46307.549710648149</v>
      </c>
      <c r="O30" s="23">
        <v>380</v>
      </c>
      <c r="P30" s="23" t="s">
        <v>25</v>
      </c>
      <c r="Q30" s="23">
        <v>190</v>
      </c>
      <c r="R30" s="3" t="str">
        <f>IF(OR(G30="12R",G30="12L"),_xlfn.XLOOKUP(C30,Tabla42[ADEP],Tabla42[SID 12R],""),IF(OR(G30="30L",G30="30R"),_xlfn.XLOOKUP(C30,Tabla42[ADEP],Tabla42[SID 30L],""),""))</f>
        <v>UDGUV</v>
      </c>
      <c r="S30" s="3">
        <f t="shared" si="0"/>
        <v>12</v>
      </c>
      <c r="T30" s="3" t="str">
        <f>_xlfn.XLOOKUP(C30,Tabla42[ADEP],Tabla42[Sector],"")</f>
        <v>Sector 2</v>
      </c>
    </row>
    <row r="31" spans="1:20" x14ac:dyDescent="0.2">
      <c r="A31" s="23" t="s">
        <v>4119</v>
      </c>
      <c r="B31" s="23" t="s">
        <v>18</v>
      </c>
      <c r="C31" s="23" t="s">
        <v>257</v>
      </c>
      <c r="D31" s="23" t="s">
        <v>28</v>
      </c>
      <c r="E31" s="23" t="s">
        <v>4120</v>
      </c>
      <c r="F31" s="24">
        <v>46307.505347222221</v>
      </c>
      <c r="G31" s="23" t="s">
        <v>623</v>
      </c>
      <c r="H31" s="23" t="s">
        <v>4121</v>
      </c>
      <c r="I31" s="23">
        <v>380</v>
      </c>
      <c r="J31" s="23" t="s">
        <v>22</v>
      </c>
      <c r="K31" s="23" t="s">
        <v>141</v>
      </c>
      <c r="L31" s="23">
        <v>533</v>
      </c>
      <c r="M31" s="23" t="s">
        <v>123</v>
      </c>
      <c r="N31" s="24">
        <v>46307.534467592595</v>
      </c>
      <c r="O31" s="23">
        <v>380</v>
      </c>
      <c r="P31" s="23" t="s">
        <v>25</v>
      </c>
      <c r="Q31" s="23">
        <v>40</v>
      </c>
      <c r="R31" s="3" t="str">
        <f>IF(OR(G31="12R",G31="12L"),_xlfn.XLOOKUP(C31,Tabla42[ADEP],Tabla42[SID 12R],""),IF(OR(G31="30L",G31="30R"),_xlfn.XLOOKUP(C31,Tabla42[ADEP],Tabla42[SID 30L],""),""))</f>
        <v>UDGUV</v>
      </c>
      <c r="S31" s="3">
        <f t="shared" si="0"/>
        <v>12</v>
      </c>
      <c r="T31" s="3" t="str">
        <f>_xlfn.XLOOKUP(C31,Tabla42[ADEP],Tabla42[Sector],"")</f>
        <v>Sector 2</v>
      </c>
    </row>
    <row r="32" spans="1:20" x14ac:dyDescent="0.2">
      <c r="A32" s="23" t="s">
        <v>108</v>
      </c>
      <c r="B32" s="23" t="s">
        <v>18</v>
      </c>
      <c r="C32" s="23" t="s">
        <v>109</v>
      </c>
      <c r="D32" s="23" t="s">
        <v>122</v>
      </c>
      <c r="E32" s="23" t="s">
        <v>4122</v>
      </c>
      <c r="F32" s="24">
        <v>46307.508726851855</v>
      </c>
      <c r="G32" s="23" t="s">
        <v>623</v>
      </c>
      <c r="H32" s="23" t="s">
        <v>4123</v>
      </c>
      <c r="I32" s="23">
        <v>350</v>
      </c>
      <c r="J32" s="23" t="s">
        <v>22</v>
      </c>
      <c r="K32" s="23" t="s">
        <v>23</v>
      </c>
      <c r="L32" s="23">
        <v>149</v>
      </c>
      <c r="M32" s="23" t="s">
        <v>111</v>
      </c>
      <c r="N32" s="24">
        <v>46307.518912037034</v>
      </c>
      <c r="O32" s="23">
        <v>285</v>
      </c>
      <c r="P32" s="23" t="s">
        <v>25</v>
      </c>
      <c r="Q32" s="23">
        <v>190</v>
      </c>
      <c r="R32" s="3" t="str">
        <f>IF(OR(G32="12R",G32="12L"),_xlfn.XLOOKUP(C32,Tabla42[ADEP],Tabla42[SID 12R],""),IF(OR(G32="30L",G32="30R"),_xlfn.XLOOKUP(C32,Tabla42[ADEP],Tabla42[SID 30L],""),""))</f>
        <v>TAKUX</v>
      </c>
      <c r="S32" s="3">
        <f t="shared" si="0"/>
        <v>12</v>
      </c>
      <c r="T32" s="3" t="str">
        <f>_xlfn.XLOOKUP(C32,Tabla42[ADEP],Tabla42[Sector],"")</f>
        <v>Sector 7</v>
      </c>
    </row>
    <row r="33" spans="1:20" x14ac:dyDescent="0.2">
      <c r="A33" s="23" t="s">
        <v>107</v>
      </c>
      <c r="B33" s="23" t="s">
        <v>18</v>
      </c>
      <c r="C33" s="23" t="s">
        <v>42</v>
      </c>
      <c r="D33" s="23" t="s">
        <v>43</v>
      </c>
      <c r="E33" s="23" t="s">
        <v>527</v>
      </c>
      <c r="F33" s="24">
        <v>46307.510601851849</v>
      </c>
      <c r="G33" s="23" t="s">
        <v>623</v>
      </c>
      <c r="H33" s="23" t="s">
        <v>4124</v>
      </c>
      <c r="I33" s="23">
        <v>360</v>
      </c>
      <c r="J33" s="23" t="s">
        <v>22</v>
      </c>
      <c r="K33" s="23" t="s">
        <v>23</v>
      </c>
      <c r="L33" s="23">
        <v>861</v>
      </c>
      <c r="M33" s="23" t="s">
        <v>45</v>
      </c>
      <c r="N33" s="24">
        <v>46307.555405092593</v>
      </c>
      <c r="O33" s="23">
        <v>360</v>
      </c>
      <c r="P33" s="23" t="s">
        <v>25</v>
      </c>
      <c r="Q33" s="23">
        <v>190</v>
      </c>
      <c r="R33" s="3" t="str">
        <f>IF(OR(G33="12R",G33="12L"),_xlfn.XLOOKUP(C33,Tabla42[ADEP],Tabla42[SID 12R],""),IF(OR(G33="30L",G33="30R"),_xlfn.XLOOKUP(C33,Tabla42[ADEP],Tabla42[SID 30L],""),""))</f>
        <v>UDGUV</v>
      </c>
      <c r="S33" s="3">
        <f t="shared" si="0"/>
        <v>12</v>
      </c>
      <c r="T33" s="3" t="str">
        <f>_xlfn.XLOOKUP(C33,Tabla42[ADEP],Tabla42[Sector],"")</f>
        <v>Sector 2</v>
      </c>
    </row>
    <row r="34" spans="1:20" x14ac:dyDescent="0.2">
      <c r="A34" s="23" t="s">
        <v>2381</v>
      </c>
      <c r="B34" s="23" t="s">
        <v>18</v>
      </c>
      <c r="C34" s="23" t="s">
        <v>121</v>
      </c>
      <c r="D34" s="23" t="s">
        <v>122</v>
      </c>
      <c r="E34" s="23" t="s">
        <v>4125</v>
      </c>
      <c r="F34" s="24">
        <v>46307.519143518519</v>
      </c>
      <c r="G34" s="23" t="s">
        <v>623</v>
      </c>
      <c r="H34" s="23" t="s">
        <v>4126</v>
      </c>
      <c r="I34" s="23">
        <v>360</v>
      </c>
      <c r="J34" s="23" t="s">
        <v>22</v>
      </c>
      <c r="K34" s="23" t="s">
        <v>23</v>
      </c>
      <c r="L34" s="23">
        <v>533</v>
      </c>
      <c r="M34" s="23" t="s">
        <v>123</v>
      </c>
      <c r="N34" s="24">
        <v>46307.548414351855</v>
      </c>
      <c r="O34" s="23">
        <v>360</v>
      </c>
      <c r="P34" s="23" t="s">
        <v>25</v>
      </c>
      <c r="Q34" s="23">
        <v>40</v>
      </c>
      <c r="R34" s="3" t="str">
        <f>IF(OR(G34="12R",G34="12L"),_xlfn.XLOOKUP(C34,Tabla42[ADEP],Tabla42[SID 12R],""),IF(OR(G34="30L",G34="30R"),_xlfn.XLOOKUP(C34,Tabla42[ADEP],Tabla42[SID 30L],""),""))</f>
        <v>ENEBA</v>
      </c>
      <c r="S34" s="3">
        <f t="shared" si="0"/>
        <v>12</v>
      </c>
      <c r="T34" s="3" t="str">
        <f>_xlfn.XLOOKUP(C34,Tabla42[ADEP],Tabla42[Sector],"")</f>
        <v>Sector 3</v>
      </c>
    </row>
    <row r="35" spans="1:20" x14ac:dyDescent="0.2">
      <c r="A35" s="23" t="s">
        <v>115</v>
      </c>
      <c r="B35" s="23" t="s">
        <v>18</v>
      </c>
      <c r="C35" s="23" t="s">
        <v>116</v>
      </c>
      <c r="D35" s="23" t="s">
        <v>117</v>
      </c>
      <c r="E35" s="23" t="s">
        <v>4127</v>
      </c>
      <c r="F35" s="24">
        <v>46307.542824074073</v>
      </c>
      <c r="G35" s="23" t="s">
        <v>623</v>
      </c>
      <c r="H35" s="23" t="s">
        <v>4128</v>
      </c>
      <c r="I35" s="23">
        <v>320</v>
      </c>
      <c r="J35" s="23" t="s">
        <v>22</v>
      </c>
      <c r="K35" s="23" t="s">
        <v>23</v>
      </c>
      <c r="L35" s="23">
        <v>512</v>
      </c>
      <c r="M35" s="23" t="s">
        <v>4085</v>
      </c>
      <c r="N35" s="24">
        <v>46307.57099537037</v>
      </c>
      <c r="O35" s="23">
        <v>360</v>
      </c>
      <c r="P35" s="23" t="s">
        <v>25</v>
      </c>
      <c r="Q35" s="23">
        <v>40</v>
      </c>
      <c r="R35" s="3" t="str">
        <f>IF(OR(G35="12R",G35="12L"),_xlfn.XLOOKUP(C35,Tabla42[ADEP],Tabla42[SID 12R],""),IF(OR(G35="30L",G35="30R"),_xlfn.XLOOKUP(C35,Tabla42[ADEP],Tabla42[SID 30L],""),""))</f>
        <v>ENEBA</v>
      </c>
      <c r="S35" s="3">
        <f t="shared" si="0"/>
        <v>13</v>
      </c>
      <c r="T35" s="3" t="str">
        <f>_xlfn.XLOOKUP(C35,Tabla42[ADEP],Tabla42[Sector],"")</f>
        <v>Sector 3</v>
      </c>
    </row>
    <row r="36" spans="1:20" x14ac:dyDescent="0.2">
      <c r="A36" s="23" t="s">
        <v>513</v>
      </c>
      <c r="B36" s="23" t="s">
        <v>18</v>
      </c>
      <c r="C36" s="23" t="s">
        <v>206</v>
      </c>
      <c r="D36" s="23" t="s">
        <v>53</v>
      </c>
      <c r="E36" s="23" t="s">
        <v>393</v>
      </c>
      <c r="F36" s="24">
        <v>46307.544872685183</v>
      </c>
      <c r="G36" s="23" t="s">
        <v>21</v>
      </c>
      <c r="H36" s="23" t="s">
        <v>4129</v>
      </c>
      <c r="I36" s="23">
        <v>380</v>
      </c>
      <c r="J36" s="23" t="s">
        <v>22</v>
      </c>
      <c r="K36" s="23" t="s">
        <v>23</v>
      </c>
      <c r="L36" s="23">
        <v>848</v>
      </c>
      <c r="M36" s="23" t="s">
        <v>4130</v>
      </c>
      <c r="N36" s="24">
        <v>46307.589432870373</v>
      </c>
      <c r="O36" s="23">
        <v>380</v>
      </c>
      <c r="P36" s="23" t="s">
        <v>25</v>
      </c>
      <c r="Q36" s="23">
        <v>190</v>
      </c>
      <c r="R36" s="3" t="str">
        <f>IF(OR(G36="12R",G36="12L"),_xlfn.XLOOKUP(C36,Tabla42[ADEP],Tabla42[SID 12R],""),IF(OR(G36="30L",G36="30R"),_xlfn.XLOOKUP(C36,Tabla42[ADEP],Tabla42[SID 30L],""),""))</f>
        <v>UDGUV</v>
      </c>
      <c r="S36" s="3">
        <f t="shared" si="0"/>
        <v>13</v>
      </c>
      <c r="T36" s="3" t="str">
        <f>_xlfn.XLOOKUP(C36,Tabla42[ADEP],Tabla42[Sector],"")</f>
        <v>Sector 2</v>
      </c>
    </row>
    <row r="37" spans="1:20" x14ac:dyDescent="0.2">
      <c r="A37" s="23" t="s">
        <v>125</v>
      </c>
      <c r="B37" s="23" t="s">
        <v>18</v>
      </c>
      <c r="C37" s="23" t="s">
        <v>126</v>
      </c>
      <c r="D37" s="23" t="s">
        <v>122</v>
      </c>
      <c r="E37" s="23" t="s">
        <v>2906</v>
      </c>
      <c r="F37" s="24">
        <v>46307.546041666668</v>
      </c>
      <c r="G37" s="23" t="s">
        <v>21</v>
      </c>
      <c r="H37" s="23" t="s">
        <v>4131</v>
      </c>
      <c r="I37" s="23">
        <v>370</v>
      </c>
      <c r="J37" s="23" t="s">
        <v>22</v>
      </c>
      <c r="K37" s="23" t="s">
        <v>23</v>
      </c>
      <c r="L37" s="23">
        <v>354</v>
      </c>
      <c r="M37" s="23" t="s">
        <v>30</v>
      </c>
      <c r="N37" s="24">
        <v>46307.565844907411</v>
      </c>
      <c r="O37" s="23">
        <v>370</v>
      </c>
      <c r="P37" s="23" t="s">
        <v>25</v>
      </c>
      <c r="Q37" s="23">
        <v>40</v>
      </c>
      <c r="R37" s="3" t="str">
        <f>IF(OR(G37="12R",G37="12L"),_xlfn.XLOOKUP(C37,Tabla42[ADEP],Tabla42[SID 12R],""),IF(OR(G37="30L",G37="30R"),_xlfn.XLOOKUP(C37,Tabla42[ADEP],Tabla42[SID 30L],""),""))</f>
        <v>ENEBA</v>
      </c>
      <c r="S37" s="3">
        <f t="shared" si="0"/>
        <v>13</v>
      </c>
      <c r="T37" s="3" t="str">
        <f>_xlfn.XLOOKUP(C37,Tabla42[ADEP],Tabla42[Sector],"")</f>
        <v>Sector 3</v>
      </c>
    </row>
    <row r="38" spans="1:20" x14ac:dyDescent="0.2">
      <c r="A38" s="23" t="s">
        <v>119</v>
      </c>
      <c r="B38" s="23" t="s">
        <v>18</v>
      </c>
      <c r="C38" s="23" t="s">
        <v>42</v>
      </c>
      <c r="D38" s="23" t="s">
        <v>122</v>
      </c>
      <c r="E38" s="23" t="s">
        <v>4132</v>
      </c>
      <c r="F38" s="24">
        <v>46307.547893518517</v>
      </c>
      <c r="G38" s="23" t="s">
        <v>21</v>
      </c>
      <c r="H38" s="23" t="s">
        <v>4133</v>
      </c>
      <c r="I38" s="23">
        <v>360</v>
      </c>
      <c r="J38" s="23" t="s">
        <v>22</v>
      </c>
      <c r="K38" s="23" t="s">
        <v>23</v>
      </c>
      <c r="L38" s="23">
        <v>859</v>
      </c>
      <c r="M38" s="23" t="s">
        <v>45</v>
      </c>
      <c r="N38" s="24">
        <v>46307.593738425923</v>
      </c>
      <c r="O38" s="23">
        <v>360</v>
      </c>
      <c r="P38" s="23" t="s">
        <v>25</v>
      </c>
      <c r="Q38" s="23">
        <v>190</v>
      </c>
      <c r="R38" s="3" t="str">
        <f>IF(OR(G38="12R",G38="12L"),_xlfn.XLOOKUP(C38,Tabla42[ADEP],Tabla42[SID 12R],""),IF(OR(G38="30L",G38="30R"),_xlfn.XLOOKUP(C38,Tabla42[ADEP],Tabla42[SID 30L],""),""))</f>
        <v>UDGUV</v>
      </c>
      <c r="S38" s="3">
        <f t="shared" si="0"/>
        <v>13</v>
      </c>
      <c r="T38" s="3" t="str">
        <f>_xlfn.XLOOKUP(C38,Tabla42[ADEP],Tabla42[Sector],"")</f>
        <v>Sector 2</v>
      </c>
    </row>
    <row r="39" spans="1:20" x14ac:dyDescent="0.2">
      <c r="A39" s="23" t="s">
        <v>127</v>
      </c>
      <c r="B39" s="23" t="s">
        <v>18</v>
      </c>
      <c r="C39" s="23" t="s">
        <v>128</v>
      </c>
      <c r="D39" s="23" t="s">
        <v>43</v>
      </c>
      <c r="E39" s="23" t="s">
        <v>767</v>
      </c>
      <c r="F39" s="24">
        <v>46307.582546296297</v>
      </c>
      <c r="G39" s="23" t="s">
        <v>21</v>
      </c>
      <c r="H39" s="23" t="s">
        <v>4134</v>
      </c>
      <c r="I39" s="23">
        <v>330</v>
      </c>
      <c r="J39" s="23" t="s">
        <v>22</v>
      </c>
      <c r="K39" s="23" t="s">
        <v>23</v>
      </c>
      <c r="L39" s="23">
        <v>359</v>
      </c>
      <c r="M39" s="23" t="s">
        <v>30</v>
      </c>
      <c r="N39" s="24">
        <v>46307.603738425925</v>
      </c>
      <c r="O39" s="23">
        <v>330</v>
      </c>
      <c r="P39" s="23" t="s">
        <v>25</v>
      </c>
      <c r="Q39" s="23">
        <v>40</v>
      </c>
      <c r="R39" s="3" t="str">
        <f>IF(OR(G39="12R",G39="12L"),_xlfn.XLOOKUP(C39,Tabla42[ADEP],Tabla42[SID 12R],""),IF(OR(G39="30L",G39="30R"),_xlfn.XLOOKUP(C39,Tabla42[ADEP],Tabla42[SID 30L],""),""))</f>
        <v>OMSUK</v>
      </c>
      <c r="S39" s="3">
        <f t="shared" si="0"/>
        <v>13</v>
      </c>
      <c r="T39" s="3" t="str">
        <f>_xlfn.XLOOKUP(C39,Tabla42[ADEP],Tabla42[Sector],"")</f>
        <v>Sector 3</v>
      </c>
    </row>
    <row r="40" spans="1:20" x14ac:dyDescent="0.2">
      <c r="A40" s="23" t="s">
        <v>2076</v>
      </c>
      <c r="B40" s="23" t="s">
        <v>18</v>
      </c>
      <c r="C40" s="23" t="s">
        <v>18</v>
      </c>
      <c r="D40" s="23" t="s">
        <v>2077</v>
      </c>
      <c r="E40" s="23"/>
      <c r="F40" s="24">
        <v>46307.591574074075</v>
      </c>
      <c r="G40" s="23" t="s">
        <v>21</v>
      </c>
      <c r="H40" s="23" t="s">
        <v>4135</v>
      </c>
      <c r="I40" s="23">
        <v>15</v>
      </c>
      <c r="J40" s="23" t="s">
        <v>130</v>
      </c>
      <c r="K40" s="23" t="s">
        <v>50</v>
      </c>
      <c r="L40" s="23">
        <v>142</v>
      </c>
      <c r="M40" s="23" t="s">
        <v>18</v>
      </c>
      <c r="N40" s="24">
        <v>46307.629166666666</v>
      </c>
      <c r="O40" s="23">
        <v>0</v>
      </c>
      <c r="P40" s="23" t="s">
        <v>129</v>
      </c>
      <c r="Q40" s="23">
        <v>15</v>
      </c>
      <c r="R40" s="3" t="str">
        <f>IF(OR(G40="12R",G40="12L"),_xlfn.XLOOKUP(C40,Tabla42[ADEP],Tabla42[SID 12R],""),IF(OR(G40="30L",G40="30R"),_xlfn.XLOOKUP(C40,Tabla42[ADEP],Tabla42[SID 30L],""),""))</f>
        <v/>
      </c>
      <c r="S40" s="3">
        <f t="shared" si="0"/>
        <v>14</v>
      </c>
      <c r="T40" s="3" t="str">
        <f>_xlfn.XLOOKUP(C40,Tabla42[ADEP],Tabla42[Sector],"")</f>
        <v/>
      </c>
    </row>
    <row r="41" spans="1:20" x14ac:dyDescent="0.2">
      <c r="A41" s="23" t="s">
        <v>4136</v>
      </c>
      <c r="B41" s="23" t="s">
        <v>18</v>
      </c>
      <c r="C41" s="23" t="s">
        <v>4137</v>
      </c>
      <c r="D41" s="23" t="s">
        <v>2476</v>
      </c>
      <c r="E41" s="23"/>
      <c r="F41" s="24">
        <v>46307.598541666666</v>
      </c>
      <c r="G41" s="23" t="s">
        <v>21</v>
      </c>
      <c r="H41" s="23" t="s">
        <v>4138</v>
      </c>
      <c r="I41" s="23">
        <v>450</v>
      </c>
      <c r="J41" s="23" t="s">
        <v>22</v>
      </c>
      <c r="K41" s="23" t="s">
        <v>50</v>
      </c>
      <c r="L41" s="23">
        <v>171</v>
      </c>
      <c r="M41" s="23" t="s">
        <v>4139</v>
      </c>
      <c r="N41" s="24">
        <v>46307.612997685188</v>
      </c>
      <c r="O41" s="23">
        <v>356</v>
      </c>
      <c r="P41" s="23" t="s">
        <v>129</v>
      </c>
      <c r="Q41" s="23">
        <v>40</v>
      </c>
      <c r="R41" s="3" t="str">
        <f>IF(OR(G41="12R",G41="12L"),_xlfn.XLOOKUP(C41,Tabla42[ADEP],Tabla42[SID 12R],""),IF(OR(G41="30L",G41="30R"),_xlfn.XLOOKUP(C41,Tabla42[ADEP],Tabla42[SID 30L],""),""))</f>
        <v/>
      </c>
      <c r="S41" s="3">
        <f t="shared" si="0"/>
        <v>14</v>
      </c>
      <c r="T41" s="3" t="str">
        <f>_xlfn.XLOOKUP(C41,Tabla42[ADEP],Tabla42[Sector],"")</f>
        <v/>
      </c>
    </row>
    <row r="42" spans="1:20" x14ac:dyDescent="0.2">
      <c r="A42" s="23" t="s">
        <v>131</v>
      </c>
      <c r="B42" s="23" t="s">
        <v>18</v>
      </c>
      <c r="C42" s="23" t="s">
        <v>42</v>
      </c>
      <c r="D42" s="23" t="s">
        <v>43</v>
      </c>
      <c r="E42" s="23" t="s">
        <v>565</v>
      </c>
      <c r="F42" s="24">
        <v>46307.600104166668</v>
      </c>
      <c r="G42" s="23" t="s">
        <v>21</v>
      </c>
      <c r="H42" s="23" t="s">
        <v>4140</v>
      </c>
      <c r="I42" s="23">
        <v>360</v>
      </c>
      <c r="J42" s="23" t="s">
        <v>22</v>
      </c>
      <c r="K42" s="23" t="s">
        <v>23</v>
      </c>
      <c r="L42" s="23">
        <v>859</v>
      </c>
      <c r="M42" s="23" t="s">
        <v>45</v>
      </c>
      <c r="N42" s="24">
        <v>46307.644976851851</v>
      </c>
      <c r="O42" s="23">
        <v>360</v>
      </c>
      <c r="P42" s="23" t="s">
        <v>25</v>
      </c>
      <c r="Q42" s="23">
        <v>190</v>
      </c>
      <c r="R42" s="3" t="str">
        <f>IF(OR(G42="12R",G42="12L"),_xlfn.XLOOKUP(C42,Tabla42[ADEP],Tabla42[SID 12R],""),IF(OR(G42="30L",G42="30R"),_xlfn.XLOOKUP(C42,Tabla42[ADEP],Tabla42[SID 30L],""),""))</f>
        <v>UDGUV</v>
      </c>
      <c r="S42" s="3">
        <f t="shared" si="0"/>
        <v>14</v>
      </c>
      <c r="T42" s="3" t="str">
        <f>_xlfn.XLOOKUP(C42,Tabla42[ADEP],Tabla42[Sector],"")</f>
        <v>Sector 2</v>
      </c>
    </row>
    <row r="43" spans="1:20" x14ac:dyDescent="0.2">
      <c r="A43" s="23" t="s">
        <v>135</v>
      </c>
      <c r="B43" s="23" t="s">
        <v>18</v>
      </c>
      <c r="C43" s="23" t="s">
        <v>32</v>
      </c>
      <c r="D43" s="23" t="s">
        <v>53</v>
      </c>
      <c r="E43" s="23" t="s">
        <v>392</v>
      </c>
      <c r="F43" s="24">
        <v>46307.631793981483</v>
      </c>
      <c r="G43" s="23" t="s">
        <v>21</v>
      </c>
      <c r="H43" s="23" t="s">
        <v>4141</v>
      </c>
      <c r="I43" s="23">
        <v>380</v>
      </c>
      <c r="J43" s="23" t="s">
        <v>22</v>
      </c>
      <c r="K43" s="23" t="s">
        <v>23</v>
      </c>
      <c r="L43" s="23">
        <v>870</v>
      </c>
      <c r="M43" s="23" t="s">
        <v>35</v>
      </c>
      <c r="N43" s="24">
        <v>46307.677662037036</v>
      </c>
      <c r="O43" s="23">
        <v>380</v>
      </c>
      <c r="P43" s="23" t="s">
        <v>25</v>
      </c>
      <c r="Q43" s="23">
        <v>190</v>
      </c>
      <c r="R43" s="3" t="str">
        <f>IF(OR(G43="12R",G43="12L"),_xlfn.XLOOKUP(C43,Tabla42[ADEP],Tabla42[SID 12R],""),IF(OR(G43="30L",G43="30R"),_xlfn.XLOOKUP(C43,Tabla42[ADEP],Tabla42[SID 30L],""),""))</f>
        <v>UDGUV</v>
      </c>
      <c r="S43" s="3">
        <f t="shared" si="0"/>
        <v>15</v>
      </c>
      <c r="T43" s="3" t="str">
        <f>_xlfn.XLOOKUP(C43,Tabla42[ADEP],Tabla42[Sector],"")</f>
        <v>Sector 2</v>
      </c>
    </row>
    <row r="44" spans="1:20" x14ac:dyDescent="0.2">
      <c r="A44" s="23" t="s">
        <v>2971</v>
      </c>
      <c r="B44" s="23" t="s">
        <v>18</v>
      </c>
      <c r="C44" s="23" t="s">
        <v>121</v>
      </c>
      <c r="D44" s="23" t="s">
        <v>60</v>
      </c>
      <c r="E44" s="23" t="s">
        <v>4142</v>
      </c>
      <c r="F44" s="24">
        <v>46307.633449074077</v>
      </c>
      <c r="G44" s="23" t="s">
        <v>21</v>
      </c>
      <c r="H44" s="23" t="s">
        <v>3881</v>
      </c>
      <c r="I44" s="23">
        <v>340</v>
      </c>
      <c r="J44" s="23" t="s">
        <v>22</v>
      </c>
      <c r="K44" s="23" t="s">
        <v>23</v>
      </c>
      <c r="L44" s="23">
        <v>591</v>
      </c>
      <c r="M44" s="23" t="s">
        <v>123</v>
      </c>
      <c r="N44" s="24">
        <v>46307.665092592593</v>
      </c>
      <c r="O44" s="23">
        <v>340</v>
      </c>
      <c r="P44" s="23" t="s">
        <v>25</v>
      </c>
      <c r="Q44" s="23">
        <v>40</v>
      </c>
      <c r="R44" s="3" t="str">
        <f>IF(OR(G44="12R",G44="12L"),_xlfn.XLOOKUP(C44,Tabla42[ADEP],Tabla42[SID 12R],""),IF(OR(G44="30L",G44="30R"),_xlfn.XLOOKUP(C44,Tabla42[ADEP],Tabla42[SID 30L],""),""))</f>
        <v>ENEBA</v>
      </c>
      <c r="S44" s="3">
        <f t="shared" si="0"/>
        <v>15</v>
      </c>
      <c r="T44" s="3" t="str">
        <f>_xlfn.XLOOKUP(C44,Tabla42[ADEP],Tabla42[Sector],"")</f>
        <v>Sector 3</v>
      </c>
    </row>
    <row r="45" spans="1:20" x14ac:dyDescent="0.2">
      <c r="A45" s="23" t="s">
        <v>1051</v>
      </c>
      <c r="B45" s="23" t="s">
        <v>18</v>
      </c>
      <c r="C45" s="23" t="s">
        <v>4137</v>
      </c>
      <c r="D45" s="23" t="s">
        <v>124</v>
      </c>
      <c r="E45" s="23"/>
      <c r="F45" s="24">
        <v>46307.639837962961</v>
      </c>
      <c r="G45" s="23" t="s">
        <v>21</v>
      </c>
      <c r="H45" s="23" t="s">
        <v>4143</v>
      </c>
      <c r="I45" s="23">
        <v>270</v>
      </c>
      <c r="J45" s="23" t="s">
        <v>22</v>
      </c>
      <c r="K45" s="23" t="s">
        <v>50</v>
      </c>
      <c r="L45" s="23">
        <v>209</v>
      </c>
      <c r="M45" s="23" t="s">
        <v>355</v>
      </c>
      <c r="N45" s="24">
        <v>46307.655023148145</v>
      </c>
      <c r="O45" s="23">
        <v>270</v>
      </c>
      <c r="P45" s="23" t="s">
        <v>25</v>
      </c>
      <c r="Q45" s="23">
        <v>40</v>
      </c>
      <c r="R45" s="3" t="str">
        <f>IF(OR(G45="12R",G45="12L"),_xlfn.XLOOKUP(C45,Tabla42[ADEP],Tabla42[SID 12R],""),IF(OR(G45="30L",G45="30R"),_xlfn.XLOOKUP(C45,Tabla42[ADEP],Tabla42[SID 30L],""),""))</f>
        <v/>
      </c>
      <c r="S45" s="3">
        <f t="shared" si="0"/>
        <v>15</v>
      </c>
      <c r="T45" s="3" t="str">
        <f>_xlfn.XLOOKUP(C45,Tabla42[ADEP],Tabla42[Sector],"")</f>
        <v/>
      </c>
    </row>
    <row r="46" spans="1:20" x14ac:dyDescent="0.2">
      <c r="A46" s="23" t="s">
        <v>139</v>
      </c>
      <c r="B46" s="23" t="s">
        <v>18</v>
      </c>
      <c r="C46" s="23" t="s">
        <v>49</v>
      </c>
      <c r="D46" s="23" t="s">
        <v>53</v>
      </c>
      <c r="E46" s="23" t="s">
        <v>3541</v>
      </c>
      <c r="F46" s="24">
        <v>46307.646006944444</v>
      </c>
      <c r="G46" s="23" t="s">
        <v>21</v>
      </c>
      <c r="H46" s="23" t="s">
        <v>4144</v>
      </c>
      <c r="I46" s="23">
        <v>380</v>
      </c>
      <c r="J46" s="23" t="s">
        <v>22</v>
      </c>
      <c r="K46" s="23" t="s">
        <v>141</v>
      </c>
      <c r="L46" s="23">
        <v>856</v>
      </c>
      <c r="M46" s="23" t="s">
        <v>45</v>
      </c>
      <c r="N46" s="24">
        <v>46307.690486111111</v>
      </c>
      <c r="O46" s="23">
        <v>380</v>
      </c>
      <c r="P46" s="23" t="s">
        <v>25</v>
      </c>
      <c r="Q46" s="23">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23" t="s">
        <v>142</v>
      </c>
      <c r="B47" s="23" t="s">
        <v>18</v>
      </c>
      <c r="C47" s="23" t="s">
        <v>42</v>
      </c>
      <c r="D47" s="23" t="s">
        <v>33</v>
      </c>
      <c r="E47" s="23" t="s">
        <v>456</v>
      </c>
      <c r="F47" s="24">
        <v>46307.64980324074</v>
      </c>
      <c r="G47" s="23" t="s">
        <v>21</v>
      </c>
      <c r="H47" s="23" t="s">
        <v>4145</v>
      </c>
      <c r="I47" s="23">
        <v>360</v>
      </c>
      <c r="J47" s="23" t="s">
        <v>22</v>
      </c>
      <c r="K47" s="23" t="s">
        <v>23</v>
      </c>
      <c r="L47" s="23">
        <v>858</v>
      </c>
      <c r="M47" s="23" t="s">
        <v>45</v>
      </c>
      <c r="N47" s="24">
        <v>46307.693622685183</v>
      </c>
      <c r="O47" s="23">
        <v>360</v>
      </c>
      <c r="P47" s="23" t="s">
        <v>25</v>
      </c>
      <c r="Q47" s="23">
        <v>190</v>
      </c>
      <c r="R47" s="3" t="str">
        <f>IF(OR(G47="12R",G47="12L"),_xlfn.XLOOKUP(C47,Tabla42[ADEP],Tabla42[SID 12R],""),IF(OR(G47="30L",G47="30R"),_xlfn.XLOOKUP(C47,Tabla42[ADEP],Tabla42[SID 30L],""),""))</f>
        <v>UDGUV</v>
      </c>
      <c r="S47" s="3">
        <f t="shared" si="0"/>
        <v>15</v>
      </c>
      <c r="T47" s="3" t="str">
        <f>_xlfn.XLOOKUP(C47,Tabla42[ADEP],Tabla42[Sector],"")</f>
        <v>Sector 2</v>
      </c>
    </row>
    <row r="48" spans="1:20" x14ac:dyDescent="0.2">
      <c r="A48" s="23" t="s">
        <v>146</v>
      </c>
      <c r="B48" s="23" t="s">
        <v>18</v>
      </c>
      <c r="C48" s="23" t="s">
        <v>96</v>
      </c>
      <c r="D48" s="23" t="s">
        <v>20</v>
      </c>
      <c r="E48" s="23" t="s">
        <v>57</v>
      </c>
      <c r="F48" s="24">
        <v>46307.653715277775</v>
      </c>
      <c r="G48" s="23" t="s">
        <v>21</v>
      </c>
      <c r="H48" s="23" t="s">
        <v>4146</v>
      </c>
      <c r="I48" s="23">
        <v>360</v>
      </c>
      <c r="J48" s="23" t="s">
        <v>22</v>
      </c>
      <c r="K48" s="23" t="s">
        <v>23</v>
      </c>
      <c r="L48" s="23">
        <v>855</v>
      </c>
      <c r="M48" s="23" t="s">
        <v>45</v>
      </c>
      <c r="N48" s="24">
        <v>46307.697685185187</v>
      </c>
      <c r="O48" s="23">
        <v>360</v>
      </c>
      <c r="P48" s="23" t="s">
        <v>25</v>
      </c>
      <c r="Q48" s="23">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23" t="s">
        <v>151</v>
      </c>
      <c r="B49" s="23" t="s">
        <v>18</v>
      </c>
      <c r="C49" s="23" t="s">
        <v>96</v>
      </c>
      <c r="D49" s="23" t="s">
        <v>122</v>
      </c>
      <c r="E49" s="23" t="s">
        <v>3519</v>
      </c>
      <c r="F49" s="24">
        <v>46307.655115740738</v>
      </c>
      <c r="G49" s="23" t="s">
        <v>21</v>
      </c>
      <c r="H49" s="23" t="s">
        <v>4147</v>
      </c>
      <c r="I49" s="23">
        <v>380</v>
      </c>
      <c r="J49" s="23" t="s">
        <v>22</v>
      </c>
      <c r="K49" s="23" t="s">
        <v>23</v>
      </c>
      <c r="L49" s="23">
        <v>862</v>
      </c>
      <c r="M49" s="23" t="s">
        <v>45</v>
      </c>
      <c r="N49" s="24">
        <v>46307.70003472222</v>
      </c>
      <c r="O49" s="23">
        <v>380</v>
      </c>
      <c r="P49" s="23" t="s">
        <v>25</v>
      </c>
      <c r="Q49" s="23">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23" t="s">
        <v>425</v>
      </c>
      <c r="B50" s="23" t="s">
        <v>18</v>
      </c>
      <c r="C50" s="23" t="s">
        <v>49</v>
      </c>
      <c r="D50" s="23" t="s">
        <v>53</v>
      </c>
      <c r="E50" s="23" t="s">
        <v>376</v>
      </c>
      <c r="F50" s="24">
        <v>46307.656458333331</v>
      </c>
      <c r="G50" s="23" t="s">
        <v>21</v>
      </c>
      <c r="H50" s="23" t="s">
        <v>4148</v>
      </c>
      <c r="I50" s="23">
        <v>360</v>
      </c>
      <c r="J50" s="23" t="s">
        <v>22</v>
      </c>
      <c r="K50" s="23" t="s">
        <v>23</v>
      </c>
      <c r="L50" s="23">
        <v>858</v>
      </c>
      <c r="M50" s="23" t="s">
        <v>45</v>
      </c>
      <c r="N50" s="24">
        <v>46307.701851851853</v>
      </c>
      <c r="O50" s="23">
        <v>380</v>
      </c>
      <c r="P50" s="23" t="s">
        <v>25</v>
      </c>
      <c r="Q50" s="23">
        <v>190</v>
      </c>
      <c r="R50" s="3" t="str">
        <f>IF(OR(G50="12R",G50="12L"),_xlfn.XLOOKUP(C50,Tabla42[ADEP],Tabla42[SID 12R],""),IF(OR(G50="30L",G50="30R"),_xlfn.XLOOKUP(C50,Tabla42[ADEP],Tabla42[SID 30L],""),""))</f>
        <v>UDGUV</v>
      </c>
      <c r="S50" s="3">
        <f t="shared" si="0"/>
        <v>15</v>
      </c>
      <c r="T50" s="3" t="str">
        <f>_xlfn.XLOOKUP(C50,Tabla42[ADEP],Tabla42[Sector],"")</f>
        <v>Sector 2</v>
      </c>
    </row>
    <row r="51" spans="1:20" x14ac:dyDescent="0.2">
      <c r="A51" s="23" t="s">
        <v>145</v>
      </c>
      <c r="B51" s="23" t="s">
        <v>18</v>
      </c>
      <c r="C51" s="23" t="s">
        <v>19</v>
      </c>
      <c r="D51" s="23" t="s">
        <v>53</v>
      </c>
      <c r="E51" s="23" t="s">
        <v>631</v>
      </c>
      <c r="F51" s="24">
        <v>46307.657962962963</v>
      </c>
      <c r="G51" s="23" t="s">
        <v>21</v>
      </c>
      <c r="H51" s="23" t="s">
        <v>4149</v>
      </c>
      <c r="I51" s="23">
        <v>380</v>
      </c>
      <c r="J51" s="23" t="s">
        <v>22</v>
      </c>
      <c r="K51" s="23" t="s">
        <v>23</v>
      </c>
      <c r="L51" s="23">
        <v>860</v>
      </c>
      <c r="M51" s="23" t="s">
        <v>24</v>
      </c>
      <c r="N51" s="24">
        <v>46307.703518518516</v>
      </c>
      <c r="O51" s="23">
        <v>380</v>
      </c>
      <c r="P51" s="23" t="s">
        <v>25</v>
      </c>
      <c r="Q51" s="23">
        <v>190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23" t="s">
        <v>977</v>
      </c>
      <c r="B52" s="23" t="s">
        <v>18</v>
      </c>
      <c r="C52" s="23" t="s">
        <v>698</v>
      </c>
      <c r="D52" s="23" t="s">
        <v>817</v>
      </c>
      <c r="E52" s="23"/>
      <c r="F52" s="24">
        <v>46307.659571759257</v>
      </c>
      <c r="G52" s="23" t="s">
        <v>21</v>
      </c>
      <c r="H52" s="23" t="s">
        <v>4150</v>
      </c>
      <c r="I52" s="23">
        <v>210</v>
      </c>
      <c r="J52" s="23" t="s">
        <v>130</v>
      </c>
      <c r="K52" s="23" t="s">
        <v>50</v>
      </c>
      <c r="L52" s="23">
        <v>224</v>
      </c>
      <c r="M52" s="23" t="s">
        <v>355</v>
      </c>
      <c r="N52" s="24">
        <v>46307.694120370368</v>
      </c>
      <c r="O52" s="23">
        <v>210</v>
      </c>
      <c r="P52" s="23" t="s">
        <v>129</v>
      </c>
      <c r="Q52" s="23">
        <v>40</v>
      </c>
      <c r="R52" s="3" t="str">
        <f>IF(OR(G52="12R",G52="12L"),_xlfn.XLOOKUP(C52,Tabla42[ADEP],Tabla42[SID 12R],""),IF(OR(G52="30L",G52="30R"),_xlfn.XLOOKUP(C52,Tabla42[ADEP],Tabla42[SID 30L],""),""))</f>
        <v>NUDAL</v>
      </c>
      <c r="S52" s="3">
        <f t="shared" si="0"/>
        <v>15</v>
      </c>
      <c r="T52" s="3" t="str">
        <f>_xlfn.XLOOKUP(C52,Tabla42[ADEP],Tabla42[Sector],"")</f>
        <v>Sector 3</v>
      </c>
    </row>
    <row r="53" spans="1:20" x14ac:dyDescent="0.2">
      <c r="A53" s="23" t="s">
        <v>143</v>
      </c>
      <c r="B53" s="23" t="s">
        <v>18</v>
      </c>
      <c r="C53" s="23" t="s">
        <v>32</v>
      </c>
      <c r="D53" s="23" t="s">
        <v>60</v>
      </c>
      <c r="E53" s="23" t="s">
        <v>383</v>
      </c>
      <c r="F53" s="24">
        <v>46307.661527777775</v>
      </c>
      <c r="G53" s="23" t="s">
        <v>21</v>
      </c>
      <c r="H53" s="23" t="s">
        <v>4151</v>
      </c>
      <c r="I53" s="23">
        <v>340</v>
      </c>
      <c r="J53" s="23" t="s">
        <v>22</v>
      </c>
      <c r="K53" s="23" t="s">
        <v>23</v>
      </c>
      <c r="L53" s="23">
        <v>869</v>
      </c>
      <c r="M53" s="23" t="s">
        <v>35</v>
      </c>
      <c r="N53" s="24">
        <v>46307.706238425926</v>
      </c>
      <c r="O53" s="23">
        <v>340</v>
      </c>
      <c r="P53" s="23" t="s">
        <v>25</v>
      </c>
      <c r="Q53" s="23">
        <v>190</v>
      </c>
      <c r="R53" s="3" t="str">
        <f>IF(OR(G53="12R",G53="12L"),_xlfn.XLOOKUP(C53,Tabla42[ADEP],Tabla42[SID 12R],""),IF(OR(G53="30L",G53="30R"),_xlfn.XLOOKUP(C53,Tabla42[ADEP],Tabla42[SID 30L],""),""))</f>
        <v>UDGUV</v>
      </c>
      <c r="S53" s="3">
        <f t="shared" si="0"/>
        <v>15</v>
      </c>
      <c r="T53" s="3" t="str">
        <f>_xlfn.XLOOKUP(C53,Tabla42[ADEP],Tabla42[Sector],"")</f>
        <v>Sector 2</v>
      </c>
    </row>
    <row r="54" spans="1:20" x14ac:dyDescent="0.2">
      <c r="A54" s="23" t="s">
        <v>2984</v>
      </c>
      <c r="B54" s="23" t="s">
        <v>18</v>
      </c>
      <c r="C54" s="23" t="s">
        <v>188</v>
      </c>
      <c r="D54" s="23" t="s">
        <v>20</v>
      </c>
      <c r="E54" s="23" t="s">
        <v>2188</v>
      </c>
      <c r="F54" s="24">
        <v>46307.664548611108</v>
      </c>
      <c r="G54" s="23" t="s">
        <v>21</v>
      </c>
      <c r="H54" s="23" t="s">
        <v>4152</v>
      </c>
      <c r="I54" s="23">
        <v>340</v>
      </c>
      <c r="J54" s="23" t="s">
        <v>22</v>
      </c>
      <c r="K54" s="23" t="s">
        <v>23</v>
      </c>
      <c r="L54" s="23">
        <v>433</v>
      </c>
      <c r="M54" s="23" t="s">
        <v>189</v>
      </c>
      <c r="N54" s="24">
        <v>46307.689953703702</v>
      </c>
      <c r="O54" s="23">
        <v>340</v>
      </c>
      <c r="P54" s="23" t="s">
        <v>25</v>
      </c>
      <c r="Q54" s="23">
        <v>40</v>
      </c>
      <c r="R54" s="3" t="str">
        <f>IF(OR(G54="12R",G54="12L"),_xlfn.XLOOKUP(C54,Tabla42[ADEP],Tabla42[SID 12R],""),IF(OR(G54="30L",G54="30R"),_xlfn.XLOOKUP(C54,Tabla42[ADEP],Tabla42[SID 30L],""),""))</f>
        <v>ENEBA</v>
      </c>
      <c r="S54" s="3">
        <f t="shared" si="0"/>
        <v>15</v>
      </c>
      <c r="T54" s="3" t="str">
        <f>_xlfn.XLOOKUP(C54,Tabla42[ADEP],Tabla42[Sector],"")</f>
        <v>Sector 3</v>
      </c>
    </row>
    <row r="55" spans="1:20" x14ac:dyDescent="0.2">
      <c r="A55" s="23" t="s">
        <v>4153</v>
      </c>
      <c r="B55" s="23" t="s">
        <v>18</v>
      </c>
      <c r="C55" s="23" t="s">
        <v>233</v>
      </c>
      <c r="D55" s="23" t="s">
        <v>1041</v>
      </c>
      <c r="E55" s="23" t="s">
        <v>4154</v>
      </c>
      <c r="F55" s="24">
        <v>46307.666030092594</v>
      </c>
      <c r="G55" s="23" t="s">
        <v>21</v>
      </c>
      <c r="H55" s="23" t="s">
        <v>4155</v>
      </c>
      <c r="I55" s="23">
        <v>430</v>
      </c>
      <c r="J55" s="23" t="s">
        <v>22</v>
      </c>
      <c r="K55" s="23" t="s">
        <v>50</v>
      </c>
      <c r="L55" s="23">
        <v>529</v>
      </c>
      <c r="M55" s="23" t="s">
        <v>123</v>
      </c>
      <c r="N55" s="24">
        <v>46307.694050925929</v>
      </c>
      <c r="O55" s="23">
        <v>430</v>
      </c>
      <c r="P55" s="23" t="s">
        <v>25</v>
      </c>
      <c r="Q55" s="23">
        <v>40</v>
      </c>
      <c r="R55" s="3" t="str">
        <f>IF(OR(G55="12R",G55="12L"),_xlfn.XLOOKUP(C55,Tabla42[ADEP],Tabla42[SID 12R],""),IF(OR(G55="30L",G55="30R"),_xlfn.XLOOKUP(C55,Tabla42[ADEP],Tabla42[SID 30L],""),""))</f>
        <v>UDGUV</v>
      </c>
      <c r="S55" s="3">
        <f t="shared" si="0"/>
        <v>15</v>
      </c>
      <c r="T55" s="3" t="str">
        <f>_xlfn.XLOOKUP(C55,Tabla42[ADEP],Tabla42[Sector],"")</f>
        <v>Sector 2</v>
      </c>
    </row>
    <row r="56" spans="1:20" x14ac:dyDescent="0.2">
      <c r="A56" s="23" t="s">
        <v>148</v>
      </c>
      <c r="B56" s="23" t="s">
        <v>18</v>
      </c>
      <c r="C56" s="23" t="s">
        <v>42</v>
      </c>
      <c r="D56" s="23" t="s">
        <v>20</v>
      </c>
      <c r="E56" s="23" t="s">
        <v>4156</v>
      </c>
      <c r="F56" s="24">
        <v>46307.667013888888</v>
      </c>
      <c r="G56" s="23" t="s">
        <v>21</v>
      </c>
      <c r="H56" s="23" t="s">
        <v>4157</v>
      </c>
      <c r="I56" s="23">
        <v>360</v>
      </c>
      <c r="J56" s="23" t="s">
        <v>22</v>
      </c>
      <c r="K56" s="23" t="s">
        <v>23</v>
      </c>
      <c r="L56" s="23">
        <v>859</v>
      </c>
      <c r="M56" s="23" t="s">
        <v>45</v>
      </c>
      <c r="N56" s="24">
        <v>46307.711469907408</v>
      </c>
      <c r="O56" s="23">
        <v>360</v>
      </c>
      <c r="P56" s="23" t="s">
        <v>25</v>
      </c>
      <c r="Q56" s="23">
        <v>190</v>
      </c>
      <c r="R56" s="3" t="str">
        <f>IF(OR(G56="12R",G56="12L"),_xlfn.XLOOKUP(C56,Tabla42[ADEP],Tabla42[SID 12R],""),IF(OR(G56="30L",G56="30R"),_xlfn.XLOOKUP(C56,Tabla42[ADEP],Tabla42[SID 30L],""),""))</f>
        <v>UDGUV</v>
      </c>
      <c r="S56" s="3">
        <f t="shared" si="0"/>
        <v>16</v>
      </c>
      <c r="T56" s="3" t="str">
        <f>_xlfn.XLOOKUP(C56,Tabla42[ADEP],Tabla42[Sector],"")</f>
        <v>Sector 2</v>
      </c>
    </row>
    <row r="57" spans="1:20" x14ac:dyDescent="0.2">
      <c r="A57" s="23" t="s">
        <v>364</v>
      </c>
      <c r="B57" s="23" t="s">
        <v>18</v>
      </c>
      <c r="C57" s="23" t="s">
        <v>27</v>
      </c>
      <c r="D57" s="23" t="s">
        <v>28</v>
      </c>
      <c r="E57" s="23" t="s">
        <v>987</v>
      </c>
      <c r="F57" s="24">
        <v>46307.668668981481</v>
      </c>
      <c r="G57" s="23" t="s">
        <v>21</v>
      </c>
      <c r="H57" s="23" t="s">
        <v>4158</v>
      </c>
      <c r="I57" s="23">
        <v>370</v>
      </c>
      <c r="J57" s="23" t="s">
        <v>22</v>
      </c>
      <c r="K57" s="23" t="s">
        <v>23</v>
      </c>
      <c r="L57" s="23">
        <v>361</v>
      </c>
      <c r="M57" s="23" t="s">
        <v>30</v>
      </c>
      <c r="N57" s="24">
        <v>46307.689513888887</v>
      </c>
      <c r="O57" s="23">
        <v>370</v>
      </c>
      <c r="P57" s="23" t="s">
        <v>25</v>
      </c>
      <c r="Q57" s="23">
        <v>40</v>
      </c>
      <c r="R57" s="3" t="str">
        <f>IF(OR(G57="12R",G57="12L"),_xlfn.XLOOKUP(C57,Tabla42[ADEP],Tabla42[SID 12R],""),IF(OR(G57="30L",G57="30R"),_xlfn.XLOOKUP(C57,Tabla42[ADEP],Tabla42[SID 30L],""),""))</f>
        <v>OMSUK</v>
      </c>
      <c r="S57" s="3">
        <f t="shared" si="0"/>
        <v>16</v>
      </c>
      <c r="T57" s="3" t="str">
        <f>_xlfn.XLOOKUP(C57,Tabla42[ADEP],Tabla42[Sector],"")</f>
        <v>Sector 3</v>
      </c>
    </row>
    <row r="58" spans="1:20" x14ac:dyDescent="0.2">
      <c r="A58" s="23" t="s">
        <v>2990</v>
      </c>
      <c r="B58" s="23" t="s">
        <v>18</v>
      </c>
      <c r="C58" s="23" t="s">
        <v>444</v>
      </c>
      <c r="D58" s="23" t="s">
        <v>20</v>
      </c>
      <c r="E58" s="23" t="s">
        <v>4159</v>
      </c>
      <c r="F58" s="24">
        <v>46307.669895833336</v>
      </c>
      <c r="G58" s="23" t="s">
        <v>21</v>
      </c>
      <c r="H58" s="23" t="s">
        <v>4160</v>
      </c>
      <c r="I58" s="23">
        <v>360</v>
      </c>
      <c r="J58" s="23" t="s">
        <v>22</v>
      </c>
      <c r="K58" s="23" t="s">
        <v>23</v>
      </c>
      <c r="L58" s="23">
        <v>434</v>
      </c>
      <c r="M58" s="23" t="s">
        <v>189</v>
      </c>
      <c r="N58" s="24">
        <v>46307.694328703707</v>
      </c>
      <c r="O58" s="23">
        <v>360</v>
      </c>
      <c r="P58" s="23" t="s">
        <v>25</v>
      </c>
      <c r="Q58" s="23">
        <v>40</v>
      </c>
      <c r="R58" s="3" t="str">
        <f>IF(OR(G58="12R",G58="12L"),_xlfn.XLOOKUP(C58,Tabla42[ADEP],Tabla42[SID 12R],""),IF(OR(G58="30L",G58="30R"),_xlfn.XLOOKUP(C58,Tabla42[ADEP],Tabla42[SID 30L],""),""))</f>
        <v>ENEBA</v>
      </c>
      <c r="S58" s="3">
        <f t="shared" si="0"/>
        <v>16</v>
      </c>
      <c r="T58" s="3" t="str">
        <f>_xlfn.XLOOKUP(C58,Tabla42[ADEP],Tabla42[Sector],"")</f>
        <v>Sector 3</v>
      </c>
    </row>
    <row r="59" spans="1:20" x14ac:dyDescent="0.2">
      <c r="A59" s="23" t="s">
        <v>208</v>
      </c>
      <c r="B59" s="23" t="s">
        <v>18</v>
      </c>
      <c r="C59" s="23" t="s">
        <v>209</v>
      </c>
      <c r="D59" s="23" t="s">
        <v>28</v>
      </c>
      <c r="E59" s="23" t="s">
        <v>4161</v>
      </c>
      <c r="F59" s="24">
        <v>46307.67324074074</v>
      </c>
      <c r="G59" s="23" t="s">
        <v>21</v>
      </c>
      <c r="H59" s="23" t="s">
        <v>4162</v>
      </c>
      <c r="I59" s="23">
        <v>360</v>
      </c>
      <c r="J59" s="23" t="s">
        <v>22</v>
      </c>
      <c r="K59" s="23" t="s">
        <v>23</v>
      </c>
      <c r="L59" s="23">
        <v>534</v>
      </c>
      <c r="M59" s="23" t="s">
        <v>123</v>
      </c>
      <c r="N59" s="24">
        <v>46307.702696759261</v>
      </c>
      <c r="O59" s="23">
        <v>360</v>
      </c>
      <c r="P59" s="23" t="s">
        <v>25</v>
      </c>
      <c r="Q59" s="23">
        <v>40</v>
      </c>
      <c r="R59" s="3" t="str">
        <f>IF(OR(G59="12R",G59="12L"),_xlfn.XLOOKUP(C59,Tabla42[ADEP],Tabla42[SID 12R],""),IF(OR(G59="30L",G59="30R"),_xlfn.XLOOKUP(C59,Tabla42[ADEP],Tabla42[SID 30L],""),""))</f>
        <v>ENEBA</v>
      </c>
      <c r="S59" s="3">
        <f t="shared" si="0"/>
        <v>16</v>
      </c>
      <c r="T59" s="3" t="str">
        <f>_xlfn.XLOOKUP(C59,Tabla42[ADEP],Tabla42[Sector],"")</f>
        <v>Sector 3</v>
      </c>
    </row>
    <row r="60" spans="1:20" x14ac:dyDescent="0.2">
      <c r="A60" s="23" t="s">
        <v>429</v>
      </c>
      <c r="B60" s="23" t="s">
        <v>18</v>
      </c>
      <c r="C60" s="23" t="s">
        <v>193</v>
      </c>
      <c r="D60" s="23" t="s">
        <v>60</v>
      </c>
      <c r="E60" s="23" t="s">
        <v>4163</v>
      </c>
      <c r="F60" s="24">
        <v>46307.67454861111</v>
      </c>
      <c r="G60" s="23" t="s">
        <v>21</v>
      </c>
      <c r="H60" s="23" t="s">
        <v>4164</v>
      </c>
      <c r="I60" s="23">
        <v>350</v>
      </c>
      <c r="J60" s="23" t="s">
        <v>22</v>
      </c>
      <c r="K60" s="23" t="s">
        <v>23</v>
      </c>
      <c r="L60" s="23">
        <v>362</v>
      </c>
      <c r="M60" s="23" t="s">
        <v>30</v>
      </c>
      <c r="N60" s="24">
        <v>46307.696157407408</v>
      </c>
      <c r="O60" s="23">
        <v>350</v>
      </c>
      <c r="P60" s="23" t="s">
        <v>25</v>
      </c>
      <c r="Q60" s="23">
        <v>40</v>
      </c>
      <c r="R60" s="3" t="str">
        <f>IF(OR(G60="12R",G60="12L"),_xlfn.XLOOKUP(C60,Tabla42[ADEP],Tabla42[SID 12R],""),IF(OR(G60="30L",G60="30R"),_xlfn.XLOOKUP(C60,Tabla42[ADEP],Tabla42[SID 30L],""),""))</f>
        <v>ENEBA</v>
      </c>
      <c r="S60" s="3">
        <f t="shared" si="0"/>
        <v>16</v>
      </c>
      <c r="T60" s="3" t="str">
        <f>_xlfn.XLOOKUP(C60,Tabla42[ADEP],Tabla42[Sector],"")</f>
        <v>Sector 3</v>
      </c>
    </row>
    <row r="61" spans="1:20" x14ac:dyDescent="0.2">
      <c r="A61" s="23" t="s">
        <v>4165</v>
      </c>
      <c r="B61" s="23" t="s">
        <v>18</v>
      </c>
      <c r="C61" s="23" t="s">
        <v>233</v>
      </c>
      <c r="D61" s="23" t="s">
        <v>427</v>
      </c>
      <c r="E61" s="23" t="s">
        <v>4166</v>
      </c>
      <c r="F61" s="24">
        <v>46307.675833333335</v>
      </c>
      <c r="G61" s="23" t="s">
        <v>21</v>
      </c>
      <c r="H61" s="23" t="s">
        <v>4167</v>
      </c>
      <c r="I61" s="23">
        <v>400</v>
      </c>
      <c r="J61" s="23" t="s">
        <v>22</v>
      </c>
      <c r="K61" s="23" t="s">
        <v>50</v>
      </c>
      <c r="L61" s="23">
        <v>702</v>
      </c>
      <c r="M61" s="23" t="s">
        <v>118</v>
      </c>
      <c r="N61" s="24">
        <v>46307.714155092595</v>
      </c>
      <c r="O61" s="23">
        <v>400</v>
      </c>
      <c r="P61" s="23" t="s">
        <v>25</v>
      </c>
      <c r="Q61" s="23">
        <v>40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23" t="s">
        <v>150</v>
      </c>
      <c r="B62" s="23" t="s">
        <v>18</v>
      </c>
      <c r="C62" s="23" t="s">
        <v>32</v>
      </c>
      <c r="D62" s="23" t="s">
        <v>20</v>
      </c>
      <c r="E62" s="23" t="s">
        <v>374</v>
      </c>
      <c r="F62" s="24">
        <v>46307.676874999997</v>
      </c>
      <c r="G62" s="23" t="s">
        <v>21</v>
      </c>
      <c r="H62" s="23" t="s">
        <v>4168</v>
      </c>
      <c r="I62" s="23">
        <v>360</v>
      </c>
      <c r="J62" s="23" t="s">
        <v>22</v>
      </c>
      <c r="K62" s="23" t="s">
        <v>23</v>
      </c>
      <c r="L62" s="23">
        <v>864</v>
      </c>
      <c r="M62" s="23" t="s">
        <v>35</v>
      </c>
      <c r="N62" s="24">
        <v>46307.722060185188</v>
      </c>
      <c r="O62" s="23">
        <v>340</v>
      </c>
      <c r="P62" s="23" t="s">
        <v>25</v>
      </c>
      <c r="Q62" s="23">
        <v>190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23" t="s">
        <v>161</v>
      </c>
      <c r="B63" s="23" t="s">
        <v>18</v>
      </c>
      <c r="C63" s="23" t="s">
        <v>27</v>
      </c>
      <c r="D63" s="23" t="s">
        <v>60</v>
      </c>
      <c r="E63" s="23" t="s">
        <v>803</v>
      </c>
      <c r="F63" s="24">
        <v>46307.678171296298</v>
      </c>
      <c r="G63" s="23" t="s">
        <v>21</v>
      </c>
      <c r="H63" s="23" t="s">
        <v>4169</v>
      </c>
      <c r="I63" s="23">
        <v>330</v>
      </c>
      <c r="J63" s="23" t="s">
        <v>22</v>
      </c>
      <c r="K63" s="23" t="s">
        <v>23</v>
      </c>
      <c r="L63" s="23">
        <v>359</v>
      </c>
      <c r="M63" s="23" t="s">
        <v>30</v>
      </c>
      <c r="N63" s="24">
        <v>46307.700138888889</v>
      </c>
      <c r="O63" s="23">
        <v>330</v>
      </c>
      <c r="P63" s="23" t="s">
        <v>25</v>
      </c>
      <c r="Q63" s="23">
        <v>40</v>
      </c>
      <c r="R63" s="3" t="str">
        <f>IF(OR(G63="12R",G63="12L"),_xlfn.XLOOKUP(C63,Tabla42[ADEP],Tabla42[SID 12R],""),IF(OR(G63="30L",G63="30R"),_xlfn.XLOOKUP(C63,Tabla42[ADEP],Tabla42[SID 30L],""),""))</f>
        <v>OMSUK</v>
      </c>
      <c r="S63" s="3">
        <f t="shared" si="0"/>
        <v>16</v>
      </c>
      <c r="T63" s="3" t="str">
        <f>_xlfn.XLOOKUP(C63,Tabla42[ADEP],Tabla42[Sector],"")</f>
        <v>Sector 3</v>
      </c>
    </row>
    <row r="64" spans="1:20" x14ac:dyDescent="0.2">
      <c r="A64" s="23" t="s">
        <v>365</v>
      </c>
      <c r="B64" s="23" t="s">
        <v>18</v>
      </c>
      <c r="C64" s="23" t="s">
        <v>96</v>
      </c>
      <c r="D64" s="23" t="s">
        <v>53</v>
      </c>
      <c r="E64" s="23" t="s">
        <v>103</v>
      </c>
      <c r="F64" s="24">
        <v>46307.678923611114</v>
      </c>
      <c r="G64" s="23" t="s">
        <v>21</v>
      </c>
      <c r="H64" s="23" t="s">
        <v>4170</v>
      </c>
      <c r="I64" s="23">
        <v>360</v>
      </c>
      <c r="J64" s="23" t="s">
        <v>22</v>
      </c>
      <c r="K64" s="23" t="s">
        <v>141</v>
      </c>
      <c r="L64" s="23">
        <v>859</v>
      </c>
      <c r="M64" s="23" t="s">
        <v>45</v>
      </c>
      <c r="N64" s="24">
        <v>46307.724062499998</v>
      </c>
      <c r="O64" s="23">
        <v>360</v>
      </c>
      <c r="P64" s="23" t="s">
        <v>25</v>
      </c>
      <c r="Q64" s="23">
        <v>190</v>
      </c>
      <c r="R64" s="3" t="str">
        <f>IF(OR(G64="12R",G64="12L"),_xlfn.XLOOKUP(C64,Tabla42[ADEP],Tabla42[SID 12R],""),IF(OR(G64="30L",G64="30R"),_xlfn.XLOOKUP(C64,Tabla42[ADEP],Tabla42[SID 30L],""),""))</f>
        <v>UDGUV</v>
      </c>
      <c r="S64" s="3">
        <f t="shared" si="0"/>
        <v>16</v>
      </c>
      <c r="T64" s="3" t="str">
        <f>_xlfn.XLOOKUP(C64,Tabla42[ADEP],Tabla42[Sector],"")</f>
        <v>Sector 2</v>
      </c>
    </row>
    <row r="65" spans="1:20" x14ac:dyDescent="0.2">
      <c r="A65" s="23" t="s">
        <v>163</v>
      </c>
      <c r="B65" s="23" t="s">
        <v>18</v>
      </c>
      <c r="C65" s="23" t="s">
        <v>164</v>
      </c>
      <c r="D65" s="23" t="s">
        <v>43</v>
      </c>
      <c r="E65" s="23" t="s">
        <v>3117</v>
      </c>
      <c r="F65" s="24">
        <v>46307.679814814815</v>
      </c>
      <c r="G65" s="23" t="s">
        <v>21</v>
      </c>
      <c r="H65" s="23" t="s">
        <v>4171</v>
      </c>
      <c r="I65" s="23">
        <v>310</v>
      </c>
      <c r="J65" s="23" t="s">
        <v>22</v>
      </c>
      <c r="K65" s="23" t="s">
        <v>23</v>
      </c>
      <c r="L65" s="23">
        <v>367</v>
      </c>
      <c r="M65" s="23" t="s">
        <v>30</v>
      </c>
      <c r="N65" s="24">
        <v>46307.701990740738</v>
      </c>
      <c r="O65" s="23">
        <v>310</v>
      </c>
      <c r="P65" s="23" t="s">
        <v>25</v>
      </c>
      <c r="Q65" s="23">
        <v>40</v>
      </c>
      <c r="R65" s="3" t="str">
        <f>IF(OR(G65="12R",G65="12L"),_xlfn.XLOOKUP(C65,Tabla42[ADEP],Tabla42[SID 12R],""),IF(OR(G65="30L",G65="30R"),_xlfn.XLOOKUP(C65,Tabla42[ADEP],Tabla42[SID 30L],""),""))</f>
        <v>OMSUK</v>
      </c>
      <c r="S65" s="3">
        <f t="shared" si="0"/>
        <v>16</v>
      </c>
      <c r="T65" s="3" t="str">
        <f>_xlfn.XLOOKUP(C65,Tabla42[ADEP],Tabla42[Sector],"")</f>
        <v>Sector 3</v>
      </c>
    </row>
    <row r="66" spans="1:20" x14ac:dyDescent="0.2">
      <c r="A66" s="23" t="s">
        <v>4172</v>
      </c>
      <c r="B66" s="23" t="s">
        <v>18</v>
      </c>
      <c r="C66" s="23" t="s">
        <v>49</v>
      </c>
      <c r="D66" s="23" t="s">
        <v>124</v>
      </c>
      <c r="E66" s="23"/>
      <c r="F66" s="24">
        <v>46307.680833333332</v>
      </c>
      <c r="G66" s="23" t="s">
        <v>21</v>
      </c>
      <c r="H66" s="23" t="s">
        <v>985</v>
      </c>
      <c r="I66" s="23">
        <v>320</v>
      </c>
      <c r="J66" s="23" t="s">
        <v>22</v>
      </c>
      <c r="K66" s="23" t="s">
        <v>50</v>
      </c>
      <c r="L66" s="23">
        <v>862</v>
      </c>
      <c r="M66" s="23" t="s">
        <v>45</v>
      </c>
      <c r="N66" s="24">
        <v>46307.725717592592</v>
      </c>
      <c r="O66" s="23">
        <v>320</v>
      </c>
      <c r="P66" s="23" t="s">
        <v>25</v>
      </c>
      <c r="Q66" s="23">
        <v>30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23" t="s">
        <v>152</v>
      </c>
      <c r="B67" s="23" t="s">
        <v>18</v>
      </c>
      <c r="C67" s="23" t="s">
        <v>153</v>
      </c>
      <c r="D67" s="23" t="s">
        <v>33</v>
      </c>
      <c r="E67" s="23" t="s">
        <v>82</v>
      </c>
      <c r="F67" s="24">
        <v>46307.683530092596</v>
      </c>
      <c r="G67" s="23" t="s">
        <v>21</v>
      </c>
      <c r="H67" s="23" t="s">
        <v>4173</v>
      </c>
      <c r="I67" s="23">
        <v>360</v>
      </c>
      <c r="J67" s="23" t="s">
        <v>22</v>
      </c>
      <c r="K67" s="23" t="s">
        <v>23</v>
      </c>
      <c r="L67" s="23">
        <v>878</v>
      </c>
      <c r="M67" s="23" t="s">
        <v>35</v>
      </c>
      <c r="N67" s="24">
        <v>46307.72923611111</v>
      </c>
      <c r="O67" s="23">
        <v>360</v>
      </c>
      <c r="P67" s="23" t="s">
        <v>25</v>
      </c>
      <c r="Q67" s="23">
        <v>190</v>
      </c>
      <c r="R67" s="3" t="str">
        <f>IF(OR(G67="12R",G67="12L"),_xlfn.XLOOKUP(C67,Tabla42[ADEP],Tabla42[SID 12R],""),IF(OR(G67="30L",G67="30R"),_xlfn.XLOOKUP(C67,Tabla42[ADEP],Tabla42[SID 30L],""),""))</f>
        <v>UDGUV</v>
      </c>
      <c r="S67" s="3">
        <f t="shared" ref="S67:S130" si="1">HOUR(F67)</f>
        <v>16</v>
      </c>
      <c r="T67" s="3" t="str">
        <f>_xlfn.XLOOKUP(C67,Tabla42[ADEP],Tabla42[Sector],"")</f>
        <v>Sector 2</v>
      </c>
    </row>
    <row r="68" spans="1:20" x14ac:dyDescent="0.2">
      <c r="A68" s="23" t="s">
        <v>159</v>
      </c>
      <c r="B68" s="23" t="s">
        <v>18</v>
      </c>
      <c r="C68" s="23" t="s">
        <v>160</v>
      </c>
      <c r="D68" s="23" t="s">
        <v>53</v>
      </c>
      <c r="E68" s="23" t="s">
        <v>956</v>
      </c>
      <c r="F68" s="24">
        <v>46307.685011574074</v>
      </c>
      <c r="G68" s="23" t="s">
        <v>21</v>
      </c>
      <c r="H68" s="23" t="s">
        <v>4174</v>
      </c>
      <c r="I68" s="23">
        <v>380</v>
      </c>
      <c r="J68" s="23" t="s">
        <v>22</v>
      </c>
      <c r="K68" s="23" t="s">
        <v>23</v>
      </c>
      <c r="L68" s="23">
        <v>336</v>
      </c>
      <c r="M68" s="23" t="s">
        <v>952</v>
      </c>
      <c r="N68" s="24">
        <v>46307.703969907408</v>
      </c>
      <c r="O68" s="23">
        <v>380</v>
      </c>
      <c r="P68" s="23" t="s">
        <v>25</v>
      </c>
      <c r="Q68" s="23">
        <v>190</v>
      </c>
      <c r="R68" s="3" t="str">
        <f>IF(OR(G68="12R",G68="12L"),_xlfn.XLOOKUP(C68,Tabla42[ADEP],Tabla42[SID 12R],""),IF(OR(G68="30L",G68="30R"),_xlfn.XLOOKUP(C68,Tabla42[ADEP],Tabla42[SID 30L],""),""))</f>
        <v>CZM</v>
      </c>
      <c r="S68" s="3">
        <f t="shared" si="1"/>
        <v>16</v>
      </c>
      <c r="T68" s="3" t="str">
        <f>_xlfn.XLOOKUP(C68,Tabla42[ADEP],Tabla42[Sector],"")</f>
        <v>Sector 7</v>
      </c>
    </row>
    <row r="69" spans="1:20" x14ac:dyDescent="0.2">
      <c r="A69" s="23" t="s">
        <v>156</v>
      </c>
      <c r="B69" s="23" t="s">
        <v>18</v>
      </c>
      <c r="C69" s="23" t="s">
        <v>109</v>
      </c>
      <c r="D69" s="23" t="s">
        <v>122</v>
      </c>
      <c r="E69" s="23" t="s">
        <v>686</v>
      </c>
      <c r="F69" s="24">
        <v>46307.688194444447</v>
      </c>
      <c r="G69" s="23" t="s">
        <v>21</v>
      </c>
      <c r="H69" s="23" t="s">
        <v>4175</v>
      </c>
      <c r="I69" s="23">
        <v>350</v>
      </c>
      <c r="J69" s="23" t="s">
        <v>22</v>
      </c>
      <c r="K69" s="23" t="s">
        <v>23</v>
      </c>
      <c r="L69" s="23">
        <v>150</v>
      </c>
      <c r="M69" s="23" t="s">
        <v>111</v>
      </c>
      <c r="N69" s="24">
        <v>46307.698287037034</v>
      </c>
      <c r="O69" s="23">
        <v>272</v>
      </c>
      <c r="P69" s="23" t="s">
        <v>25</v>
      </c>
      <c r="Q69" s="23">
        <v>190</v>
      </c>
      <c r="R69" s="3" t="str">
        <f>IF(OR(G69="12R",G69="12L"),_xlfn.XLOOKUP(C69,Tabla42[ADEP],Tabla42[SID 12R],""),IF(OR(G69="30L",G69="30R"),_xlfn.XLOOKUP(C69,Tabla42[ADEP],Tabla42[SID 30L],""),""))</f>
        <v>TAKUX</v>
      </c>
      <c r="S69" s="3">
        <f t="shared" si="1"/>
        <v>16</v>
      </c>
      <c r="T69" s="3" t="str">
        <f>_xlfn.XLOOKUP(C69,Tabla42[ADEP],Tabla42[Sector],"")</f>
        <v>Sector 7</v>
      </c>
    </row>
    <row r="70" spans="1:20" x14ac:dyDescent="0.2">
      <c r="A70" s="23" t="s">
        <v>430</v>
      </c>
      <c r="B70" s="23" t="s">
        <v>18</v>
      </c>
      <c r="C70" s="23" t="s">
        <v>265</v>
      </c>
      <c r="D70" s="23" t="s">
        <v>20</v>
      </c>
      <c r="E70" s="23" t="s">
        <v>522</v>
      </c>
      <c r="F70" s="24">
        <v>46307.688969907409</v>
      </c>
      <c r="G70" s="23" t="s">
        <v>21</v>
      </c>
      <c r="H70" s="23" t="s">
        <v>4176</v>
      </c>
      <c r="I70" s="23">
        <v>360</v>
      </c>
      <c r="J70" s="23" t="s">
        <v>22</v>
      </c>
      <c r="K70" s="23" t="s">
        <v>23</v>
      </c>
      <c r="L70" s="23">
        <v>867</v>
      </c>
      <c r="M70" s="23" t="s">
        <v>167</v>
      </c>
      <c r="N70" s="24">
        <v>46307.733356481483</v>
      </c>
      <c r="O70" s="23">
        <v>360</v>
      </c>
      <c r="P70" s="23" t="s">
        <v>25</v>
      </c>
      <c r="Q70" s="23">
        <v>190</v>
      </c>
      <c r="R70" s="3" t="str">
        <f>IF(OR(G70="12R",G70="12L"),_xlfn.XLOOKUP(C70,Tabla42[ADEP],Tabla42[SID 12R],""),IF(OR(G70="30L",G70="30R"),_xlfn.XLOOKUP(C70,Tabla42[ADEP],Tabla42[SID 30L],""),""))</f>
        <v>UDGUV</v>
      </c>
      <c r="S70" s="3">
        <f t="shared" si="1"/>
        <v>16</v>
      </c>
      <c r="T70" s="3" t="str">
        <f>_xlfn.XLOOKUP(C70,Tabla42[ADEP],Tabla42[Sector],"")</f>
        <v>Sector 2</v>
      </c>
    </row>
    <row r="71" spans="1:20" x14ac:dyDescent="0.2">
      <c r="A71" s="23" t="s">
        <v>4177</v>
      </c>
      <c r="B71" s="23" t="s">
        <v>18</v>
      </c>
      <c r="C71" s="23" t="s">
        <v>49</v>
      </c>
      <c r="D71" s="23" t="s">
        <v>394</v>
      </c>
      <c r="E71" s="23"/>
      <c r="F71" s="24">
        <v>46307.690937500003</v>
      </c>
      <c r="G71" s="23" t="s">
        <v>21</v>
      </c>
      <c r="H71" s="23" t="s">
        <v>4178</v>
      </c>
      <c r="I71" s="23">
        <v>240</v>
      </c>
      <c r="J71" s="23" t="s">
        <v>22</v>
      </c>
      <c r="K71" s="23" t="s">
        <v>50</v>
      </c>
      <c r="L71" s="23">
        <v>858</v>
      </c>
      <c r="M71" s="23" t="s">
        <v>45</v>
      </c>
      <c r="N71" s="24">
        <v>46307.765335648146</v>
      </c>
      <c r="O71" s="23">
        <v>240</v>
      </c>
      <c r="P71" s="23" t="s">
        <v>129</v>
      </c>
      <c r="Q71" s="23">
        <v>30</v>
      </c>
      <c r="R71" s="3" t="str">
        <f>IF(OR(G71="12R",G71="12L"),_xlfn.XLOOKUP(C71,Tabla42[ADEP],Tabla42[SID 12R],""),IF(OR(G71="30L",G71="30R"),_xlfn.XLOOKUP(C71,Tabla42[ADEP],Tabla42[SID 30L],""),""))</f>
        <v>UDGUV</v>
      </c>
      <c r="S71" s="3">
        <f t="shared" si="1"/>
        <v>16</v>
      </c>
      <c r="T71" s="3" t="str">
        <f>_xlfn.XLOOKUP(C71,Tabla42[ADEP],Tabla42[Sector],"")</f>
        <v>Sector 2</v>
      </c>
    </row>
    <row r="72" spans="1:20" x14ac:dyDescent="0.2">
      <c r="A72" s="23" t="s">
        <v>2076</v>
      </c>
      <c r="B72" s="23" t="s">
        <v>18</v>
      </c>
      <c r="C72" s="23" t="s">
        <v>18</v>
      </c>
      <c r="D72" s="23" t="s">
        <v>2077</v>
      </c>
      <c r="E72" s="23"/>
      <c r="F72" s="24">
        <v>46307.692615740743</v>
      </c>
      <c r="G72" s="23" t="s">
        <v>21</v>
      </c>
      <c r="H72" s="23" t="s">
        <v>4179</v>
      </c>
      <c r="I72" s="23">
        <v>15</v>
      </c>
      <c r="J72" s="23" t="s">
        <v>130</v>
      </c>
      <c r="K72" s="23" t="s">
        <v>50</v>
      </c>
      <c r="L72" s="23">
        <v>127</v>
      </c>
      <c r="M72" s="23" t="s">
        <v>18</v>
      </c>
      <c r="N72" s="24">
        <v>46307.73133101852</v>
      </c>
      <c r="O72" s="23">
        <v>0</v>
      </c>
      <c r="P72" s="23" t="s">
        <v>129</v>
      </c>
      <c r="Q72" s="23">
        <v>15</v>
      </c>
      <c r="R72" s="3" t="str">
        <f>IF(OR(G72="12R",G72="12L"),_xlfn.XLOOKUP(C72,Tabla42[ADEP],Tabla42[SID 12R],""),IF(OR(G72="30L",G72="30R"),_xlfn.XLOOKUP(C72,Tabla42[ADEP],Tabla42[SID 30L],""),""))</f>
        <v/>
      </c>
      <c r="S72" s="3">
        <f t="shared" si="1"/>
        <v>16</v>
      </c>
      <c r="T72" s="3" t="str">
        <f>_xlfn.XLOOKUP(C72,Tabla42[ADEP],Tabla42[Sector],"")</f>
        <v/>
      </c>
    </row>
    <row r="73" spans="1:20" x14ac:dyDescent="0.2">
      <c r="A73" s="23" t="s">
        <v>2095</v>
      </c>
      <c r="B73" s="23" t="s">
        <v>18</v>
      </c>
      <c r="C73" s="23" t="s">
        <v>121</v>
      </c>
      <c r="D73" s="23" t="s">
        <v>122</v>
      </c>
      <c r="E73" s="23" t="s">
        <v>4180</v>
      </c>
      <c r="F73" s="24">
        <v>46307.692685185182</v>
      </c>
      <c r="G73" s="23" t="s">
        <v>21</v>
      </c>
      <c r="H73" s="23" t="s">
        <v>4181</v>
      </c>
      <c r="I73" s="23">
        <v>360</v>
      </c>
      <c r="J73" s="23" t="s">
        <v>22</v>
      </c>
      <c r="K73" s="23" t="s">
        <v>23</v>
      </c>
      <c r="L73" s="23">
        <v>562</v>
      </c>
      <c r="M73" s="23" t="s">
        <v>123</v>
      </c>
      <c r="N73" s="24">
        <v>46307.72420138889</v>
      </c>
      <c r="O73" s="23">
        <v>360</v>
      </c>
      <c r="P73" s="23" t="s">
        <v>25</v>
      </c>
      <c r="Q73" s="23">
        <v>40</v>
      </c>
      <c r="R73" s="3" t="str">
        <f>IF(OR(G73="12R",G73="12L"),_xlfn.XLOOKUP(C73,Tabla42[ADEP],Tabla42[SID 12R],""),IF(OR(G73="30L",G73="30R"),_xlfn.XLOOKUP(C73,Tabla42[ADEP],Tabla42[SID 30L],""),""))</f>
        <v>ENEBA</v>
      </c>
      <c r="S73" s="3">
        <f t="shared" si="1"/>
        <v>16</v>
      </c>
      <c r="T73" s="3" t="str">
        <f>_xlfn.XLOOKUP(C73,Tabla42[ADEP],Tabla42[Sector],"")</f>
        <v>Sector 3</v>
      </c>
    </row>
    <row r="74" spans="1:20" x14ac:dyDescent="0.2">
      <c r="A74" s="23" t="s">
        <v>373</v>
      </c>
      <c r="B74" s="23" t="s">
        <v>18</v>
      </c>
      <c r="C74" s="23" t="s">
        <v>32</v>
      </c>
      <c r="D74" s="23" t="s">
        <v>20</v>
      </c>
      <c r="E74" s="23" t="s">
        <v>2024</v>
      </c>
      <c r="F74" s="24">
        <v>46307.694074074076</v>
      </c>
      <c r="G74" s="23" t="s">
        <v>21</v>
      </c>
      <c r="H74" s="23" t="s">
        <v>4182</v>
      </c>
      <c r="I74" s="23">
        <v>360</v>
      </c>
      <c r="J74" s="23" t="s">
        <v>22</v>
      </c>
      <c r="K74" s="23" t="s">
        <v>141</v>
      </c>
      <c r="L74" s="23">
        <v>880</v>
      </c>
      <c r="M74" s="23" t="s">
        <v>35</v>
      </c>
      <c r="N74" s="24">
        <v>46307.739004629628</v>
      </c>
      <c r="O74" s="23">
        <v>360</v>
      </c>
      <c r="P74" s="23" t="s">
        <v>25</v>
      </c>
      <c r="Q74" s="23">
        <v>190</v>
      </c>
      <c r="R74" s="3" t="str">
        <f>IF(OR(G74="12R",G74="12L"),_xlfn.XLOOKUP(C74,Tabla42[ADEP],Tabla42[SID 12R],""),IF(OR(G74="30L",G74="30R"),_xlfn.XLOOKUP(C74,Tabla42[ADEP],Tabla42[SID 30L],""),""))</f>
        <v>UDGUV</v>
      </c>
      <c r="S74" s="3">
        <f t="shared" si="1"/>
        <v>16</v>
      </c>
      <c r="T74" s="3" t="str">
        <f>_xlfn.XLOOKUP(C74,Tabla42[ADEP],Tabla42[Sector],"")</f>
        <v>Sector 2</v>
      </c>
    </row>
    <row r="75" spans="1:20" x14ac:dyDescent="0.2">
      <c r="A75" s="23" t="s">
        <v>432</v>
      </c>
      <c r="B75" s="23" t="s">
        <v>18</v>
      </c>
      <c r="C75" s="23" t="s">
        <v>233</v>
      </c>
      <c r="D75" s="23" t="s">
        <v>122</v>
      </c>
      <c r="E75" s="23" t="s">
        <v>4183</v>
      </c>
      <c r="F75" s="24">
        <v>46307.695370370369</v>
      </c>
      <c r="G75" s="23" t="s">
        <v>21</v>
      </c>
      <c r="H75" s="23" t="s">
        <v>4184</v>
      </c>
      <c r="I75" s="23">
        <v>360</v>
      </c>
      <c r="J75" s="23" t="s">
        <v>22</v>
      </c>
      <c r="K75" s="23" t="s">
        <v>23</v>
      </c>
      <c r="L75" s="23">
        <v>561</v>
      </c>
      <c r="M75" s="23" t="s">
        <v>123</v>
      </c>
      <c r="N75" s="24">
        <v>46307.725358796299</v>
      </c>
      <c r="O75" s="23">
        <v>340</v>
      </c>
      <c r="P75" s="23" t="s">
        <v>25</v>
      </c>
      <c r="Q75" s="23">
        <v>40</v>
      </c>
      <c r="R75" s="3" t="str">
        <f>IF(OR(G75="12R",G75="12L"),_xlfn.XLOOKUP(C75,Tabla42[ADEP],Tabla42[SID 12R],""),IF(OR(G75="30L",G75="30R"),_xlfn.XLOOKUP(C75,Tabla42[ADEP],Tabla42[SID 30L],""),""))</f>
        <v>UDGUV</v>
      </c>
      <c r="S75" s="3">
        <f t="shared" si="1"/>
        <v>16</v>
      </c>
      <c r="T75" s="3" t="str">
        <f>_xlfn.XLOOKUP(C75,Tabla42[ADEP],Tabla42[Sector],"")</f>
        <v>Sector 2</v>
      </c>
    </row>
    <row r="76" spans="1:20" x14ac:dyDescent="0.2">
      <c r="A76" s="23" t="s">
        <v>232</v>
      </c>
      <c r="B76" s="23" t="s">
        <v>18</v>
      </c>
      <c r="C76" s="23" t="s">
        <v>233</v>
      </c>
      <c r="D76" s="23" t="s">
        <v>110</v>
      </c>
      <c r="E76" s="23" t="s">
        <v>2163</v>
      </c>
      <c r="F76" s="24">
        <v>46307.69703703704</v>
      </c>
      <c r="G76" s="23" t="s">
        <v>21</v>
      </c>
      <c r="H76" s="23" t="s">
        <v>4185</v>
      </c>
      <c r="I76" s="23">
        <v>380</v>
      </c>
      <c r="J76" s="23" t="s">
        <v>22</v>
      </c>
      <c r="K76" s="23" t="s">
        <v>23</v>
      </c>
      <c r="L76" s="23">
        <v>558</v>
      </c>
      <c r="M76" s="23" t="s">
        <v>123</v>
      </c>
      <c r="N76" s="24">
        <v>46307.727476851855</v>
      </c>
      <c r="O76" s="23">
        <v>400</v>
      </c>
      <c r="P76" s="23" t="s">
        <v>25</v>
      </c>
      <c r="Q76" s="23">
        <v>40</v>
      </c>
      <c r="R76" s="3" t="str">
        <f>IF(OR(G76="12R",G76="12L"),_xlfn.XLOOKUP(C76,Tabla42[ADEP],Tabla42[SID 12R],""),IF(OR(G76="30L",G76="30R"),_xlfn.XLOOKUP(C76,Tabla42[ADEP],Tabla42[SID 30L],""),""))</f>
        <v>UDGUV</v>
      </c>
      <c r="S76" s="3">
        <f t="shared" si="1"/>
        <v>16</v>
      </c>
      <c r="T76" s="3" t="str">
        <f>_xlfn.XLOOKUP(C76,Tabla42[ADEP],Tabla42[Sector],"")</f>
        <v>Sector 2</v>
      </c>
    </row>
    <row r="77" spans="1:20" x14ac:dyDescent="0.2">
      <c r="A77" s="23" t="s">
        <v>181</v>
      </c>
      <c r="B77" s="23" t="s">
        <v>18</v>
      </c>
      <c r="C77" s="23" t="s">
        <v>42</v>
      </c>
      <c r="D77" s="23" t="s">
        <v>28</v>
      </c>
      <c r="E77" s="23" t="s">
        <v>4186</v>
      </c>
      <c r="F77" s="24">
        <v>46307.697870370372</v>
      </c>
      <c r="G77" s="23" t="s">
        <v>21</v>
      </c>
      <c r="H77" s="23" t="s">
        <v>4187</v>
      </c>
      <c r="I77" s="23">
        <v>340</v>
      </c>
      <c r="J77" s="23" t="s">
        <v>22</v>
      </c>
      <c r="K77" s="23" t="s">
        <v>23</v>
      </c>
      <c r="L77" s="23">
        <v>859</v>
      </c>
      <c r="M77" s="23" t="s">
        <v>45</v>
      </c>
      <c r="N77" s="24">
        <v>46307.743414351855</v>
      </c>
      <c r="O77" s="23">
        <v>340</v>
      </c>
      <c r="P77" s="23" t="s">
        <v>25</v>
      </c>
      <c r="Q77" s="23">
        <v>190</v>
      </c>
      <c r="R77" s="3" t="str">
        <f>IF(OR(G77="12R",G77="12L"),_xlfn.XLOOKUP(C77,Tabla42[ADEP],Tabla42[SID 12R],""),IF(OR(G77="30L",G77="30R"),_xlfn.XLOOKUP(C77,Tabla42[ADEP],Tabla42[SID 30L],""),""))</f>
        <v>UDGUV</v>
      </c>
      <c r="S77" s="3">
        <f t="shared" si="1"/>
        <v>16</v>
      </c>
      <c r="T77" s="3" t="str">
        <f>_xlfn.XLOOKUP(C77,Tabla42[ADEP],Tabla42[Sector],"")</f>
        <v>Sector 2</v>
      </c>
    </row>
    <row r="78" spans="1:20" x14ac:dyDescent="0.2">
      <c r="A78" s="23" t="s">
        <v>171</v>
      </c>
      <c r="B78" s="23" t="s">
        <v>18</v>
      </c>
      <c r="C78" s="23" t="s">
        <v>2726</v>
      </c>
      <c r="D78" s="23" t="s">
        <v>172</v>
      </c>
      <c r="E78" s="23"/>
      <c r="F78" s="24">
        <v>46307.700092592589</v>
      </c>
      <c r="G78" s="23" t="s">
        <v>21</v>
      </c>
      <c r="H78" s="23" t="s">
        <v>155</v>
      </c>
      <c r="I78" s="23">
        <v>15</v>
      </c>
      <c r="J78" s="23" t="s">
        <v>130</v>
      </c>
      <c r="K78" s="23" t="s">
        <v>50</v>
      </c>
      <c r="L78" s="23">
        <v>74</v>
      </c>
      <c r="M78" s="23" t="s">
        <v>2726</v>
      </c>
      <c r="N78" s="24">
        <v>46307.716585648152</v>
      </c>
      <c r="O78" s="23">
        <v>0</v>
      </c>
      <c r="P78" s="23" t="s">
        <v>129</v>
      </c>
      <c r="Q78" s="23">
        <v>15</v>
      </c>
      <c r="R78" s="3" t="str">
        <f>IF(OR(G78="12R",G78="12L"),_xlfn.XLOOKUP(C78,Tabla42[ADEP],Tabla42[SID 12R],""),IF(OR(G78="30L",G78="30R"),_xlfn.XLOOKUP(C78,Tabla42[ADEP],Tabla42[SID 30L],""),""))</f>
        <v/>
      </c>
      <c r="S78" s="3">
        <f t="shared" si="1"/>
        <v>16</v>
      </c>
      <c r="T78" s="3" t="str">
        <f>_xlfn.XLOOKUP(C78,Tabla42[ADEP],Tabla42[Sector],"")</f>
        <v/>
      </c>
    </row>
    <row r="79" spans="1:20" x14ac:dyDescent="0.2">
      <c r="A79" s="23" t="s">
        <v>4188</v>
      </c>
      <c r="B79" s="23" t="s">
        <v>18</v>
      </c>
      <c r="C79" s="23" t="s">
        <v>154</v>
      </c>
      <c r="D79" s="23" t="s">
        <v>4189</v>
      </c>
      <c r="E79" s="23"/>
      <c r="F79" s="24">
        <v>46307.701620370368</v>
      </c>
      <c r="G79" s="23" t="s">
        <v>21</v>
      </c>
      <c r="H79" s="23" t="s">
        <v>155</v>
      </c>
      <c r="I79" s="23">
        <v>15</v>
      </c>
      <c r="J79" s="23" t="s">
        <v>130</v>
      </c>
      <c r="K79" s="23" t="s">
        <v>50</v>
      </c>
      <c r="L79" s="23">
        <v>58</v>
      </c>
      <c r="M79" s="23" t="s">
        <v>154</v>
      </c>
      <c r="N79" s="24">
        <v>46307.713217592594</v>
      </c>
      <c r="O79" s="23">
        <v>0</v>
      </c>
      <c r="P79" s="23" t="s">
        <v>129</v>
      </c>
      <c r="Q79" s="23">
        <v>15</v>
      </c>
      <c r="R79" s="3" t="str">
        <f>IF(OR(G79="12R",G79="12L"),_xlfn.XLOOKUP(C79,Tabla42[ADEP],Tabla42[SID 12R],""),IF(OR(G79="30L",G79="30R"),_xlfn.XLOOKUP(C79,Tabla42[ADEP],Tabla42[SID 30L],""),""))</f>
        <v>CZM</v>
      </c>
      <c r="S79" s="3">
        <f t="shared" si="1"/>
        <v>16</v>
      </c>
      <c r="T79" s="3" t="str">
        <f>_xlfn.XLOOKUP(C79,Tabla42[ADEP],Tabla42[Sector],"")</f>
        <v>Sector 7</v>
      </c>
    </row>
    <row r="80" spans="1:20" x14ac:dyDescent="0.2">
      <c r="A80" s="23" t="s">
        <v>180</v>
      </c>
      <c r="B80" s="23" t="s">
        <v>18</v>
      </c>
      <c r="C80" s="23" t="s">
        <v>133</v>
      </c>
      <c r="D80" s="23" t="s">
        <v>60</v>
      </c>
      <c r="E80" s="23" t="s">
        <v>2144</v>
      </c>
      <c r="F80" s="24">
        <v>46307.703020833331</v>
      </c>
      <c r="G80" s="23" t="s">
        <v>21</v>
      </c>
      <c r="H80" s="23" t="s">
        <v>4190</v>
      </c>
      <c r="I80" s="23">
        <v>330</v>
      </c>
      <c r="J80" s="23" t="s">
        <v>22</v>
      </c>
      <c r="K80" s="23" t="s">
        <v>23</v>
      </c>
      <c r="L80" s="23">
        <v>359</v>
      </c>
      <c r="M80" s="23" t="s">
        <v>30</v>
      </c>
      <c r="N80" s="24">
        <v>46307.724988425929</v>
      </c>
      <c r="O80" s="23">
        <v>330</v>
      </c>
      <c r="P80" s="23" t="s">
        <v>25</v>
      </c>
      <c r="Q80" s="23">
        <v>40</v>
      </c>
      <c r="R80" s="3" t="str">
        <f>IF(OR(G80="12R",G80="12L"),_xlfn.XLOOKUP(C80,Tabla42[ADEP],Tabla42[SID 12R],""),IF(OR(G80="30L",G80="30R"),_xlfn.XLOOKUP(C80,Tabla42[ADEP],Tabla42[SID 30L],""),""))</f>
        <v>OMSUK</v>
      </c>
      <c r="S80" s="3">
        <f t="shared" si="1"/>
        <v>16</v>
      </c>
      <c r="T80" s="3" t="str">
        <f>_xlfn.XLOOKUP(C80,Tabla42[ADEP],Tabla42[Sector],"")</f>
        <v>Sector 3</v>
      </c>
    </row>
    <row r="81" spans="1:20" x14ac:dyDescent="0.2">
      <c r="A81" s="23" t="s">
        <v>186</v>
      </c>
      <c r="B81" s="23" t="s">
        <v>18</v>
      </c>
      <c r="C81" s="23" t="s">
        <v>121</v>
      </c>
      <c r="D81" s="23" t="s">
        <v>60</v>
      </c>
      <c r="E81" s="23" t="s">
        <v>4191</v>
      </c>
      <c r="F81" s="24">
        <v>46307.711238425924</v>
      </c>
      <c r="G81" s="23" t="s">
        <v>21</v>
      </c>
      <c r="H81" s="23" t="s">
        <v>4192</v>
      </c>
      <c r="I81" s="23">
        <v>340</v>
      </c>
      <c r="J81" s="23" t="s">
        <v>22</v>
      </c>
      <c r="K81" s="23" t="s">
        <v>23</v>
      </c>
      <c r="L81" s="23">
        <v>577</v>
      </c>
      <c r="M81" s="23" t="s">
        <v>123</v>
      </c>
      <c r="N81" s="24">
        <v>46307.7424537037</v>
      </c>
      <c r="O81" s="23">
        <v>340</v>
      </c>
      <c r="P81" s="23" t="s">
        <v>25</v>
      </c>
      <c r="Q81" s="23">
        <v>40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23" t="s">
        <v>4193</v>
      </c>
      <c r="B82" s="23" t="s">
        <v>18</v>
      </c>
      <c r="C82" s="23" t="s">
        <v>4194</v>
      </c>
      <c r="D82" s="23" t="s">
        <v>4071</v>
      </c>
      <c r="E82" s="23" t="s">
        <v>4195</v>
      </c>
      <c r="F82" s="24">
        <v>46307.712627314817</v>
      </c>
      <c r="G82" s="23" t="s">
        <v>21</v>
      </c>
      <c r="H82" s="23" t="s">
        <v>4196</v>
      </c>
      <c r="I82" s="23">
        <v>450</v>
      </c>
      <c r="J82" s="23" t="s">
        <v>22</v>
      </c>
      <c r="K82" s="23" t="s">
        <v>50</v>
      </c>
      <c r="L82" s="23">
        <v>365</v>
      </c>
      <c r="M82" s="23" t="s">
        <v>30</v>
      </c>
      <c r="N82" s="24">
        <v>46307.733240740738</v>
      </c>
      <c r="O82" s="23">
        <v>450</v>
      </c>
      <c r="P82" s="23" t="s">
        <v>25</v>
      </c>
      <c r="Q82" s="23">
        <v>40</v>
      </c>
      <c r="R82" s="3" t="str">
        <f>IF(OR(G82="12R",G82="12L"),_xlfn.XLOOKUP(C82,Tabla42[ADEP],Tabla42[SID 12R],""),IF(OR(G82="30L",G82="30R"),_xlfn.XLOOKUP(C82,Tabla42[ADEP],Tabla42[SID 30L],""),""))</f>
        <v/>
      </c>
      <c r="S82" s="3">
        <f t="shared" si="1"/>
        <v>17</v>
      </c>
      <c r="T82" s="3" t="str">
        <f>_xlfn.XLOOKUP(C82,Tabla42[ADEP],Tabla42[Sector],"")</f>
        <v/>
      </c>
    </row>
    <row r="83" spans="1:20" x14ac:dyDescent="0.2">
      <c r="A83" s="23" t="s">
        <v>378</v>
      </c>
      <c r="B83" s="23" t="s">
        <v>18</v>
      </c>
      <c r="C83" s="23" t="s">
        <v>62</v>
      </c>
      <c r="D83" s="23" t="s">
        <v>33</v>
      </c>
      <c r="E83" s="23" t="s">
        <v>3323</v>
      </c>
      <c r="F83" s="24">
        <v>46307.713379629633</v>
      </c>
      <c r="G83" s="23" t="s">
        <v>21</v>
      </c>
      <c r="H83" s="23" t="s">
        <v>4197</v>
      </c>
      <c r="I83" s="23">
        <v>380</v>
      </c>
      <c r="J83" s="23" t="s">
        <v>22</v>
      </c>
      <c r="K83" s="23" t="s">
        <v>23</v>
      </c>
      <c r="L83" s="23">
        <v>866</v>
      </c>
      <c r="M83" s="23" t="s">
        <v>167</v>
      </c>
      <c r="N83" s="24">
        <v>46307.759004629632</v>
      </c>
      <c r="O83" s="23">
        <v>380</v>
      </c>
      <c r="P83" s="23" t="s">
        <v>25</v>
      </c>
      <c r="Q83" s="23">
        <v>190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23" t="s">
        <v>4198</v>
      </c>
      <c r="B84" s="23" t="s">
        <v>18</v>
      </c>
      <c r="C84" s="23" t="s">
        <v>4199</v>
      </c>
      <c r="D84" s="23" t="s">
        <v>427</v>
      </c>
      <c r="E84" s="23"/>
      <c r="F84" s="24">
        <v>46307.714444444442</v>
      </c>
      <c r="G84" s="23" t="s">
        <v>21</v>
      </c>
      <c r="H84" s="23" t="s">
        <v>4200</v>
      </c>
      <c r="I84" s="23">
        <v>320</v>
      </c>
      <c r="J84" s="23" t="s">
        <v>22</v>
      </c>
      <c r="K84" s="23" t="s">
        <v>50</v>
      </c>
      <c r="L84" s="23">
        <v>435</v>
      </c>
      <c r="M84" s="23" t="s">
        <v>189</v>
      </c>
      <c r="N84" s="24">
        <v>46307.739502314813</v>
      </c>
      <c r="O84" s="23">
        <v>340</v>
      </c>
      <c r="P84" s="23" t="s">
        <v>25</v>
      </c>
      <c r="Q84" s="23">
        <v>40</v>
      </c>
      <c r="R84" s="3" t="str">
        <f>IF(OR(G84="12R",G84="12L"),_xlfn.XLOOKUP(C84,Tabla42[ADEP],Tabla42[SID 12R],""),IF(OR(G84="30L",G84="30R"),_xlfn.XLOOKUP(C84,Tabla42[ADEP],Tabla42[SID 30L],""),""))</f>
        <v/>
      </c>
      <c r="S84" s="3">
        <f t="shared" si="1"/>
        <v>17</v>
      </c>
      <c r="T84" s="3" t="str">
        <f>_xlfn.XLOOKUP(C84,Tabla42[ADEP],Tabla42[Sector],"")</f>
        <v/>
      </c>
    </row>
    <row r="85" spans="1:20" x14ac:dyDescent="0.2">
      <c r="A85" s="23" t="s">
        <v>178</v>
      </c>
      <c r="B85" s="23" t="s">
        <v>18</v>
      </c>
      <c r="C85" s="23" t="s">
        <v>179</v>
      </c>
      <c r="D85" s="23" t="s">
        <v>33</v>
      </c>
      <c r="E85" s="23" t="s">
        <v>368</v>
      </c>
      <c r="F85" s="24">
        <v>46307.715150462966</v>
      </c>
      <c r="G85" s="23" t="s">
        <v>21</v>
      </c>
      <c r="H85" s="23" t="s">
        <v>4201</v>
      </c>
      <c r="I85" s="23">
        <v>360</v>
      </c>
      <c r="J85" s="23" t="s">
        <v>22</v>
      </c>
      <c r="K85" s="23" t="s">
        <v>23</v>
      </c>
      <c r="L85" s="23">
        <v>834</v>
      </c>
      <c r="M85" s="23" t="s">
        <v>179</v>
      </c>
      <c r="N85" s="24">
        <v>46307.764074074075</v>
      </c>
      <c r="O85" s="23">
        <v>15</v>
      </c>
      <c r="P85" s="23" t="s">
        <v>25</v>
      </c>
      <c r="Q85" s="23">
        <v>190</v>
      </c>
      <c r="R85" s="3" t="str">
        <f>IF(OR(G85="12R",G85="12L"),_xlfn.XLOOKUP(C85,Tabla42[ADEP],Tabla42[SID 12R],""),IF(OR(G85="30L",G85="30R"),_xlfn.XLOOKUP(C85,Tabla42[ADEP],Tabla42[SID 30L],""),""))</f>
        <v>UDGUV</v>
      </c>
      <c r="S85" s="3">
        <f t="shared" si="1"/>
        <v>17</v>
      </c>
      <c r="T85" s="3" t="str">
        <f>_xlfn.XLOOKUP(C85,Tabla42[ADEP],Tabla42[Sector],"")</f>
        <v>Sector 2</v>
      </c>
    </row>
    <row r="86" spans="1:20" x14ac:dyDescent="0.2">
      <c r="A86" s="23" t="s">
        <v>4202</v>
      </c>
      <c r="B86" s="23" t="s">
        <v>18</v>
      </c>
      <c r="C86" s="23" t="s">
        <v>353</v>
      </c>
      <c r="D86" s="23" t="s">
        <v>1028</v>
      </c>
      <c r="E86" s="23"/>
      <c r="F86" s="24">
        <v>46307.716122685182</v>
      </c>
      <c r="G86" s="23" t="s">
        <v>21</v>
      </c>
      <c r="H86" s="23" t="s">
        <v>4203</v>
      </c>
      <c r="I86" s="23">
        <v>270</v>
      </c>
      <c r="J86" s="23" t="s">
        <v>22</v>
      </c>
      <c r="K86" s="23" t="s">
        <v>50</v>
      </c>
      <c r="L86" s="23">
        <v>218</v>
      </c>
      <c r="M86" s="23" t="s">
        <v>355</v>
      </c>
      <c r="N86" s="24">
        <v>46307.729560185187</v>
      </c>
      <c r="O86" s="23">
        <v>270</v>
      </c>
      <c r="P86" s="23" t="s">
        <v>25</v>
      </c>
      <c r="Q86" s="23">
        <v>40</v>
      </c>
      <c r="R86" s="3" t="str">
        <f>IF(OR(G86="12R",G86="12L"),_xlfn.XLOOKUP(C86,Tabla42[ADEP],Tabla42[SID 12R],""),IF(OR(G86="30L",G86="30R"),_xlfn.XLOOKUP(C86,Tabla42[ADEP],Tabla42[SID 30L],""),""))</f>
        <v>OMSUK</v>
      </c>
      <c r="S86" s="3">
        <f t="shared" si="1"/>
        <v>17</v>
      </c>
      <c r="T86" s="3" t="str">
        <f>_xlfn.XLOOKUP(C86,Tabla42[ADEP],Tabla42[Sector],"")</f>
        <v>Sector 3</v>
      </c>
    </row>
    <row r="87" spans="1:20" x14ac:dyDescent="0.2">
      <c r="A87" s="23" t="s">
        <v>4204</v>
      </c>
      <c r="B87" s="23" t="s">
        <v>18</v>
      </c>
      <c r="C87" s="23" t="s">
        <v>2726</v>
      </c>
      <c r="D87" s="23" t="s">
        <v>4189</v>
      </c>
      <c r="E87" s="23"/>
      <c r="F87" s="24">
        <v>46307.717534722222</v>
      </c>
      <c r="G87" s="23" t="s">
        <v>21</v>
      </c>
      <c r="H87" s="23" t="s">
        <v>155</v>
      </c>
      <c r="I87" s="23">
        <v>15</v>
      </c>
      <c r="J87" s="23" t="s">
        <v>130</v>
      </c>
      <c r="K87" s="23" t="s">
        <v>50</v>
      </c>
      <c r="L87" s="23">
        <v>74</v>
      </c>
      <c r="M87" s="23" t="s">
        <v>2726</v>
      </c>
      <c r="N87" s="24">
        <v>46307.736238425925</v>
      </c>
      <c r="O87" s="23">
        <v>0</v>
      </c>
      <c r="P87" s="23" t="s">
        <v>129</v>
      </c>
      <c r="Q87" s="23">
        <v>15</v>
      </c>
      <c r="R87" s="3" t="str">
        <f>IF(OR(G87="12R",G87="12L"),_xlfn.XLOOKUP(C87,Tabla42[ADEP],Tabla42[SID 12R],""),IF(OR(G87="30L",G87="30R"),_xlfn.XLOOKUP(C87,Tabla42[ADEP],Tabla42[SID 30L],""),""))</f>
        <v/>
      </c>
      <c r="S87" s="3">
        <f t="shared" si="1"/>
        <v>17</v>
      </c>
      <c r="T87" s="3" t="str">
        <f>_xlfn.XLOOKUP(C87,Tabla42[ADEP],Tabla42[Sector],"")</f>
        <v/>
      </c>
    </row>
    <row r="88" spans="1:20" x14ac:dyDescent="0.2">
      <c r="A88" s="23" t="s">
        <v>4205</v>
      </c>
      <c r="B88" s="23" t="s">
        <v>18</v>
      </c>
      <c r="C88" s="23" t="s">
        <v>4206</v>
      </c>
      <c r="D88" s="23" t="s">
        <v>2789</v>
      </c>
      <c r="E88" s="23" t="s">
        <v>4205</v>
      </c>
      <c r="F88" s="24">
        <v>46307.718414351853</v>
      </c>
      <c r="G88" s="23" t="s">
        <v>21</v>
      </c>
      <c r="H88" s="23" t="s">
        <v>4207</v>
      </c>
      <c r="I88" s="23">
        <v>450</v>
      </c>
      <c r="J88" s="23" t="s">
        <v>22</v>
      </c>
      <c r="K88" s="23" t="s">
        <v>50</v>
      </c>
      <c r="L88" s="23">
        <v>363</v>
      </c>
      <c r="M88" s="23" t="s">
        <v>30</v>
      </c>
      <c r="N88" s="24">
        <v>46307.73940972222</v>
      </c>
      <c r="O88" s="23">
        <v>410</v>
      </c>
      <c r="P88" s="23" t="s">
        <v>25</v>
      </c>
      <c r="Q88" s="23">
        <v>40</v>
      </c>
      <c r="R88" s="3" t="str">
        <f>IF(OR(G88="12R",G88="12L"),_xlfn.XLOOKUP(C88,Tabla42[ADEP],Tabla42[SID 12R],""),IF(OR(G88="30L",G88="30R"),_xlfn.XLOOKUP(C88,Tabla42[ADEP],Tabla42[SID 30L],""),""))</f>
        <v/>
      </c>
      <c r="S88" s="3">
        <f t="shared" si="1"/>
        <v>17</v>
      </c>
      <c r="T88" s="3" t="str">
        <f>_xlfn.XLOOKUP(C88,Tabla42[ADEP],Tabla42[Sector],"")</f>
        <v/>
      </c>
    </row>
    <row r="89" spans="1:20" x14ac:dyDescent="0.2">
      <c r="A89" s="23" t="s">
        <v>187</v>
      </c>
      <c r="B89" s="23" t="s">
        <v>18</v>
      </c>
      <c r="C89" s="23" t="s">
        <v>188</v>
      </c>
      <c r="D89" s="23" t="s">
        <v>117</v>
      </c>
      <c r="E89" s="23" t="s">
        <v>4208</v>
      </c>
      <c r="F89" s="24">
        <v>46307.720995370371</v>
      </c>
      <c r="G89" s="23" t="s">
        <v>21</v>
      </c>
      <c r="H89" s="23" t="s">
        <v>4209</v>
      </c>
      <c r="I89" s="23">
        <v>310</v>
      </c>
      <c r="J89" s="23" t="s">
        <v>22</v>
      </c>
      <c r="K89" s="23" t="s">
        <v>23</v>
      </c>
      <c r="L89" s="23">
        <v>369</v>
      </c>
      <c r="M89" s="23" t="s">
        <v>30</v>
      </c>
      <c r="N89" s="24">
        <v>46307.741435185184</v>
      </c>
      <c r="O89" s="23">
        <v>310</v>
      </c>
      <c r="P89" s="23" t="s">
        <v>25</v>
      </c>
      <c r="Q89" s="23">
        <v>40</v>
      </c>
      <c r="R89" s="3" t="str">
        <f>IF(OR(G89="12R",G89="12L"),_xlfn.XLOOKUP(C89,Tabla42[ADEP],Tabla42[SID 12R],""),IF(OR(G89="30L",G89="30R"),_xlfn.XLOOKUP(C89,Tabla42[ADEP],Tabla42[SID 30L],""),""))</f>
        <v>ENEBA</v>
      </c>
      <c r="S89" s="3">
        <f t="shared" si="1"/>
        <v>17</v>
      </c>
      <c r="T89" s="3" t="str">
        <f>_xlfn.XLOOKUP(C89,Tabla42[ADEP],Tabla42[Sector],"")</f>
        <v>Sector 3</v>
      </c>
    </row>
    <row r="90" spans="1:20" x14ac:dyDescent="0.2">
      <c r="A90" s="23" t="s">
        <v>177</v>
      </c>
      <c r="B90" s="23" t="s">
        <v>18</v>
      </c>
      <c r="C90" s="23" t="s">
        <v>109</v>
      </c>
      <c r="D90" s="23" t="s">
        <v>122</v>
      </c>
      <c r="E90" s="23" t="s">
        <v>4210</v>
      </c>
      <c r="F90" s="24">
        <v>46307.726747685185</v>
      </c>
      <c r="G90" s="23" t="s">
        <v>21</v>
      </c>
      <c r="H90" s="23" t="s">
        <v>2718</v>
      </c>
      <c r="I90" s="23">
        <v>350</v>
      </c>
      <c r="J90" s="23" t="s">
        <v>22</v>
      </c>
      <c r="K90" s="23" t="s">
        <v>23</v>
      </c>
      <c r="L90" s="23">
        <v>150</v>
      </c>
      <c r="M90" s="23" t="s">
        <v>111</v>
      </c>
      <c r="N90" s="24">
        <v>46307.736840277779</v>
      </c>
      <c r="O90" s="23">
        <v>276</v>
      </c>
      <c r="P90" s="23" t="s">
        <v>25</v>
      </c>
      <c r="Q90" s="23">
        <v>190</v>
      </c>
      <c r="R90" s="3" t="str">
        <f>IF(OR(G90="12R",G90="12L"),_xlfn.XLOOKUP(C90,Tabla42[ADEP],Tabla42[SID 12R],""),IF(OR(G90="30L",G90="30R"),_xlfn.XLOOKUP(C90,Tabla42[ADEP],Tabla42[SID 30L],""),""))</f>
        <v>TAKUX</v>
      </c>
      <c r="S90" s="3">
        <f t="shared" si="1"/>
        <v>17</v>
      </c>
      <c r="T90" s="3" t="str">
        <f>_xlfn.XLOOKUP(C90,Tabla42[ADEP],Tabla42[Sector],"")</f>
        <v>Sector 7</v>
      </c>
    </row>
    <row r="91" spans="1:20" x14ac:dyDescent="0.2">
      <c r="A91" s="23" t="s">
        <v>4211</v>
      </c>
      <c r="B91" s="23" t="s">
        <v>18</v>
      </c>
      <c r="C91" s="23" t="s">
        <v>93</v>
      </c>
      <c r="D91" s="23" t="s">
        <v>586</v>
      </c>
      <c r="E91" s="23"/>
      <c r="F91" s="24">
        <v>46307.727997685186</v>
      </c>
      <c r="G91" s="23" t="s">
        <v>21</v>
      </c>
      <c r="H91" s="23" t="s">
        <v>4212</v>
      </c>
      <c r="I91" s="23">
        <v>280</v>
      </c>
      <c r="J91" s="23" t="s">
        <v>22</v>
      </c>
      <c r="K91" s="23" t="s">
        <v>50</v>
      </c>
      <c r="L91" s="23">
        <v>876</v>
      </c>
      <c r="M91" s="23" t="s">
        <v>94</v>
      </c>
      <c r="N91" s="24">
        <v>46307.774537037039</v>
      </c>
      <c r="O91" s="23">
        <v>200</v>
      </c>
      <c r="P91" s="23" t="s">
        <v>25</v>
      </c>
      <c r="Q91" s="23">
        <v>30</v>
      </c>
      <c r="R91" s="3" t="str">
        <f>IF(OR(G91="12R",G91="12L"),_xlfn.XLOOKUP(C91,Tabla42[ADEP],Tabla42[SID 12R],""),IF(OR(G91="30L",G91="30R"),_xlfn.XLOOKUP(C91,Tabla42[ADEP],Tabla42[SID 30L],""),""))</f>
        <v>UDGUV</v>
      </c>
      <c r="S91" s="3">
        <f t="shared" si="1"/>
        <v>17</v>
      </c>
      <c r="T91" s="3" t="str">
        <f>_xlfn.XLOOKUP(C91,Tabla42[ADEP],Tabla42[Sector],"")</f>
        <v>Sector 2</v>
      </c>
    </row>
    <row r="92" spans="1:20" x14ac:dyDescent="0.2">
      <c r="A92" s="23" t="s">
        <v>3027</v>
      </c>
      <c r="B92" s="23" t="s">
        <v>18</v>
      </c>
      <c r="C92" s="23" t="s">
        <v>190</v>
      </c>
      <c r="D92" s="23" t="s">
        <v>33</v>
      </c>
      <c r="E92" s="23" t="s">
        <v>4213</v>
      </c>
      <c r="F92" s="24">
        <v>46307.732951388891</v>
      </c>
      <c r="G92" s="23" t="s">
        <v>21</v>
      </c>
      <c r="H92" s="23" t="s">
        <v>4214</v>
      </c>
      <c r="I92" s="23">
        <v>370</v>
      </c>
      <c r="J92" s="23" t="s">
        <v>22</v>
      </c>
      <c r="K92" s="23" t="s">
        <v>23</v>
      </c>
      <c r="L92" s="23">
        <v>144</v>
      </c>
      <c r="M92" s="23" t="s">
        <v>39</v>
      </c>
      <c r="N92" s="24">
        <v>46307.742430555554</v>
      </c>
      <c r="O92" s="23">
        <v>242</v>
      </c>
      <c r="P92" s="23" t="s">
        <v>25</v>
      </c>
      <c r="Q92" s="23">
        <v>190</v>
      </c>
      <c r="R92" s="3" t="str">
        <f>IF(OR(G92="12R",G92="12L"),_xlfn.XLOOKUP(C92,Tabla42[ADEP],Tabla42[SID 12R],""),IF(OR(G92="30L",G92="30R"),_xlfn.XLOOKUP(C92,Tabla42[ADEP],Tabla42[SID 30L],""),""))</f>
        <v>NUDAL</v>
      </c>
      <c r="S92" s="3">
        <f t="shared" si="1"/>
        <v>17</v>
      </c>
      <c r="T92" s="3" t="str">
        <f>_xlfn.XLOOKUP(C92,Tabla42[ADEP],Tabla42[Sector],"")</f>
        <v>Sector 3</v>
      </c>
    </row>
    <row r="93" spans="1:20" x14ac:dyDescent="0.2">
      <c r="A93" s="23" t="s">
        <v>214</v>
      </c>
      <c r="B93" s="23" t="s">
        <v>18</v>
      </c>
      <c r="C93" s="23" t="s">
        <v>215</v>
      </c>
      <c r="D93" s="23" t="s">
        <v>60</v>
      </c>
      <c r="E93" s="23" t="s">
        <v>1009</v>
      </c>
      <c r="F93" s="24">
        <v>46307.735277777778</v>
      </c>
      <c r="G93" s="23" t="s">
        <v>21</v>
      </c>
      <c r="H93" s="23" t="s">
        <v>4215</v>
      </c>
      <c r="I93" s="23">
        <v>340</v>
      </c>
      <c r="J93" s="23" t="s">
        <v>22</v>
      </c>
      <c r="K93" s="23" t="s">
        <v>23</v>
      </c>
      <c r="L93" s="23">
        <v>446</v>
      </c>
      <c r="M93" s="23" t="s">
        <v>189</v>
      </c>
      <c r="N93" s="24">
        <v>46307.76190972222</v>
      </c>
      <c r="O93" s="23">
        <v>340</v>
      </c>
      <c r="P93" s="23" t="s">
        <v>25</v>
      </c>
      <c r="Q93" s="23">
        <v>40</v>
      </c>
      <c r="R93" s="3" t="str">
        <f>IF(OR(G93="12R",G93="12L"),_xlfn.XLOOKUP(C93,Tabla42[ADEP],Tabla42[SID 12R],""),IF(OR(G93="30L",G93="30R"),_xlfn.XLOOKUP(C93,Tabla42[ADEP],Tabla42[SID 30L],""),""))</f>
        <v>OMSUK</v>
      </c>
      <c r="S93" s="3">
        <f t="shared" si="1"/>
        <v>17</v>
      </c>
      <c r="T93" s="3" t="str">
        <f>_xlfn.XLOOKUP(C93,Tabla42[ADEP],Tabla42[Sector],"")</f>
        <v>Sector 3</v>
      </c>
    </row>
    <row r="94" spans="1:20" x14ac:dyDescent="0.2">
      <c r="A94" s="23" t="s">
        <v>244</v>
      </c>
      <c r="B94" s="23" t="s">
        <v>18</v>
      </c>
      <c r="C94" s="23" t="s">
        <v>126</v>
      </c>
      <c r="D94" s="23" t="s">
        <v>60</v>
      </c>
      <c r="E94" s="23" t="s">
        <v>4216</v>
      </c>
      <c r="F94" s="24">
        <v>46307.737754629627</v>
      </c>
      <c r="G94" s="23" t="s">
        <v>21</v>
      </c>
      <c r="H94" s="23" t="s">
        <v>4217</v>
      </c>
      <c r="I94" s="23">
        <v>350</v>
      </c>
      <c r="J94" s="23" t="s">
        <v>22</v>
      </c>
      <c r="K94" s="23" t="s">
        <v>23</v>
      </c>
      <c r="L94" s="23">
        <v>365</v>
      </c>
      <c r="M94" s="23" t="s">
        <v>30</v>
      </c>
      <c r="N94" s="24">
        <v>46307.760162037041</v>
      </c>
      <c r="O94" s="23">
        <v>350</v>
      </c>
      <c r="P94" s="23" t="s">
        <v>25</v>
      </c>
      <c r="Q94" s="23">
        <v>40</v>
      </c>
      <c r="R94" s="3" t="str">
        <f>IF(OR(G94="12R",G94="12L"),_xlfn.XLOOKUP(C94,Tabla42[ADEP],Tabla42[SID 12R],""),IF(OR(G94="30L",G94="30R"),_xlfn.XLOOKUP(C94,Tabla42[ADEP],Tabla42[SID 30L],""),""))</f>
        <v>ENEBA</v>
      </c>
      <c r="S94" s="3">
        <f t="shared" si="1"/>
        <v>17</v>
      </c>
      <c r="T94" s="3" t="str">
        <f>_xlfn.XLOOKUP(C94,Tabla42[ADEP],Tabla42[Sector],"")</f>
        <v>Sector 3</v>
      </c>
    </row>
    <row r="95" spans="1:20" x14ac:dyDescent="0.2">
      <c r="A95" s="23" t="s">
        <v>221</v>
      </c>
      <c r="B95" s="23" t="s">
        <v>18</v>
      </c>
      <c r="C95" s="23" t="s">
        <v>42</v>
      </c>
      <c r="D95" s="23" t="s">
        <v>43</v>
      </c>
      <c r="E95" s="23" t="s">
        <v>557</v>
      </c>
      <c r="F95" s="24">
        <v>46307.743009259262</v>
      </c>
      <c r="G95" s="23" t="s">
        <v>21</v>
      </c>
      <c r="H95" s="23" t="s">
        <v>4218</v>
      </c>
      <c r="I95" s="23">
        <v>360</v>
      </c>
      <c r="J95" s="23" t="s">
        <v>22</v>
      </c>
      <c r="K95" s="23" t="s">
        <v>23</v>
      </c>
      <c r="L95" s="23">
        <v>859</v>
      </c>
      <c r="M95" s="23" t="s">
        <v>45</v>
      </c>
      <c r="N95" s="24">
        <v>46307.787534722222</v>
      </c>
      <c r="O95" s="23">
        <v>360</v>
      </c>
      <c r="P95" s="23" t="s">
        <v>25</v>
      </c>
      <c r="Q95" s="23">
        <v>190</v>
      </c>
      <c r="R95" s="3" t="str">
        <f>IF(OR(G95="12R",G95="12L"),_xlfn.XLOOKUP(C95,Tabla42[ADEP],Tabla42[SID 12R],""),IF(OR(G95="30L",G95="30R"),_xlfn.XLOOKUP(C95,Tabla42[ADEP],Tabla42[SID 30L],""),""))</f>
        <v>UDGUV</v>
      </c>
      <c r="S95" s="3">
        <f t="shared" si="1"/>
        <v>17</v>
      </c>
      <c r="T95" s="3" t="str">
        <f>_xlfn.XLOOKUP(C95,Tabla42[ADEP],Tabla42[Sector],"")</f>
        <v>Sector 2</v>
      </c>
    </row>
    <row r="96" spans="1:20" x14ac:dyDescent="0.2">
      <c r="A96" s="23" t="s">
        <v>211</v>
      </c>
      <c r="B96" s="23" t="s">
        <v>18</v>
      </c>
      <c r="C96" s="23" t="s">
        <v>212</v>
      </c>
      <c r="D96" s="23" t="s">
        <v>53</v>
      </c>
      <c r="E96" s="23" t="s">
        <v>4219</v>
      </c>
      <c r="F96" s="24">
        <v>46307.746319444443</v>
      </c>
      <c r="G96" s="23" t="s">
        <v>21</v>
      </c>
      <c r="H96" s="23" t="s">
        <v>4220</v>
      </c>
      <c r="I96" s="23">
        <v>370</v>
      </c>
      <c r="J96" s="23" t="s">
        <v>22</v>
      </c>
      <c r="K96" s="23" t="s">
        <v>23</v>
      </c>
      <c r="L96" s="23">
        <v>153</v>
      </c>
      <c r="M96" s="23" t="s">
        <v>111</v>
      </c>
      <c r="N96" s="24">
        <v>46307.75608796296</v>
      </c>
      <c r="O96" s="23">
        <v>254</v>
      </c>
      <c r="P96" s="23" t="s">
        <v>25</v>
      </c>
      <c r="Q96" s="23">
        <v>190</v>
      </c>
      <c r="R96" s="3" t="str">
        <f>IF(OR(G96="12R",G96="12L"),_xlfn.XLOOKUP(C96,Tabla42[ADEP],Tabla42[SID 12R],""),IF(OR(G96="30L",G96="30R"),_xlfn.XLOOKUP(C96,Tabla42[ADEP],Tabla42[SID 30L],""),""))</f>
        <v>TAKUX</v>
      </c>
      <c r="S96" s="3">
        <f t="shared" si="1"/>
        <v>17</v>
      </c>
      <c r="T96" s="3" t="str">
        <f>_xlfn.XLOOKUP(C96,Tabla42[ADEP],Tabla42[Sector],"")</f>
        <v>Sector 7</v>
      </c>
    </row>
    <row r="97" spans="1:20" x14ac:dyDescent="0.2">
      <c r="A97" s="23" t="s">
        <v>437</v>
      </c>
      <c r="B97" s="23" t="s">
        <v>18</v>
      </c>
      <c r="C97" s="23" t="s">
        <v>438</v>
      </c>
      <c r="D97" s="23" t="s">
        <v>33</v>
      </c>
      <c r="E97" s="23" t="s">
        <v>551</v>
      </c>
      <c r="F97" s="24">
        <v>46307.747291666667</v>
      </c>
      <c r="G97" s="23" t="s">
        <v>21</v>
      </c>
      <c r="H97" s="23" t="s">
        <v>4221</v>
      </c>
      <c r="I97" s="23">
        <v>340</v>
      </c>
      <c r="J97" s="23" t="s">
        <v>22</v>
      </c>
      <c r="K97" s="23" t="s">
        <v>23</v>
      </c>
      <c r="L97" s="23">
        <v>996</v>
      </c>
      <c r="M97" s="23" t="s">
        <v>439</v>
      </c>
      <c r="N97" s="24">
        <v>46307.801782407405</v>
      </c>
      <c r="O97" s="23">
        <v>229</v>
      </c>
      <c r="P97" s="23" t="s">
        <v>25</v>
      </c>
      <c r="Q97" s="23">
        <v>190</v>
      </c>
      <c r="R97" s="3" t="str">
        <f>IF(OR(G97="12R",G97="12L"),_xlfn.XLOOKUP(C97,Tabla42[ADEP],Tabla42[SID 12R],""),IF(OR(G97="30L",G97="30R"),_xlfn.XLOOKUP(C97,Tabla42[ADEP],Tabla42[SID 30L],""),""))</f>
        <v>UDGUV</v>
      </c>
      <c r="S97" s="3">
        <f t="shared" si="1"/>
        <v>17</v>
      </c>
      <c r="T97" s="3" t="str">
        <f>_xlfn.XLOOKUP(C97,Tabla42[ADEP],Tabla42[Sector],"")</f>
        <v>Sector 2</v>
      </c>
    </row>
    <row r="98" spans="1:20" x14ac:dyDescent="0.2">
      <c r="A98" s="23" t="s">
        <v>192</v>
      </c>
      <c r="B98" s="23" t="s">
        <v>18</v>
      </c>
      <c r="C98" s="23" t="s">
        <v>193</v>
      </c>
      <c r="D98" s="23" t="s">
        <v>60</v>
      </c>
      <c r="E98" s="23" t="s">
        <v>4222</v>
      </c>
      <c r="F98" s="24">
        <v>46307.748194444444</v>
      </c>
      <c r="G98" s="23" t="s">
        <v>21</v>
      </c>
      <c r="H98" s="23" t="s">
        <v>4223</v>
      </c>
      <c r="I98" s="23">
        <v>350</v>
      </c>
      <c r="J98" s="23" t="s">
        <v>22</v>
      </c>
      <c r="K98" s="23" t="s">
        <v>23</v>
      </c>
      <c r="L98" s="23">
        <v>356</v>
      </c>
      <c r="M98" s="23" t="s">
        <v>30</v>
      </c>
      <c r="N98" s="24">
        <v>46307.770196759258</v>
      </c>
      <c r="O98" s="23">
        <v>350</v>
      </c>
      <c r="P98" s="23" t="s">
        <v>25</v>
      </c>
      <c r="Q98" s="23">
        <v>40</v>
      </c>
      <c r="R98" s="3" t="str">
        <f>IF(OR(G98="12R",G98="12L"),_xlfn.XLOOKUP(C98,Tabla42[ADEP],Tabla42[SID 12R],""),IF(OR(G98="30L",G98="30R"),_xlfn.XLOOKUP(C98,Tabla42[ADEP],Tabla42[SID 30L],""),""))</f>
        <v>ENEBA</v>
      </c>
      <c r="S98" s="3">
        <f t="shared" si="1"/>
        <v>17</v>
      </c>
      <c r="T98" s="3" t="str">
        <f>_xlfn.XLOOKUP(C98,Tabla42[ADEP],Tabla42[Sector],"")</f>
        <v>Sector 3</v>
      </c>
    </row>
    <row r="99" spans="1:20" x14ac:dyDescent="0.2">
      <c r="A99" s="23" t="s">
        <v>284</v>
      </c>
      <c r="B99" s="23" t="s">
        <v>18</v>
      </c>
      <c r="C99" s="23" t="s">
        <v>137</v>
      </c>
      <c r="D99" s="23" t="s">
        <v>20</v>
      </c>
      <c r="E99" s="23" t="s">
        <v>4224</v>
      </c>
      <c r="F99" s="24">
        <v>46307.750023148146</v>
      </c>
      <c r="G99" s="23" t="s">
        <v>21</v>
      </c>
      <c r="H99" s="23" t="s">
        <v>4225</v>
      </c>
      <c r="I99" s="23">
        <v>350</v>
      </c>
      <c r="J99" s="23" t="s">
        <v>22</v>
      </c>
      <c r="K99" s="23" t="s">
        <v>23</v>
      </c>
      <c r="L99" s="23">
        <v>131</v>
      </c>
      <c r="M99" s="23" t="s">
        <v>39</v>
      </c>
      <c r="N99" s="24">
        <v>46307.759305555555</v>
      </c>
      <c r="O99" s="23">
        <v>266</v>
      </c>
      <c r="P99" s="23" t="s">
        <v>25</v>
      </c>
      <c r="Q99" s="23">
        <v>190</v>
      </c>
      <c r="R99" s="3" t="str">
        <f>IF(OR(G99="12R",G99="12L"),_xlfn.XLOOKUP(C99,Tabla42[ADEP],Tabla42[SID 12R],""),IF(OR(G99="30L",G99="30R"),_xlfn.XLOOKUP(C99,Tabla42[ADEP],Tabla42[SID 30L],""),""))</f>
        <v>NUDAL</v>
      </c>
      <c r="S99" s="3">
        <f t="shared" si="1"/>
        <v>18</v>
      </c>
      <c r="T99" s="3" t="str">
        <f>_xlfn.XLOOKUP(C99,Tabla42[ADEP],Tabla42[Sector],"")</f>
        <v>Sector 3</v>
      </c>
    </row>
    <row r="100" spans="1:20" x14ac:dyDescent="0.2">
      <c r="A100" s="23" t="s">
        <v>183</v>
      </c>
      <c r="B100" s="23" t="s">
        <v>18</v>
      </c>
      <c r="C100" s="23" t="s">
        <v>184</v>
      </c>
      <c r="D100" s="23" t="s">
        <v>60</v>
      </c>
      <c r="E100" s="23" t="s">
        <v>4226</v>
      </c>
      <c r="F100" s="24">
        <v>46307.752905092595</v>
      </c>
      <c r="G100" s="23" t="s">
        <v>21</v>
      </c>
      <c r="H100" s="23" t="s">
        <v>4227</v>
      </c>
      <c r="I100" s="23">
        <v>330</v>
      </c>
      <c r="J100" s="23" t="s">
        <v>22</v>
      </c>
      <c r="K100" s="23" t="s">
        <v>23</v>
      </c>
      <c r="L100" s="23">
        <v>351</v>
      </c>
      <c r="M100" s="23" t="s">
        <v>30</v>
      </c>
      <c r="N100" s="24">
        <v>46307.774004629631</v>
      </c>
      <c r="O100" s="23">
        <v>330</v>
      </c>
      <c r="P100" s="23" t="s">
        <v>25</v>
      </c>
      <c r="Q100" s="23">
        <v>40</v>
      </c>
      <c r="R100" s="3" t="str">
        <f>IF(OR(G100="12R",G100="12L"),_xlfn.XLOOKUP(C100,Tabla42[ADEP],Tabla42[SID 12R],""),IF(OR(G100="30L",G100="30R"),_xlfn.XLOOKUP(C100,Tabla42[ADEP],Tabla42[SID 30L],""),""))</f>
        <v>OMSUK</v>
      </c>
      <c r="S100" s="3">
        <f t="shared" si="1"/>
        <v>18</v>
      </c>
      <c r="T100" s="3" t="str">
        <f>_xlfn.XLOOKUP(C100,Tabla42[ADEP],Tabla42[Sector],"")</f>
        <v>Sector 3</v>
      </c>
    </row>
    <row r="101" spans="1:20" x14ac:dyDescent="0.2">
      <c r="A101" s="23" t="s">
        <v>203</v>
      </c>
      <c r="B101" s="23" t="s">
        <v>18</v>
      </c>
      <c r="C101" s="23" t="s">
        <v>204</v>
      </c>
      <c r="D101" s="23" t="s">
        <v>53</v>
      </c>
      <c r="E101" s="23" t="s">
        <v>415</v>
      </c>
      <c r="F101" s="24">
        <v>46307.75540509259</v>
      </c>
      <c r="G101" s="23" t="s">
        <v>21</v>
      </c>
      <c r="H101" s="23" t="s">
        <v>4228</v>
      </c>
      <c r="I101" s="23">
        <v>370</v>
      </c>
      <c r="J101" s="23" t="s">
        <v>22</v>
      </c>
      <c r="K101" s="23" t="s">
        <v>23</v>
      </c>
      <c r="L101" s="23">
        <v>147</v>
      </c>
      <c r="M101" s="23" t="s">
        <v>753</v>
      </c>
      <c r="N101" s="24">
        <v>46307.765277777777</v>
      </c>
      <c r="O101" s="23">
        <v>289</v>
      </c>
      <c r="P101" s="23" t="s">
        <v>25</v>
      </c>
      <c r="Q101" s="23">
        <v>40</v>
      </c>
      <c r="R101" s="3" t="str">
        <f>IF(OR(G101="12R",G101="12L"),_xlfn.XLOOKUP(C101,Tabla42[ADEP],Tabla42[SID 12R],""),IF(OR(G101="30L",G101="30R"),_xlfn.XLOOKUP(C101,Tabla42[ADEP],Tabla42[SID 30L],""),""))</f>
        <v>TAKUX</v>
      </c>
      <c r="S101" s="3">
        <f t="shared" si="1"/>
        <v>18</v>
      </c>
      <c r="T101" s="3" t="str">
        <f>_xlfn.XLOOKUP(C101,Tabla42[ADEP],Tabla42[Sector],"")</f>
        <v>Sector 7</v>
      </c>
    </row>
    <row r="102" spans="1:20" x14ac:dyDescent="0.2">
      <c r="A102" s="23" t="s">
        <v>358</v>
      </c>
      <c r="B102" s="23" t="s">
        <v>18</v>
      </c>
      <c r="C102" s="23" t="s">
        <v>359</v>
      </c>
      <c r="D102" s="23" t="s">
        <v>33</v>
      </c>
      <c r="E102" s="23" t="s">
        <v>4229</v>
      </c>
      <c r="F102" s="24">
        <v>46307.756736111114</v>
      </c>
      <c r="G102" s="23" t="s">
        <v>21</v>
      </c>
      <c r="H102" s="23" t="s">
        <v>4230</v>
      </c>
      <c r="I102" s="23">
        <v>370</v>
      </c>
      <c r="J102" s="23" t="s">
        <v>22</v>
      </c>
      <c r="K102" s="23" t="s">
        <v>23</v>
      </c>
      <c r="L102" s="23">
        <v>359</v>
      </c>
      <c r="M102" s="23" t="s">
        <v>30</v>
      </c>
      <c r="N102" s="24">
        <v>46307.777754629627</v>
      </c>
      <c r="O102" s="23">
        <v>310</v>
      </c>
      <c r="P102" s="23" t="s">
        <v>25</v>
      </c>
      <c r="Q102" s="23">
        <v>40</v>
      </c>
      <c r="R102" s="3" t="str">
        <f>IF(OR(G102="12R",G102="12L"),_xlfn.XLOOKUP(C102,Tabla42[ADEP],Tabla42[SID 12R],""),IF(OR(G102="30L",G102="30R"),_xlfn.XLOOKUP(C102,Tabla42[ADEP],Tabla42[SID 30L],""),""))</f>
        <v>OMSUK</v>
      </c>
      <c r="S102" s="3">
        <f t="shared" si="1"/>
        <v>18</v>
      </c>
      <c r="T102" s="3" t="str">
        <f>_xlfn.XLOOKUP(C102,Tabla42[ADEP],Tabla42[Sector],"")</f>
        <v>Sector 3</v>
      </c>
    </row>
    <row r="103" spans="1:20" x14ac:dyDescent="0.2">
      <c r="A103" s="23" t="s">
        <v>218</v>
      </c>
      <c r="B103" s="23" t="s">
        <v>18</v>
      </c>
      <c r="C103" s="23" t="s">
        <v>219</v>
      </c>
      <c r="D103" s="23" t="s">
        <v>43</v>
      </c>
      <c r="E103" s="23" t="s">
        <v>2962</v>
      </c>
      <c r="F103" s="24">
        <v>46307.759444444448</v>
      </c>
      <c r="G103" s="23" t="s">
        <v>21</v>
      </c>
      <c r="H103" s="23" t="s">
        <v>4231</v>
      </c>
      <c r="I103" s="23">
        <v>320</v>
      </c>
      <c r="J103" s="23" t="s">
        <v>22</v>
      </c>
      <c r="K103" s="23" t="s">
        <v>23</v>
      </c>
      <c r="L103" s="23">
        <v>874</v>
      </c>
      <c r="M103" s="23" t="s">
        <v>35</v>
      </c>
      <c r="N103" s="24">
        <v>46307.804189814815</v>
      </c>
      <c r="O103" s="23">
        <v>320</v>
      </c>
      <c r="P103" s="23" t="s">
        <v>25</v>
      </c>
      <c r="Q103" s="23">
        <v>190</v>
      </c>
      <c r="R103" s="3" t="str">
        <f>IF(OR(G103="12R",G103="12L"),_xlfn.XLOOKUP(C103,Tabla42[ADEP],Tabla42[SID 12R],""),IF(OR(G103="30L",G103="30R"),_xlfn.XLOOKUP(C103,Tabla42[ADEP],Tabla42[SID 30L],""),""))</f>
        <v>UDGUV</v>
      </c>
      <c r="S103" s="3">
        <f t="shared" si="1"/>
        <v>18</v>
      </c>
      <c r="T103" s="3" t="str">
        <f>_xlfn.XLOOKUP(C103,Tabla42[ADEP],Tabla42[Sector],"")</f>
        <v>Sector 2</v>
      </c>
    </row>
    <row r="104" spans="1:20" x14ac:dyDescent="0.2">
      <c r="A104" s="23" t="s">
        <v>2157</v>
      </c>
      <c r="B104" s="23" t="s">
        <v>18</v>
      </c>
      <c r="C104" s="23" t="s">
        <v>188</v>
      </c>
      <c r="D104" s="23" t="s">
        <v>20</v>
      </c>
      <c r="E104" s="23" t="s">
        <v>4232</v>
      </c>
      <c r="F104" s="24">
        <v>46307.760300925926</v>
      </c>
      <c r="G104" s="23" t="s">
        <v>21</v>
      </c>
      <c r="H104" s="23" t="s">
        <v>4233</v>
      </c>
      <c r="I104" s="23">
        <v>350</v>
      </c>
      <c r="J104" s="23" t="s">
        <v>22</v>
      </c>
      <c r="K104" s="23" t="s">
        <v>23</v>
      </c>
      <c r="L104" s="23">
        <v>356</v>
      </c>
      <c r="M104" s="23" t="s">
        <v>30</v>
      </c>
      <c r="N104" s="24">
        <v>46307.780798611115</v>
      </c>
      <c r="O104" s="23">
        <v>330</v>
      </c>
      <c r="P104" s="23" t="s">
        <v>25</v>
      </c>
      <c r="Q104" s="23">
        <v>40</v>
      </c>
      <c r="R104" s="3" t="str">
        <f>IF(OR(G104="12R",G104="12L"),_xlfn.XLOOKUP(C104,Tabla42[ADEP],Tabla42[SID 12R],""),IF(OR(G104="30L",G104="30R"),_xlfn.XLOOKUP(C104,Tabla42[ADEP],Tabla42[SID 30L],""),""))</f>
        <v>ENEBA</v>
      </c>
      <c r="S104" s="3">
        <f t="shared" si="1"/>
        <v>18</v>
      </c>
      <c r="T104" s="3" t="str">
        <f>_xlfn.XLOOKUP(C104,Tabla42[ADEP],Tabla42[Sector],"")</f>
        <v>Sector 3</v>
      </c>
    </row>
    <row r="105" spans="1:20" x14ac:dyDescent="0.2">
      <c r="A105" s="23" t="s">
        <v>222</v>
      </c>
      <c r="B105" s="23" t="s">
        <v>18</v>
      </c>
      <c r="C105" s="23" t="s">
        <v>223</v>
      </c>
      <c r="D105" s="23" t="s">
        <v>110</v>
      </c>
      <c r="E105" s="23" t="s">
        <v>4234</v>
      </c>
      <c r="F105" s="24">
        <v>46307.76158564815</v>
      </c>
      <c r="G105" s="23" t="s">
        <v>21</v>
      </c>
      <c r="H105" s="23" t="s">
        <v>4235</v>
      </c>
      <c r="I105" s="23">
        <v>370</v>
      </c>
      <c r="J105" s="23" t="s">
        <v>22</v>
      </c>
      <c r="K105" s="23" t="s">
        <v>23</v>
      </c>
      <c r="L105" s="23">
        <v>133</v>
      </c>
      <c r="M105" s="23" t="s">
        <v>39</v>
      </c>
      <c r="N105" s="24">
        <v>46307.770694444444</v>
      </c>
      <c r="O105" s="23">
        <v>263</v>
      </c>
      <c r="P105" s="23" t="s">
        <v>25</v>
      </c>
      <c r="Q105" s="23">
        <v>190</v>
      </c>
      <c r="R105" s="3" t="str">
        <f>IF(OR(G105="12R",G105="12L"),_xlfn.XLOOKUP(C105,Tabla42[ADEP],Tabla42[SID 12R],""),IF(OR(G105="30L",G105="30R"),_xlfn.XLOOKUP(C105,Tabla42[ADEP],Tabla42[SID 30L],""),""))</f>
        <v>OMSUK</v>
      </c>
      <c r="S105" s="3">
        <f t="shared" si="1"/>
        <v>18</v>
      </c>
      <c r="T105" s="3" t="str">
        <f>_xlfn.XLOOKUP(C105,Tabla42[ADEP],Tabla42[Sector],"")</f>
        <v>Sector 3</v>
      </c>
    </row>
    <row r="106" spans="1:20" x14ac:dyDescent="0.2">
      <c r="A106" s="23" t="s">
        <v>199</v>
      </c>
      <c r="B106" s="23" t="s">
        <v>18</v>
      </c>
      <c r="C106" s="23" t="s">
        <v>200</v>
      </c>
      <c r="D106" s="23" t="s">
        <v>110</v>
      </c>
      <c r="E106" s="23" t="s">
        <v>4236</v>
      </c>
      <c r="F106" s="24">
        <v>46307.764050925929</v>
      </c>
      <c r="G106" s="23" t="s">
        <v>21</v>
      </c>
      <c r="H106" s="23" t="s">
        <v>4237</v>
      </c>
      <c r="I106" s="23">
        <v>380</v>
      </c>
      <c r="J106" s="23" t="s">
        <v>22</v>
      </c>
      <c r="K106" s="23" t="s">
        <v>23</v>
      </c>
      <c r="L106" s="23">
        <v>439</v>
      </c>
      <c r="M106" s="23" t="s">
        <v>189</v>
      </c>
      <c r="N106" s="24">
        <v>46307.787847222222</v>
      </c>
      <c r="O106" s="23">
        <v>380</v>
      </c>
      <c r="P106" s="23" t="s">
        <v>25</v>
      </c>
      <c r="Q106" s="23">
        <v>40</v>
      </c>
      <c r="R106" s="3" t="str">
        <f>IF(OR(G106="12R",G106="12L"),_xlfn.XLOOKUP(C106,Tabla42[ADEP],Tabla42[SID 12R],""),IF(OR(G106="30L",G106="30R"),_xlfn.XLOOKUP(C106,Tabla42[ADEP],Tabla42[SID 30L],""),""))</f>
        <v>OMSUK</v>
      </c>
      <c r="S106" s="3">
        <f t="shared" si="1"/>
        <v>18</v>
      </c>
      <c r="T106" s="3" t="str">
        <f>_xlfn.XLOOKUP(C106,Tabla42[ADEP],Tabla42[Sector],"")</f>
        <v>Sector 3</v>
      </c>
    </row>
    <row r="107" spans="1:20" x14ac:dyDescent="0.2">
      <c r="A107" s="23" t="s">
        <v>217</v>
      </c>
      <c r="B107" s="23" t="s">
        <v>18</v>
      </c>
      <c r="C107" s="23" t="s">
        <v>158</v>
      </c>
      <c r="D107" s="23" t="s">
        <v>20</v>
      </c>
      <c r="E107" s="23" t="s">
        <v>4238</v>
      </c>
      <c r="F107" s="24">
        <v>46307.765335648146</v>
      </c>
      <c r="G107" s="23" t="s">
        <v>21</v>
      </c>
      <c r="H107" s="23" t="s">
        <v>442</v>
      </c>
      <c r="I107" s="23">
        <v>330</v>
      </c>
      <c r="J107" s="23" t="s">
        <v>22</v>
      </c>
      <c r="K107" s="23" t="s">
        <v>23</v>
      </c>
      <c r="L107" s="23">
        <v>359</v>
      </c>
      <c r="M107" s="23" t="s">
        <v>30</v>
      </c>
      <c r="N107" s="24">
        <v>46307.785787037035</v>
      </c>
      <c r="O107" s="23">
        <v>350</v>
      </c>
      <c r="P107" s="23" t="s">
        <v>25</v>
      </c>
      <c r="Q107" s="23">
        <v>40</v>
      </c>
      <c r="R107" s="3" t="str">
        <f>IF(OR(G107="12R",G107="12L"),_xlfn.XLOOKUP(C107,Tabla42[ADEP],Tabla42[SID 12R],""),IF(OR(G107="30L",G107="30R"),_xlfn.XLOOKUP(C107,Tabla42[ADEP],Tabla42[SID 30L],""),""))</f>
        <v>OMSUK</v>
      </c>
      <c r="S107" s="3">
        <f t="shared" si="1"/>
        <v>18</v>
      </c>
      <c r="T107" s="3" t="str">
        <f>_xlfn.XLOOKUP(C107,Tabla42[ADEP],Tabla42[Sector],"")</f>
        <v>Sector 3</v>
      </c>
    </row>
    <row r="108" spans="1:20" x14ac:dyDescent="0.2">
      <c r="A108" s="23" t="s">
        <v>597</v>
      </c>
      <c r="B108" s="23" t="s">
        <v>18</v>
      </c>
      <c r="C108" s="23" t="s">
        <v>598</v>
      </c>
      <c r="D108" s="23" t="s">
        <v>28</v>
      </c>
      <c r="E108" s="23" t="s">
        <v>4239</v>
      </c>
      <c r="F108" s="24">
        <v>46307.76667824074</v>
      </c>
      <c r="G108" s="23" t="s">
        <v>21</v>
      </c>
      <c r="H108" s="23" t="s">
        <v>4240</v>
      </c>
      <c r="I108" s="23">
        <v>360</v>
      </c>
      <c r="J108" s="23" t="s">
        <v>22</v>
      </c>
      <c r="K108" s="23" t="s">
        <v>23</v>
      </c>
      <c r="L108" s="23">
        <v>436</v>
      </c>
      <c r="M108" s="23" t="s">
        <v>189</v>
      </c>
      <c r="N108" s="24">
        <v>46307.790891203702</v>
      </c>
      <c r="O108" s="23">
        <v>360</v>
      </c>
      <c r="P108" s="23" t="s">
        <v>25</v>
      </c>
      <c r="Q108" s="23">
        <v>40</v>
      </c>
      <c r="R108" s="3" t="str">
        <f>IF(OR(G108="12R",G108="12L"),_xlfn.XLOOKUP(C108,Tabla42[ADEP],Tabla42[SID 12R],""),IF(OR(G108="30L",G108="30R"),_xlfn.XLOOKUP(C108,Tabla42[ADEP],Tabla42[SID 30L],""),""))</f>
        <v>OMSUK</v>
      </c>
      <c r="S108" s="3">
        <f t="shared" si="1"/>
        <v>18</v>
      </c>
      <c r="T108" s="3" t="str">
        <f>_xlfn.XLOOKUP(C108,Tabla42[ADEP],Tabla42[Sector],"")</f>
        <v>Sector 3</v>
      </c>
    </row>
    <row r="109" spans="1:20" x14ac:dyDescent="0.2">
      <c r="A109" s="23" t="s">
        <v>213</v>
      </c>
      <c r="B109" s="23" t="s">
        <v>18</v>
      </c>
      <c r="C109" s="23" t="s">
        <v>19</v>
      </c>
      <c r="D109" s="23" t="s">
        <v>20</v>
      </c>
      <c r="E109" s="23" t="s">
        <v>4089</v>
      </c>
      <c r="F109" s="24">
        <v>46307.767650462964</v>
      </c>
      <c r="G109" s="23" t="s">
        <v>21</v>
      </c>
      <c r="H109" s="23" t="s">
        <v>4241</v>
      </c>
      <c r="I109" s="23">
        <v>360</v>
      </c>
      <c r="J109" s="23" t="s">
        <v>22</v>
      </c>
      <c r="K109" s="23" t="s">
        <v>23</v>
      </c>
      <c r="L109" s="23">
        <v>863</v>
      </c>
      <c r="M109" s="23" t="s">
        <v>1081</v>
      </c>
      <c r="N109" s="24">
        <v>46307.812662037039</v>
      </c>
      <c r="O109" s="23">
        <v>360</v>
      </c>
      <c r="P109" s="23" t="s">
        <v>25</v>
      </c>
      <c r="Q109" s="23">
        <v>190</v>
      </c>
      <c r="R109" s="3" t="str">
        <f>IF(OR(G109="12R",G109="12L"),_xlfn.XLOOKUP(C109,Tabla42[ADEP],Tabla42[SID 12R],""),IF(OR(G109="30L",G109="30R"),_xlfn.XLOOKUP(C109,Tabla42[ADEP],Tabla42[SID 30L],""),""))</f>
        <v>UDGUV</v>
      </c>
      <c r="S109" s="3">
        <f t="shared" si="1"/>
        <v>18</v>
      </c>
      <c r="T109" s="3" t="str">
        <f>_xlfn.XLOOKUP(C109,Tabla42[ADEP],Tabla42[Sector],"")</f>
        <v>Sector 2</v>
      </c>
    </row>
    <row r="110" spans="1:20" x14ac:dyDescent="0.2">
      <c r="A110" s="23" t="s">
        <v>227</v>
      </c>
      <c r="B110" s="23" t="s">
        <v>18</v>
      </c>
      <c r="C110" s="23" t="s">
        <v>133</v>
      </c>
      <c r="D110" s="23" t="s">
        <v>60</v>
      </c>
      <c r="E110" s="23" t="s">
        <v>347</v>
      </c>
      <c r="F110" s="24">
        <v>46307.768993055557</v>
      </c>
      <c r="G110" s="23" t="s">
        <v>21</v>
      </c>
      <c r="H110" s="23" t="s">
        <v>4242</v>
      </c>
      <c r="I110" s="23">
        <v>290</v>
      </c>
      <c r="J110" s="23" t="s">
        <v>22</v>
      </c>
      <c r="K110" s="23" t="s">
        <v>23</v>
      </c>
      <c r="L110" s="23">
        <v>359</v>
      </c>
      <c r="M110" s="23" t="s">
        <v>30</v>
      </c>
      <c r="N110" s="24">
        <v>46307.790034722224</v>
      </c>
      <c r="O110" s="23">
        <v>322</v>
      </c>
      <c r="P110" s="23" t="s">
        <v>25</v>
      </c>
      <c r="Q110" s="23">
        <v>40</v>
      </c>
      <c r="R110" s="3" t="str">
        <f>IF(OR(G110="12R",G110="12L"),_xlfn.XLOOKUP(C110,Tabla42[ADEP],Tabla42[SID 12R],""),IF(OR(G110="30L",G110="30R"),_xlfn.XLOOKUP(C110,Tabla42[ADEP],Tabla42[SID 30L],""),""))</f>
        <v>OMSUK</v>
      </c>
      <c r="S110" s="3">
        <f t="shared" si="1"/>
        <v>18</v>
      </c>
      <c r="T110" s="3" t="str">
        <f>_xlfn.XLOOKUP(C110,Tabla42[ADEP],Tabla42[Sector],"")</f>
        <v>Sector 3</v>
      </c>
    </row>
    <row r="111" spans="1:20" x14ac:dyDescent="0.2">
      <c r="A111" s="23" t="s">
        <v>237</v>
      </c>
      <c r="B111" s="23" t="s">
        <v>18</v>
      </c>
      <c r="C111" s="23" t="s">
        <v>116</v>
      </c>
      <c r="D111" s="23" t="s">
        <v>117</v>
      </c>
      <c r="E111" s="23" t="s">
        <v>4243</v>
      </c>
      <c r="F111" s="24">
        <v>46307.770370370374</v>
      </c>
      <c r="G111" s="23" t="s">
        <v>21</v>
      </c>
      <c r="H111" s="23" t="s">
        <v>4244</v>
      </c>
      <c r="I111" s="23">
        <v>320</v>
      </c>
      <c r="J111" s="23" t="s">
        <v>22</v>
      </c>
      <c r="K111" s="23" t="s">
        <v>23</v>
      </c>
      <c r="L111" s="23">
        <v>551</v>
      </c>
      <c r="M111" s="23" t="s">
        <v>123</v>
      </c>
      <c r="N111" s="24">
        <v>46307.799317129633</v>
      </c>
      <c r="O111" s="23">
        <v>340</v>
      </c>
      <c r="P111" s="23" t="s">
        <v>25</v>
      </c>
      <c r="Q111" s="23">
        <v>40</v>
      </c>
      <c r="R111" s="3" t="str">
        <f>IF(OR(G111="12R",G111="12L"),_xlfn.XLOOKUP(C111,Tabla42[ADEP],Tabla42[SID 12R],""),IF(OR(G111="30L",G111="30R"),_xlfn.XLOOKUP(C111,Tabla42[ADEP],Tabla42[SID 30L],""),""))</f>
        <v>ENEBA</v>
      </c>
      <c r="S111" s="3">
        <f t="shared" si="1"/>
        <v>18</v>
      </c>
      <c r="T111" s="3" t="str">
        <f>_xlfn.XLOOKUP(C111,Tabla42[ADEP],Tabla42[Sector],"")</f>
        <v>Sector 3</v>
      </c>
    </row>
    <row r="112" spans="1:20" x14ac:dyDescent="0.2">
      <c r="A112" s="23" t="s">
        <v>216</v>
      </c>
      <c r="B112" s="23" t="s">
        <v>18</v>
      </c>
      <c r="C112" s="23" t="s">
        <v>32</v>
      </c>
      <c r="D112" s="23" t="s">
        <v>20</v>
      </c>
      <c r="E112" s="23" t="s">
        <v>484</v>
      </c>
      <c r="F112" s="24">
        <v>46307.770983796298</v>
      </c>
      <c r="G112" s="23" t="s">
        <v>21</v>
      </c>
      <c r="H112" s="23" t="s">
        <v>352</v>
      </c>
      <c r="I112" s="23">
        <v>360</v>
      </c>
      <c r="J112" s="23" t="s">
        <v>22</v>
      </c>
      <c r="K112" s="23" t="s">
        <v>23</v>
      </c>
      <c r="L112" s="23">
        <v>878</v>
      </c>
      <c r="M112" s="23" t="s">
        <v>35</v>
      </c>
      <c r="N112" s="24">
        <v>46307.816435185188</v>
      </c>
      <c r="O112" s="23">
        <v>360</v>
      </c>
      <c r="P112" s="23" t="s">
        <v>25</v>
      </c>
      <c r="Q112" s="23">
        <v>190</v>
      </c>
      <c r="R112" s="3" t="str">
        <f>IF(OR(G112="12R",G112="12L"),_xlfn.XLOOKUP(C112,Tabla42[ADEP],Tabla42[SID 12R],""),IF(OR(G112="30L",G112="30R"),_xlfn.XLOOKUP(C112,Tabla42[ADEP],Tabla42[SID 30L],""),""))</f>
        <v>UDGUV</v>
      </c>
      <c r="S112" s="3">
        <f t="shared" si="1"/>
        <v>18</v>
      </c>
      <c r="T112" s="3" t="str">
        <f>_xlfn.XLOOKUP(C112,Tabla42[ADEP],Tabla42[Sector],"")</f>
        <v>Sector 2</v>
      </c>
    </row>
    <row r="113" spans="1:20" x14ac:dyDescent="0.2">
      <c r="A113" s="23" t="s">
        <v>4245</v>
      </c>
      <c r="B113" s="23" t="s">
        <v>18</v>
      </c>
      <c r="C113" s="23" t="s">
        <v>4246</v>
      </c>
      <c r="D113" s="23" t="s">
        <v>28</v>
      </c>
      <c r="E113" s="23" t="s">
        <v>4247</v>
      </c>
      <c r="F113" s="24">
        <v>46307.771990740737</v>
      </c>
      <c r="G113" s="23" t="s">
        <v>21</v>
      </c>
      <c r="H113" s="23" t="s">
        <v>4248</v>
      </c>
      <c r="I113" s="23">
        <v>410</v>
      </c>
      <c r="J113" s="23" t="s">
        <v>22</v>
      </c>
      <c r="K113" s="23" t="s">
        <v>455</v>
      </c>
      <c r="L113" s="23">
        <v>153</v>
      </c>
      <c r="M113" s="23" t="s">
        <v>111</v>
      </c>
      <c r="N113" s="24">
        <v>46307.782511574071</v>
      </c>
      <c r="O113" s="23">
        <v>290</v>
      </c>
      <c r="P113" s="23" t="s">
        <v>25</v>
      </c>
      <c r="Q113" s="23">
        <v>190</v>
      </c>
      <c r="R113" s="3" t="str">
        <f>IF(OR(G113="12R",G113="12L"),_xlfn.XLOOKUP(C113,Tabla42[ADEP],Tabla42[SID 12R],""),IF(OR(G113="30L",G113="30R"),_xlfn.XLOOKUP(C113,Tabla42[ADEP],Tabla42[SID 30L],""),""))</f>
        <v/>
      </c>
      <c r="S113" s="3">
        <f t="shared" si="1"/>
        <v>18</v>
      </c>
      <c r="T113" s="3" t="str">
        <f>_xlfn.XLOOKUP(C113,Tabla42[ADEP],Tabla42[Sector],"")</f>
        <v/>
      </c>
    </row>
    <row r="114" spans="1:20" x14ac:dyDescent="0.2">
      <c r="A114" s="23" t="s">
        <v>524</v>
      </c>
      <c r="B114" s="23" t="s">
        <v>18</v>
      </c>
      <c r="C114" s="23" t="s">
        <v>19</v>
      </c>
      <c r="D114" s="23" t="s">
        <v>60</v>
      </c>
      <c r="E114" s="23" t="s">
        <v>641</v>
      </c>
      <c r="F114" s="24">
        <v>46307.773113425923</v>
      </c>
      <c r="G114" s="23" t="s">
        <v>21</v>
      </c>
      <c r="H114" s="23" t="s">
        <v>4249</v>
      </c>
      <c r="I114" s="23">
        <v>340</v>
      </c>
      <c r="J114" s="23" t="s">
        <v>22</v>
      </c>
      <c r="K114" s="23" t="s">
        <v>141</v>
      </c>
      <c r="L114" s="23">
        <v>866</v>
      </c>
      <c r="M114" s="23" t="s">
        <v>2928</v>
      </c>
      <c r="N114" s="24">
        <v>46307.817650462966</v>
      </c>
      <c r="O114" s="23">
        <v>360</v>
      </c>
      <c r="P114" s="23" t="s">
        <v>25</v>
      </c>
      <c r="Q114" s="23">
        <v>190</v>
      </c>
      <c r="R114" s="3" t="str">
        <f>IF(OR(G114="12R",G114="12L"),_xlfn.XLOOKUP(C114,Tabla42[ADEP],Tabla42[SID 12R],""),IF(OR(G114="30L",G114="30R"),_xlfn.XLOOKUP(C114,Tabla42[ADEP],Tabla42[SID 30L],""),""))</f>
        <v>UDGUV</v>
      </c>
      <c r="S114" s="3">
        <f t="shared" si="1"/>
        <v>18</v>
      </c>
      <c r="T114" s="3" t="str">
        <f>_xlfn.XLOOKUP(C114,Tabla42[ADEP],Tabla42[Sector],"")</f>
        <v>Sector 2</v>
      </c>
    </row>
    <row r="115" spans="1:20" x14ac:dyDescent="0.2">
      <c r="A115" s="23" t="s">
        <v>202</v>
      </c>
      <c r="B115" s="23" t="s">
        <v>18</v>
      </c>
      <c r="C115" s="23" t="s">
        <v>32</v>
      </c>
      <c r="D115" s="23" t="s">
        <v>60</v>
      </c>
      <c r="E115" s="23" t="s">
        <v>529</v>
      </c>
      <c r="F115" s="24">
        <v>46307.774606481478</v>
      </c>
      <c r="G115" s="23" t="s">
        <v>21</v>
      </c>
      <c r="H115" s="23" t="s">
        <v>4250</v>
      </c>
      <c r="I115" s="23">
        <v>340</v>
      </c>
      <c r="J115" s="23" t="s">
        <v>22</v>
      </c>
      <c r="K115" s="23" t="s">
        <v>23</v>
      </c>
      <c r="L115" s="23">
        <v>870</v>
      </c>
      <c r="M115" s="23" t="s">
        <v>35</v>
      </c>
      <c r="N115" s="24">
        <v>46307.819965277777</v>
      </c>
      <c r="O115" s="23">
        <v>340</v>
      </c>
      <c r="P115" s="23" t="s">
        <v>25</v>
      </c>
      <c r="Q115" s="23">
        <v>190</v>
      </c>
      <c r="R115" s="3" t="str">
        <f>IF(OR(G115="12R",G115="12L"),_xlfn.XLOOKUP(C115,Tabla42[ADEP],Tabla42[SID 12R],""),IF(OR(G115="30L",G115="30R"),_xlfn.XLOOKUP(C115,Tabla42[ADEP],Tabla42[SID 30L],""),""))</f>
        <v>UDGUV</v>
      </c>
      <c r="S115" s="3">
        <f t="shared" si="1"/>
        <v>18</v>
      </c>
      <c r="T115" s="3" t="str">
        <f>_xlfn.XLOOKUP(C115,Tabla42[ADEP],Tabla42[Sector],"")</f>
        <v>Sector 2</v>
      </c>
    </row>
    <row r="116" spans="1:20" x14ac:dyDescent="0.2">
      <c r="A116" s="23" t="s">
        <v>228</v>
      </c>
      <c r="B116" s="23" t="s">
        <v>18</v>
      </c>
      <c r="C116" s="23" t="s">
        <v>27</v>
      </c>
      <c r="D116" s="23" t="s">
        <v>28</v>
      </c>
      <c r="E116" s="23" t="s">
        <v>3454</v>
      </c>
      <c r="F116" s="24">
        <v>46307.777303240742</v>
      </c>
      <c r="G116" s="23" t="s">
        <v>21</v>
      </c>
      <c r="H116" s="23" t="s">
        <v>4251</v>
      </c>
      <c r="I116" s="23">
        <v>370</v>
      </c>
      <c r="J116" s="23" t="s">
        <v>22</v>
      </c>
      <c r="K116" s="23" t="s">
        <v>23</v>
      </c>
      <c r="L116" s="23">
        <v>359</v>
      </c>
      <c r="M116" s="23" t="s">
        <v>30</v>
      </c>
      <c r="N116" s="24">
        <v>46307.799363425926</v>
      </c>
      <c r="O116" s="23">
        <v>370</v>
      </c>
      <c r="P116" s="23" t="s">
        <v>25</v>
      </c>
      <c r="Q116" s="23">
        <v>40</v>
      </c>
      <c r="R116" s="3" t="str">
        <f>IF(OR(G116="12R",G116="12L"),_xlfn.XLOOKUP(C116,Tabla42[ADEP],Tabla42[SID 12R],""),IF(OR(G116="30L",G116="30R"),_xlfn.XLOOKUP(C116,Tabla42[ADEP],Tabla42[SID 30L],""),""))</f>
        <v>OMSUK</v>
      </c>
      <c r="S116" s="3">
        <f t="shared" si="1"/>
        <v>18</v>
      </c>
      <c r="T116" s="3" t="str">
        <f>_xlfn.XLOOKUP(C116,Tabla42[ADEP],Tabla42[Sector],"")</f>
        <v>Sector 3</v>
      </c>
    </row>
    <row r="117" spans="1:20" x14ac:dyDescent="0.2">
      <c r="A117" s="23" t="s">
        <v>2076</v>
      </c>
      <c r="B117" s="23" t="s">
        <v>18</v>
      </c>
      <c r="C117" s="23" t="s">
        <v>18</v>
      </c>
      <c r="D117" s="23" t="s">
        <v>2077</v>
      </c>
      <c r="E117" s="23"/>
      <c r="F117" s="24">
        <v>46307.783356481479</v>
      </c>
      <c r="G117" s="23" t="s">
        <v>21</v>
      </c>
      <c r="H117" s="23" t="s">
        <v>2078</v>
      </c>
      <c r="I117" s="23">
        <v>15</v>
      </c>
      <c r="J117" s="23" t="s">
        <v>130</v>
      </c>
      <c r="K117" s="23" t="s">
        <v>50</v>
      </c>
      <c r="L117" s="23">
        <v>103</v>
      </c>
      <c r="M117" s="23" t="s">
        <v>18</v>
      </c>
      <c r="N117" s="24">
        <v>46307.842245370368</v>
      </c>
      <c r="O117" s="23">
        <v>0</v>
      </c>
      <c r="P117" s="23" t="s">
        <v>129</v>
      </c>
      <c r="Q117" s="23">
        <v>15</v>
      </c>
      <c r="R117" s="3" t="str">
        <f>IF(OR(G117="12R",G117="12L"),_xlfn.XLOOKUP(C117,Tabla42[ADEP],Tabla42[SID 12R],""),IF(OR(G117="30L",G117="30R"),_xlfn.XLOOKUP(C117,Tabla42[ADEP],Tabla42[SID 30L],""),""))</f>
        <v/>
      </c>
      <c r="S117" s="3">
        <f t="shared" si="1"/>
        <v>18</v>
      </c>
      <c r="T117" s="3" t="str">
        <f>_xlfn.XLOOKUP(C117,Tabla42[ADEP],Tabla42[Sector],"")</f>
        <v/>
      </c>
    </row>
    <row r="118" spans="1:20" x14ac:dyDescent="0.2">
      <c r="A118" s="23" t="s">
        <v>2176</v>
      </c>
      <c r="B118" s="23" t="s">
        <v>18</v>
      </c>
      <c r="C118" s="23" t="s">
        <v>133</v>
      </c>
      <c r="D118" s="23" t="s">
        <v>122</v>
      </c>
      <c r="E118" s="23" t="s">
        <v>3908</v>
      </c>
      <c r="F118" s="24">
        <v>46307.784861111111</v>
      </c>
      <c r="G118" s="23" t="s">
        <v>21</v>
      </c>
      <c r="H118" s="23" t="s">
        <v>4252</v>
      </c>
      <c r="I118" s="23">
        <v>350</v>
      </c>
      <c r="J118" s="23" t="s">
        <v>22</v>
      </c>
      <c r="K118" s="23" t="s">
        <v>23</v>
      </c>
      <c r="L118" s="23">
        <v>353</v>
      </c>
      <c r="M118" s="23" t="s">
        <v>30</v>
      </c>
      <c r="N118" s="24">
        <v>46307.805821759262</v>
      </c>
      <c r="O118" s="23">
        <v>350</v>
      </c>
      <c r="P118" s="23" t="s">
        <v>25</v>
      </c>
      <c r="Q118" s="23">
        <v>40</v>
      </c>
      <c r="R118" s="3" t="str">
        <f>IF(OR(G118="12R",G118="12L"),_xlfn.XLOOKUP(C118,Tabla42[ADEP],Tabla42[SID 12R],""),IF(OR(G118="30L",G118="30R"),_xlfn.XLOOKUP(C118,Tabla42[ADEP],Tabla42[SID 30L],""),""))</f>
        <v>OMSUK</v>
      </c>
      <c r="S118" s="3">
        <f t="shared" si="1"/>
        <v>18</v>
      </c>
      <c r="T118" s="3" t="str">
        <f>_xlfn.XLOOKUP(C118,Tabla42[ADEP],Tabla42[Sector],"")</f>
        <v>Sector 3</v>
      </c>
    </row>
    <row r="119" spans="1:20" x14ac:dyDescent="0.2">
      <c r="A119" s="23" t="s">
        <v>240</v>
      </c>
      <c r="B119" s="23" t="s">
        <v>18</v>
      </c>
      <c r="C119" s="23" t="s">
        <v>116</v>
      </c>
      <c r="D119" s="23" t="s">
        <v>117</v>
      </c>
      <c r="E119" s="23" t="s">
        <v>4253</v>
      </c>
      <c r="F119" s="24">
        <v>46307.786307870374</v>
      </c>
      <c r="G119" s="23" t="s">
        <v>21</v>
      </c>
      <c r="H119" s="23" t="s">
        <v>4254</v>
      </c>
      <c r="I119" s="23">
        <v>320</v>
      </c>
      <c r="J119" s="23" t="s">
        <v>22</v>
      </c>
      <c r="K119" s="23" t="s">
        <v>23</v>
      </c>
      <c r="L119" s="23">
        <v>537</v>
      </c>
      <c r="M119" s="23" t="s">
        <v>123</v>
      </c>
      <c r="N119" s="24">
        <v>46307.81459490741</v>
      </c>
      <c r="O119" s="23">
        <v>320</v>
      </c>
      <c r="P119" s="23" t="s">
        <v>25</v>
      </c>
      <c r="Q119" s="23">
        <v>40</v>
      </c>
      <c r="R119" s="3" t="str">
        <f>IF(OR(G119="12R",G119="12L"),_xlfn.XLOOKUP(C119,Tabla42[ADEP],Tabla42[SID 12R],""),IF(OR(G119="30L",G119="30R"),_xlfn.XLOOKUP(C119,Tabla42[ADEP],Tabla42[SID 30L],""),""))</f>
        <v>ENEBA</v>
      </c>
      <c r="S119" s="3">
        <f t="shared" si="1"/>
        <v>18</v>
      </c>
      <c r="T119" s="3" t="str">
        <f>_xlfn.XLOOKUP(C119,Tabla42[ADEP],Tabla42[Sector],"")</f>
        <v>Sector 3</v>
      </c>
    </row>
    <row r="120" spans="1:20" x14ac:dyDescent="0.2">
      <c r="A120" s="23" t="s">
        <v>460</v>
      </c>
      <c r="B120" s="23" t="s">
        <v>18</v>
      </c>
      <c r="C120" s="23" t="s">
        <v>126</v>
      </c>
      <c r="D120" s="23" t="s">
        <v>20</v>
      </c>
      <c r="E120" s="23" t="s">
        <v>4255</v>
      </c>
      <c r="F120" s="24">
        <v>46307.787766203706</v>
      </c>
      <c r="G120" s="23" t="s">
        <v>21</v>
      </c>
      <c r="H120" s="23" t="s">
        <v>4256</v>
      </c>
      <c r="I120" s="23">
        <v>350</v>
      </c>
      <c r="J120" s="23" t="s">
        <v>22</v>
      </c>
      <c r="K120" s="23" t="s">
        <v>23</v>
      </c>
      <c r="L120" s="23">
        <v>359</v>
      </c>
      <c r="M120" s="23" t="s">
        <v>30</v>
      </c>
      <c r="N120" s="24">
        <v>46307.807719907411</v>
      </c>
      <c r="O120" s="23">
        <v>310</v>
      </c>
      <c r="P120" s="23" t="s">
        <v>25</v>
      </c>
      <c r="Q120" s="23">
        <v>40</v>
      </c>
      <c r="R120" s="3" t="str">
        <f>IF(OR(G120="12R",G120="12L"),_xlfn.XLOOKUP(C120,Tabla42[ADEP],Tabla42[SID 12R],""),IF(OR(G120="30L",G120="30R"),_xlfn.XLOOKUP(C120,Tabla42[ADEP],Tabla42[SID 30L],""),""))</f>
        <v>ENEBA</v>
      </c>
      <c r="S120" s="3">
        <f t="shared" si="1"/>
        <v>18</v>
      </c>
      <c r="T120" s="3" t="str">
        <f>_xlfn.XLOOKUP(C120,Tabla42[ADEP],Tabla42[Sector],"")</f>
        <v>Sector 3</v>
      </c>
    </row>
    <row r="121" spans="1:20" x14ac:dyDescent="0.2">
      <c r="A121" s="23" t="s">
        <v>235</v>
      </c>
      <c r="B121" s="23" t="s">
        <v>18</v>
      </c>
      <c r="C121" s="23" t="s">
        <v>62</v>
      </c>
      <c r="D121" s="23" t="s">
        <v>33</v>
      </c>
      <c r="E121" s="23" t="s">
        <v>494</v>
      </c>
      <c r="F121" s="24">
        <v>46307.790509259263</v>
      </c>
      <c r="G121" s="23" t="s">
        <v>21</v>
      </c>
      <c r="H121" s="23" t="s">
        <v>4257</v>
      </c>
      <c r="I121" s="23">
        <v>360</v>
      </c>
      <c r="J121" s="23" t="s">
        <v>22</v>
      </c>
      <c r="K121" s="23" t="s">
        <v>23</v>
      </c>
      <c r="L121" s="23">
        <v>863</v>
      </c>
      <c r="M121" s="23" t="s">
        <v>4258</v>
      </c>
      <c r="N121" s="24">
        <v>46307.83520833333</v>
      </c>
      <c r="O121" s="23">
        <v>360</v>
      </c>
      <c r="P121" s="23" t="s">
        <v>25</v>
      </c>
      <c r="Q121" s="23">
        <v>190</v>
      </c>
      <c r="R121" s="3" t="str">
        <f>IF(OR(G121="12R",G121="12L"),_xlfn.XLOOKUP(C121,Tabla42[ADEP],Tabla42[SID 12R],""),IF(OR(G121="30L",G121="30R"),_xlfn.XLOOKUP(C121,Tabla42[ADEP],Tabla42[SID 30L],""),""))</f>
        <v>UDGUV</v>
      </c>
      <c r="S121" s="3">
        <f t="shared" si="1"/>
        <v>18</v>
      </c>
      <c r="T121" s="3" t="str">
        <f>_xlfn.XLOOKUP(C121,Tabla42[ADEP],Tabla42[Sector],"")</f>
        <v>Sector 2</v>
      </c>
    </row>
    <row r="122" spans="1:20" x14ac:dyDescent="0.2">
      <c r="A122" s="23" t="s">
        <v>241</v>
      </c>
      <c r="B122" s="23" t="s">
        <v>18</v>
      </c>
      <c r="C122" s="23" t="s">
        <v>121</v>
      </c>
      <c r="D122" s="23" t="s">
        <v>60</v>
      </c>
      <c r="E122" s="23" t="s">
        <v>4259</v>
      </c>
      <c r="F122" s="24">
        <v>46307.791122685187</v>
      </c>
      <c r="G122" s="23" t="s">
        <v>21</v>
      </c>
      <c r="H122" s="23" t="s">
        <v>4260</v>
      </c>
      <c r="I122" s="23">
        <v>340</v>
      </c>
      <c r="J122" s="23" t="s">
        <v>22</v>
      </c>
      <c r="K122" s="23" t="s">
        <v>23</v>
      </c>
      <c r="L122" s="23">
        <v>535</v>
      </c>
      <c r="M122" s="23" t="s">
        <v>123</v>
      </c>
      <c r="N122" s="24">
        <v>46307.820081018515</v>
      </c>
      <c r="O122" s="23">
        <v>340</v>
      </c>
      <c r="P122" s="23" t="s">
        <v>25</v>
      </c>
      <c r="Q122" s="23">
        <v>40</v>
      </c>
      <c r="R122" s="3" t="str">
        <f>IF(OR(G122="12R",G122="12L"),_xlfn.XLOOKUP(C122,Tabla42[ADEP],Tabla42[SID 12R],""),IF(OR(G122="30L",G122="30R"),_xlfn.XLOOKUP(C122,Tabla42[ADEP],Tabla42[SID 30L],""),""))</f>
        <v>ENEBA</v>
      </c>
      <c r="S122" s="3">
        <f t="shared" si="1"/>
        <v>18</v>
      </c>
      <c r="T122" s="3" t="str">
        <f>_xlfn.XLOOKUP(C122,Tabla42[ADEP],Tabla42[Sector],"")</f>
        <v>Sector 3</v>
      </c>
    </row>
    <row r="123" spans="1:20" x14ac:dyDescent="0.2">
      <c r="A123" s="23" t="s">
        <v>384</v>
      </c>
      <c r="B123" s="23" t="s">
        <v>18</v>
      </c>
      <c r="C123" s="23" t="s">
        <v>96</v>
      </c>
      <c r="D123" s="23" t="s">
        <v>53</v>
      </c>
      <c r="E123" s="23" t="s">
        <v>106</v>
      </c>
      <c r="F123" s="24">
        <v>46307.793043981481</v>
      </c>
      <c r="G123" s="23" t="s">
        <v>21</v>
      </c>
      <c r="H123" s="23" t="s">
        <v>4261</v>
      </c>
      <c r="I123" s="23">
        <v>360</v>
      </c>
      <c r="J123" s="23" t="s">
        <v>22</v>
      </c>
      <c r="K123" s="23" t="s">
        <v>141</v>
      </c>
      <c r="L123" s="23">
        <v>859</v>
      </c>
      <c r="M123" s="23" t="s">
        <v>45</v>
      </c>
      <c r="N123" s="24">
        <v>46307.837696759256</v>
      </c>
      <c r="O123" s="23">
        <v>380</v>
      </c>
      <c r="P123" s="23" t="s">
        <v>25</v>
      </c>
      <c r="Q123" s="23">
        <v>190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23" t="s">
        <v>225</v>
      </c>
      <c r="B124" s="23" t="s">
        <v>18</v>
      </c>
      <c r="C124" s="23" t="s">
        <v>27</v>
      </c>
      <c r="D124" s="23" t="s">
        <v>226</v>
      </c>
      <c r="E124" s="23" t="s">
        <v>4262</v>
      </c>
      <c r="F124" s="24">
        <v>46307.796365740738</v>
      </c>
      <c r="G124" s="23" t="s">
        <v>21</v>
      </c>
      <c r="H124" s="23" t="s">
        <v>4263</v>
      </c>
      <c r="I124" s="23">
        <v>330</v>
      </c>
      <c r="J124" s="23" t="s">
        <v>22</v>
      </c>
      <c r="K124" s="23" t="s">
        <v>23</v>
      </c>
      <c r="L124" s="23">
        <v>359</v>
      </c>
      <c r="M124" s="23" t="s">
        <v>30</v>
      </c>
      <c r="N124" s="24">
        <v>46307.817858796298</v>
      </c>
      <c r="O124" s="23">
        <v>370</v>
      </c>
      <c r="P124" s="23" t="s">
        <v>25</v>
      </c>
      <c r="Q124" s="23">
        <v>40</v>
      </c>
      <c r="R124" s="3" t="str">
        <f>IF(OR(G124="12R",G124="12L"),_xlfn.XLOOKUP(C124,Tabla42[ADEP],Tabla42[SID 12R],""),IF(OR(G124="30L",G124="30R"),_xlfn.XLOOKUP(C124,Tabla42[ADEP],Tabla42[SID 30L],""),""))</f>
        <v>OMSUK</v>
      </c>
      <c r="S124" s="3">
        <f t="shared" si="1"/>
        <v>19</v>
      </c>
      <c r="T124" s="3" t="str">
        <f>_xlfn.XLOOKUP(C124,Tabla42[ADEP],Tabla42[Sector],"")</f>
        <v>Sector 3</v>
      </c>
    </row>
    <row r="125" spans="1:20" x14ac:dyDescent="0.2">
      <c r="A125" s="23" t="s">
        <v>285</v>
      </c>
      <c r="B125" s="23" t="s">
        <v>18</v>
      </c>
      <c r="C125" s="23" t="s">
        <v>160</v>
      </c>
      <c r="D125" s="23" t="s">
        <v>53</v>
      </c>
      <c r="E125" s="23" t="s">
        <v>3969</v>
      </c>
      <c r="F125" s="24">
        <v>46307.797800925924</v>
      </c>
      <c r="G125" s="23" t="s">
        <v>21</v>
      </c>
      <c r="H125" s="23" t="s">
        <v>4264</v>
      </c>
      <c r="I125" s="23">
        <v>380</v>
      </c>
      <c r="J125" s="23" t="s">
        <v>22</v>
      </c>
      <c r="K125" s="23" t="s">
        <v>23</v>
      </c>
      <c r="L125" s="23">
        <v>324</v>
      </c>
      <c r="M125" s="23" t="s">
        <v>2433</v>
      </c>
      <c r="N125" s="24">
        <v>46307.816331018519</v>
      </c>
      <c r="O125" s="23">
        <v>380</v>
      </c>
      <c r="P125" s="23" t="s">
        <v>25</v>
      </c>
      <c r="Q125" s="23">
        <v>190</v>
      </c>
      <c r="R125" s="3" t="str">
        <f>IF(OR(G125="12R",G125="12L"),_xlfn.XLOOKUP(C125,Tabla42[ADEP],Tabla42[SID 12R],""),IF(OR(G125="30L",G125="30R"),_xlfn.XLOOKUP(C125,Tabla42[ADEP],Tabla42[SID 30L],""),""))</f>
        <v>CZM</v>
      </c>
      <c r="S125" s="3">
        <f t="shared" si="1"/>
        <v>19</v>
      </c>
      <c r="T125" s="3" t="str">
        <f>_xlfn.XLOOKUP(C125,Tabla42[ADEP],Tabla42[Sector],"")</f>
        <v>Sector 7</v>
      </c>
    </row>
    <row r="126" spans="1:20" x14ac:dyDescent="0.2">
      <c r="A126" s="23" t="s">
        <v>454</v>
      </c>
      <c r="B126" s="23" t="s">
        <v>18</v>
      </c>
      <c r="C126" s="23" t="s">
        <v>242</v>
      </c>
      <c r="D126" s="23" t="s">
        <v>243</v>
      </c>
      <c r="E126" s="23" t="s">
        <v>4265</v>
      </c>
      <c r="F126" s="24">
        <v>46307.798900462964</v>
      </c>
      <c r="G126" s="23" t="s">
        <v>21</v>
      </c>
      <c r="H126" s="23" t="s">
        <v>4266</v>
      </c>
      <c r="I126" s="23">
        <v>330</v>
      </c>
      <c r="J126" s="23" t="s">
        <v>22</v>
      </c>
      <c r="K126" s="23" t="s">
        <v>23</v>
      </c>
      <c r="L126" s="23">
        <v>365</v>
      </c>
      <c r="M126" s="23" t="s">
        <v>30</v>
      </c>
      <c r="N126" s="24">
        <v>46307.819074074076</v>
      </c>
      <c r="O126" s="23">
        <v>350</v>
      </c>
      <c r="P126" s="23" t="s">
        <v>40</v>
      </c>
      <c r="Q126" s="23">
        <v>40</v>
      </c>
      <c r="R126" s="3" t="str">
        <f>IF(OR(G126="12R",G126="12L"),_xlfn.XLOOKUP(C126,Tabla42[ADEP],Tabla42[SID 12R],""),IF(OR(G126="30L",G126="30R"),_xlfn.XLOOKUP(C126,Tabla42[ADEP],Tabla42[SID 30L],""),""))</f>
        <v>NUDAL</v>
      </c>
      <c r="S126" s="3">
        <f t="shared" si="1"/>
        <v>19</v>
      </c>
      <c r="T126" s="3" t="str">
        <f>_xlfn.XLOOKUP(C126,Tabla42[ADEP],Tabla42[Sector],"")</f>
        <v>Sector 3</v>
      </c>
    </row>
    <row r="127" spans="1:20" x14ac:dyDescent="0.2">
      <c r="A127" s="23" t="s">
        <v>270</v>
      </c>
      <c r="B127" s="23" t="s">
        <v>18</v>
      </c>
      <c r="C127" s="23" t="s">
        <v>93</v>
      </c>
      <c r="D127" s="23" t="s">
        <v>53</v>
      </c>
      <c r="E127" s="23" t="s">
        <v>393</v>
      </c>
      <c r="F127" s="24">
        <v>46307.800659722219</v>
      </c>
      <c r="G127" s="23" t="s">
        <v>21</v>
      </c>
      <c r="H127" s="23" t="s">
        <v>4267</v>
      </c>
      <c r="I127" s="23">
        <v>380</v>
      </c>
      <c r="J127" s="23" t="s">
        <v>22</v>
      </c>
      <c r="K127" s="23" t="s">
        <v>23</v>
      </c>
      <c r="L127" s="23">
        <v>876</v>
      </c>
      <c r="M127" s="23" t="s">
        <v>94</v>
      </c>
      <c r="N127" s="24">
        <v>46307.847673611112</v>
      </c>
      <c r="O127" s="23">
        <v>209</v>
      </c>
      <c r="P127" s="23" t="s">
        <v>25</v>
      </c>
      <c r="Q127" s="23">
        <v>190</v>
      </c>
      <c r="R127" s="3" t="str">
        <f>IF(OR(G127="12R",G127="12L"),_xlfn.XLOOKUP(C127,Tabla42[ADEP],Tabla42[SID 12R],""),IF(OR(G127="30L",G127="30R"),_xlfn.XLOOKUP(C127,Tabla42[ADEP],Tabla42[SID 30L],""),""))</f>
        <v>UDGUV</v>
      </c>
      <c r="S127" s="3">
        <f t="shared" si="1"/>
        <v>19</v>
      </c>
      <c r="T127" s="3" t="str">
        <f>_xlfn.XLOOKUP(C127,Tabla42[ADEP],Tabla42[Sector],"")</f>
        <v>Sector 2</v>
      </c>
    </row>
    <row r="128" spans="1:20" x14ac:dyDescent="0.2">
      <c r="A128" s="23" t="s">
        <v>2850</v>
      </c>
      <c r="B128" s="23" t="s">
        <v>18</v>
      </c>
      <c r="C128" s="23" t="s">
        <v>93</v>
      </c>
      <c r="D128" s="23" t="s">
        <v>2442</v>
      </c>
      <c r="E128" s="23"/>
      <c r="F128" s="24">
        <v>46307.802106481482</v>
      </c>
      <c r="G128" s="23" t="s">
        <v>21</v>
      </c>
      <c r="H128" s="23" t="s">
        <v>4268</v>
      </c>
      <c r="I128" s="23">
        <v>280</v>
      </c>
      <c r="J128" s="23" t="s">
        <v>22</v>
      </c>
      <c r="K128" s="23" t="s">
        <v>50</v>
      </c>
      <c r="L128" s="23">
        <v>875</v>
      </c>
      <c r="M128" s="23" t="s">
        <v>94</v>
      </c>
      <c r="N128" s="24">
        <v>46307.862060185187</v>
      </c>
      <c r="O128" s="23">
        <v>220</v>
      </c>
      <c r="P128" s="23" t="s">
        <v>129</v>
      </c>
      <c r="Q128" s="23">
        <v>30</v>
      </c>
      <c r="R128" s="3" t="str">
        <f>IF(OR(G128="12R",G128="12L"),_xlfn.XLOOKUP(C128,Tabla42[ADEP],Tabla42[SID 12R],""),IF(OR(G128="30L",G128="30R"),_xlfn.XLOOKUP(C128,Tabla42[ADEP],Tabla42[SID 30L],""),""))</f>
        <v>UDGUV</v>
      </c>
      <c r="S128" s="3">
        <f t="shared" si="1"/>
        <v>19</v>
      </c>
      <c r="T128" s="3" t="str">
        <f>_xlfn.XLOOKUP(C128,Tabla42[ADEP],Tabla42[Sector],"")</f>
        <v>Sector 2</v>
      </c>
    </row>
    <row r="129" spans="1:20" x14ac:dyDescent="0.2">
      <c r="A129" s="23" t="s">
        <v>229</v>
      </c>
      <c r="B129" s="23" t="s">
        <v>18</v>
      </c>
      <c r="C129" s="23" t="s">
        <v>230</v>
      </c>
      <c r="D129" s="23" t="s">
        <v>231</v>
      </c>
      <c r="E129" s="23" t="s">
        <v>591</v>
      </c>
      <c r="F129" s="24">
        <v>46307.80332175926</v>
      </c>
      <c r="G129" s="23" t="s">
        <v>21</v>
      </c>
      <c r="H129" s="23" t="s">
        <v>4269</v>
      </c>
      <c r="I129" s="23">
        <v>100</v>
      </c>
      <c r="J129" s="23" t="s">
        <v>22</v>
      </c>
      <c r="K129" s="23" t="s">
        <v>23</v>
      </c>
      <c r="L129" s="23">
        <v>330</v>
      </c>
      <c r="M129" s="23" t="s">
        <v>230</v>
      </c>
      <c r="N129" s="24">
        <v>46307.863171296296</v>
      </c>
      <c r="O129" s="23">
        <v>0</v>
      </c>
      <c r="P129" s="23" t="s">
        <v>129</v>
      </c>
      <c r="Q129" s="23">
        <v>40</v>
      </c>
      <c r="R129" s="3" t="str">
        <f>IF(OR(G129="12R",G129="12L"),_xlfn.XLOOKUP(C129,Tabla42[ADEP],Tabla42[SID 12R],""),IF(OR(G129="30L",G129="30R"),_xlfn.XLOOKUP(C129,Tabla42[ADEP],Tabla42[SID 30L],""),""))</f>
        <v>CZM</v>
      </c>
      <c r="S129" s="3">
        <f t="shared" si="1"/>
        <v>19</v>
      </c>
      <c r="T129" s="3" t="str">
        <f>_xlfn.XLOOKUP(C129,Tabla42[ADEP],Tabla42[Sector],"")</f>
        <v>Sector 7</v>
      </c>
    </row>
    <row r="130" spans="1:20" x14ac:dyDescent="0.2">
      <c r="A130" s="23" t="s">
        <v>4270</v>
      </c>
      <c r="B130" s="23" t="s">
        <v>18</v>
      </c>
      <c r="C130" s="23" t="s">
        <v>206</v>
      </c>
      <c r="D130" s="23" t="s">
        <v>124</v>
      </c>
      <c r="E130" s="23"/>
      <c r="F130" s="24">
        <v>46307.806608796294</v>
      </c>
      <c r="G130" s="23" t="s">
        <v>21</v>
      </c>
      <c r="H130" s="23" t="s">
        <v>4271</v>
      </c>
      <c r="I130" s="23">
        <v>400</v>
      </c>
      <c r="J130" s="23" t="s">
        <v>22</v>
      </c>
      <c r="K130" s="23" t="s">
        <v>50</v>
      </c>
      <c r="L130" s="23">
        <v>859</v>
      </c>
      <c r="M130" s="23" t="s">
        <v>45</v>
      </c>
      <c r="N130" s="24">
        <v>46307.85769675926</v>
      </c>
      <c r="O130" s="23">
        <v>400</v>
      </c>
      <c r="P130" s="23" t="s">
        <v>25</v>
      </c>
      <c r="Q130" s="23">
        <v>30</v>
      </c>
      <c r="R130" s="3" t="str">
        <f>IF(OR(G130="12R",G130="12L"),_xlfn.XLOOKUP(C130,Tabla42[ADEP],Tabla42[SID 12R],""),IF(OR(G130="30L",G130="30R"),_xlfn.XLOOKUP(C130,Tabla42[ADEP],Tabla42[SID 30L],""),""))</f>
        <v>UDGUV</v>
      </c>
      <c r="S130" s="3">
        <f t="shared" si="1"/>
        <v>19</v>
      </c>
      <c r="T130" s="3" t="str">
        <f>_xlfn.XLOOKUP(C130,Tabla42[ADEP],Tabla42[Sector],"")</f>
        <v>Sector 2</v>
      </c>
    </row>
    <row r="131" spans="1:20" x14ac:dyDescent="0.2">
      <c r="A131" s="23" t="s">
        <v>600</v>
      </c>
      <c r="B131" s="23" t="s">
        <v>18</v>
      </c>
      <c r="C131" s="23" t="s">
        <v>293</v>
      </c>
      <c r="D131" s="23" t="s">
        <v>20</v>
      </c>
      <c r="E131" s="23" t="s">
        <v>4272</v>
      </c>
      <c r="F131" s="24">
        <v>46307.808113425926</v>
      </c>
      <c r="G131" s="23" t="s">
        <v>21</v>
      </c>
      <c r="H131" s="23" t="s">
        <v>4273</v>
      </c>
      <c r="I131" s="23">
        <v>320</v>
      </c>
      <c r="J131" s="23" t="s">
        <v>22</v>
      </c>
      <c r="K131" s="23" t="s">
        <v>23</v>
      </c>
      <c r="L131" s="23">
        <v>538</v>
      </c>
      <c r="M131" s="23" t="s">
        <v>123</v>
      </c>
      <c r="N131" s="24">
        <v>46307.837708333333</v>
      </c>
      <c r="O131" s="23">
        <v>320</v>
      </c>
      <c r="P131" s="23" t="s">
        <v>25</v>
      </c>
      <c r="Q131" s="23">
        <v>40</v>
      </c>
      <c r="R131" s="3" t="str">
        <f>IF(OR(G131="12R",G131="12L"),_xlfn.XLOOKUP(C131,Tabla42[ADEP],Tabla42[SID 12R],""),IF(OR(G131="30L",G131="30R"),_xlfn.XLOOKUP(C131,Tabla42[ADEP],Tabla42[SID 30L],""),""))</f>
        <v>UDGUV</v>
      </c>
      <c r="S131" s="3">
        <f t="shared" ref="S131:S194" si="2">HOUR(F131)</f>
        <v>19</v>
      </c>
      <c r="T131" s="3" t="str">
        <f>_xlfn.XLOOKUP(C131,Tabla42[ADEP],Tabla42[Sector],"")</f>
        <v>Sector 2</v>
      </c>
    </row>
    <row r="132" spans="1:20" x14ac:dyDescent="0.2">
      <c r="A132" s="23" t="s">
        <v>3768</v>
      </c>
      <c r="B132" s="23" t="s">
        <v>18</v>
      </c>
      <c r="C132" s="23" t="s">
        <v>49</v>
      </c>
      <c r="D132" s="23" t="s">
        <v>124</v>
      </c>
      <c r="E132" s="23"/>
      <c r="F132" s="24">
        <v>46307.809270833335</v>
      </c>
      <c r="G132" s="23" t="s">
        <v>21</v>
      </c>
      <c r="H132" s="23" t="s">
        <v>4274</v>
      </c>
      <c r="I132" s="23">
        <v>380</v>
      </c>
      <c r="J132" s="23" t="s">
        <v>22</v>
      </c>
      <c r="K132" s="23" t="s">
        <v>50</v>
      </c>
      <c r="L132" s="23">
        <v>862</v>
      </c>
      <c r="M132" s="23" t="s">
        <v>45</v>
      </c>
      <c r="N132" s="24">
        <v>46307.857928240737</v>
      </c>
      <c r="O132" s="23">
        <v>380</v>
      </c>
      <c r="P132" s="23" t="s">
        <v>25</v>
      </c>
      <c r="Q132" s="23">
        <v>30</v>
      </c>
      <c r="R132" s="3" t="str">
        <f>IF(OR(G132="12R",G132="12L"),_xlfn.XLOOKUP(C132,Tabla42[ADEP],Tabla42[SID 12R],""),IF(OR(G132="30L",G132="30R"),_xlfn.XLOOKUP(C132,Tabla42[ADEP],Tabla42[SID 30L],""),""))</f>
        <v>UDGUV</v>
      </c>
      <c r="S132" s="3">
        <f t="shared" si="2"/>
        <v>19</v>
      </c>
      <c r="T132" s="3" t="str">
        <f>_xlfn.XLOOKUP(C132,Tabla42[ADEP],Tabla42[Sector],"")</f>
        <v>Sector 2</v>
      </c>
    </row>
    <row r="133" spans="1:20" x14ac:dyDescent="0.2">
      <c r="A133" s="23" t="s">
        <v>247</v>
      </c>
      <c r="B133" s="23" t="s">
        <v>18</v>
      </c>
      <c r="C133" s="23" t="s">
        <v>137</v>
      </c>
      <c r="D133" s="23" t="s">
        <v>28</v>
      </c>
      <c r="E133" s="23" t="s">
        <v>4275</v>
      </c>
      <c r="F133" s="24">
        <v>46307.810555555552</v>
      </c>
      <c r="G133" s="23" t="s">
        <v>21</v>
      </c>
      <c r="H133" s="23" t="s">
        <v>386</v>
      </c>
      <c r="I133" s="23">
        <v>370</v>
      </c>
      <c r="J133" s="23" t="s">
        <v>22</v>
      </c>
      <c r="K133" s="23" t="s">
        <v>23</v>
      </c>
      <c r="L133" s="23">
        <v>136</v>
      </c>
      <c r="M133" s="23" t="s">
        <v>39</v>
      </c>
      <c r="N133" s="24">
        <v>46307.820300925923</v>
      </c>
      <c r="O133" s="23">
        <v>242</v>
      </c>
      <c r="P133" s="23" t="s">
        <v>25</v>
      </c>
      <c r="Q133" s="23">
        <v>190</v>
      </c>
      <c r="R133" s="3" t="str">
        <f>IF(OR(G133="12R",G133="12L"),_xlfn.XLOOKUP(C133,Tabla42[ADEP],Tabla42[SID 12R],""),IF(OR(G133="30L",G133="30R"),_xlfn.XLOOKUP(C133,Tabla42[ADEP],Tabla42[SID 30L],""),""))</f>
        <v>NUDAL</v>
      </c>
      <c r="S133" s="3">
        <f t="shared" si="2"/>
        <v>19</v>
      </c>
      <c r="T133" s="3" t="str">
        <f>_xlfn.XLOOKUP(C133,Tabla42[ADEP],Tabla42[Sector],"")</f>
        <v>Sector 3</v>
      </c>
    </row>
    <row r="134" spans="1:20" x14ac:dyDescent="0.2">
      <c r="A134" s="23" t="s">
        <v>387</v>
      </c>
      <c r="B134" s="23" t="s">
        <v>18</v>
      </c>
      <c r="C134" s="23" t="s">
        <v>388</v>
      </c>
      <c r="D134" s="23" t="s">
        <v>60</v>
      </c>
      <c r="E134" s="23" t="s">
        <v>4276</v>
      </c>
      <c r="F134" s="24">
        <v>46307.81177083333</v>
      </c>
      <c r="G134" s="23" t="s">
        <v>21</v>
      </c>
      <c r="H134" s="23" t="s">
        <v>4277</v>
      </c>
      <c r="I134" s="23">
        <v>340</v>
      </c>
      <c r="J134" s="23" t="s">
        <v>22</v>
      </c>
      <c r="K134" s="23" t="s">
        <v>23</v>
      </c>
      <c r="L134" s="23">
        <v>544</v>
      </c>
      <c r="M134" s="23" t="s">
        <v>123</v>
      </c>
      <c r="N134" s="24">
        <v>46307.842453703706</v>
      </c>
      <c r="O134" s="23">
        <v>340</v>
      </c>
      <c r="P134" s="23" t="s">
        <v>25</v>
      </c>
      <c r="Q134" s="23">
        <v>40</v>
      </c>
      <c r="R134" s="3" t="str">
        <f>IF(OR(G134="12R",G134="12L"),_xlfn.XLOOKUP(C134,Tabla42[ADEP],Tabla42[SID 12R],""),IF(OR(G134="30L",G134="30R"),_xlfn.XLOOKUP(C134,Tabla42[ADEP],Tabla42[SID 30L],""),""))</f>
        <v>ENEBA</v>
      </c>
      <c r="S134" s="3">
        <f t="shared" si="2"/>
        <v>19</v>
      </c>
      <c r="T134" s="3" t="str">
        <f>_xlfn.XLOOKUP(C134,Tabla42[ADEP],Tabla42[Sector],"")</f>
        <v>Sector 3</v>
      </c>
    </row>
    <row r="135" spans="1:20" x14ac:dyDescent="0.2">
      <c r="A135" s="23" t="s">
        <v>256</v>
      </c>
      <c r="B135" s="23" t="s">
        <v>18</v>
      </c>
      <c r="C135" s="23" t="s">
        <v>257</v>
      </c>
      <c r="D135" s="23" t="s">
        <v>117</v>
      </c>
      <c r="E135" s="23" t="s">
        <v>4278</v>
      </c>
      <c r="F135" s="24">
        <v>46307.812534722223</v>
      </c>
      <c r="G135" s="23" t="s">
        <v>21</v>
      </c>
      <c r="H135" s="23" t="s">
        <v>4279</v>
      </c>
      <c r="I135" s="23">
        <v>320</v>
      </c>
      <c r="J135" s="23" t="s">
        <v>22</v>
      </c>
      <c r="K135" s="23" t="s">
        <v>23</v>
      </c>
      <c r="L135" s="23">
        <v>879</v>
      </c>
      <c r="M135" s="23" t="s">
        <v>35</v>
      </c>
      <c r="N135" s="24">
        <v>46307.856874999998</v>
      </c>
      <c r="O135" s="23">
        <v>320</v>
      </c>
      <c r="P135" s="23" t="s">
        <v>25</v>
      </c>
      <c r="Q135" s="23">
        <v>190</v>
      </c>
      <c r="R135" s="3" t="str">
        <f>IF(OR(G135="12R",G135="12L"),_xlfn.XLOOKUP(C135,Tabla42[ADEP],Tabla42[SID 12R],""),IF(OR(G135="30L",G135="30R"),_xlfn.XLOOKUP(C135,Tabla42[ADEP],Tabla42[SID 30L],""),""))</f>
        <v>UDGUV</v>
      </c>
      <c r="S135" s="3">
        <f t="shared" si="2"/>
        <v>19</v>
      </c>
      <c r="T135" s="3" t="str">
        <f>_xlfn.XLOOKUP(C135,Tabla42[ADEP],Tabla42[Sector],"")</f>
        <v>Sector 2</v>
      </c>
    </row>
    <row r="136" spans="1:20" x14ac:dyDescent="0.2">
      <c r="A136" s="23" t="s">
        <v>246</v>
      </c>
      <c r="B136" s="23" t="s">
        <v>18</v>
      </c>
      <c r="C136" s="23" t="s">
        <v>209</v>
      </c>
      <c r="D136" s="23" t="s">
        <v>122</v>
      </c>
      <c r="E136" s="23" t="s">
        <v>4280</v>
      </c>
      <c r="F136" s="24">
        <v>46307.81318287037</v>
      </c>
      <c r="G136" s="23" t="s">
        <v>21</v>
      </c>
      <c r="H136" s="23" t="s">
        <v>4281</v>
      </c>
      <c r="I136" s="23">
        <v>360</v>
      </c>
      <c r="J136" s="23" t="s">
        <v>22</v>
      </c>
      <c r="K136" s="23" t="s">
        <v>23</v>
      </c>
      <c r="L136" s="23">
        <v>531</v>
      </c>
      <c r="M136" s="23" t="s">
        <v>123</v>
      </c>
      <c r="N136" s="24">
        <v>46307.840439814812</v>
      </c>
      <c r="O136" s="23">
        <v>300</v>
      </c>
      <c r="P136" s="23" t="s">
        <v>25</v>
      </c>
      <c r="Q136" s="23">
        <v>40</v>
      </c>
      <c r="R136" s="3" t="str">
        <f>IF(OR(G136="12R",G136="12L"),_xlfn.XLOOKUP(C136,Tabla42[ADEP],Tabla42[SID 12R],""),IF(OR(G136="30L",G136="30R"),_xlfn.XLOOKUP(C136,Tabla42[ADEP],Tabla42[SID 30L],""),""))</f>
        <v>ENEBA</v>
      </c>
      <c r="S136" s="3">
        <f t="shared" si="2"/>
        <v>19</v>
      </c>
      <c r="T136" s="3" t="str">
        <f>_xlfn.XLOOKUP(C136,Tabla42[ADEP],Tabla42[Sector],"")</f>
        <v>Sector 3</v>
      </c>
    </row>
    <row r="137" spans="1:20" x14ac:dyDescent="0.2">
      <c r="A137" s="23" t="s">
        <v>445</v>
      </c>
      <c r="B137" s="23" t="s">
        <v>18</v>
      </c>
      <c r="C137" s="23" t="s">
        <v>263</v>
      </c>
      <c r="D137" s="23" t="s">
        <v>28</v>
      </c>
      <c r="E137" s="23" t="s">
        <v>1949</v>
      </c>
      <c r="F137" s="24">
        <v>46307.814293981479</v>
      </c>
      <c r="G137" s="23" t="s">
        <v>21</v>
      </c>
      <c r="H137" s="23" t="s">
        <v>446</v>
      </c>
      <c r="I137" s="23">
        <v>370</v>
      </c>
      <c r="J137" s="23" t="s">
        <v>22</v>
      </c>
      <c r="K137" s="23" t="s">
        <v>23</v>
      </c>
      <c r="L137" s="23">
        <v>136</v>
      </c>
      <c r="M137" s="23" t="s">
        <v>39</v>
      </c>
      <c r="N137" s="24">
        <v>46307.823923611111</v>
      </c>
      <c r="O137" s="23">
        <v>249</v>
      </c>
      <c r="P137" s="23" t="s">
        <v>25</v>
      </c>
      <c r="Q137" s="23">
        <v>190</v>
      </c>
      <c r="R137" s="3" t="str">
        <f>IF(OR(G137="12R",G137="12L"),_xlfn.XLOOKUP(C137,Tabla42[ADEP],Tabla42[SID 12R],""),IF(OR(G137="30L",G137="30R"),_xlfn.XLOOKUP(C137,Tabla42[ADEP],Tabla42[SID 30L],""),""))</f>
        <v>OMSUK</v>
      </c>
      <c r="S137" s="3">
        <f t="shared" si="2"/>
        <v>19</v>
      </c>
      <c r="T137" s="3" t="str">
        <f>_xlfn.XLOOKUP(C137,Tabla42[ADEP],Tabla42[Sector],"")</f>
        <v>Sector 3</v>
      </c>
    </row>
    <row r="138" spans="1:20" x14ac:dyDescent="0.2">
      <c r="A138" s="23" t="s">
        <v>259</v>
      </c>
      <c r="B138" s="23" t="s">
        <v>18</v>
      </c>
      <c r="C138" s="23" t="s">
        <v>32</v>
      </c>
      <c r="D138" s="23" t="s">
        <v>33</v>
      </c>
      <c r="E138" s="23" t="s">
        <v>3006</v>
      </c>
      <c r="F138" s="24">
        <v>46307.816863425927</v>
      </c>
      <c r="G138" s="23" t="s">
        <v>21</v>
      </c>
      <c r="H138" s="23" t="s">
        <v>4282</v>
      </c>
      <c r="I138" s="23">
        <v>380</v>
      </c>
      <c r="J138" s="23" t="s">
        <v>22</v>
      </c>
      <c r="K138" s="23" t="s">
        <v>23</v>
      </c>
      <c r="L138" s="23">
        <v>879</v>
      </c>
      <c r="M138" s="23" t="s">
        <v>35</v>
      </c>
      <c r="N138" s="24">
        <v>46307.862986111111</v>
      </c>
      <c r="O138" s="23">
        <v>360</v>
      </c>
      <c r="P138" s="23" t="s">
        <v>25</v>
      </c>
      <c r="Q138" s="23">
        <v>190</v>
      </c>
      <c r="R138" s="3" t="str">
        <f>IF(OR(G138="12R",G138="12L"),_xlfn.XLOOKUP(C138,Tabla42[ADEP],Tabla42[SID 12R],""),IF(OR(G138="30L",G138="30R"),_xlfn.XLOOKUP(C138,Tabla42[ADEP],Tabla42[SID 30L],""),""))</f>
        <v>UDGUV</v>
      </c>
      <c r="S138" s="3">
        <f t="shared" si="2"/>
        <v>19</v>
      </c>
      <c r="T138" s="3" t="str">
        <f>_xlfn.XLOOKUP(C138,Tabla42[ADEP],Tabla42[Sector],"")</f>
        <v>Sector 2</v>
      </c>
    </row>
    <row r="139" spans="1:20" x14ac:dyDescent="0.2">
      <c r="A139" s="23" t="s">
        <v>251</v>
      </c>
      <c r="B139" s="23" t="s">
        <v>18</v>
      </c>
      <c r="C139" s="23" t="s">
        <v>126</v>
      </c>
      <c r="D139" s="23" t="s">
        <v>60</v>
      </c>
      <c r="E139" s="23" t="s">
        <v>1002</v>
      </c>
      <c r="F139" s="24">
        <v>46307.817789351851</v>
      </c>
      <c r="G139" s="23" t="s">
        <v>21</v>
      </c>
      <c r="H139" s="23" t="s">
        <v>4283</v>
      </c>
      <c r="I139" s="23">
        <v>350</v>
      </c>
      <c r="J139" s="23" t="s">
        <v>22</v>
      </c>
      <c r="K139" s="23" t="s">
        <v>23</v>
      </c>
      <c r="L139" s="23">
        <v>359</v>
      </c>
      <c r="M139" s="23" t="s">
        <v>30</v>
      </c>
      <c r="N139" s="24">
        <v>46307.838587962964</v>
      </c>
      <c r="O139" s="23">
        <v>310</v>
      </c>
      <c r="P139" s="23" t="s">
        <v>25</v>
      </c>
      <c r="Q139" s="23">
        <v>40</v>
      </c>
      <c r="R139" s="3" t="str">
        <f>IF(OR(G139="12R",G139="12L"),_xlfn.XLOOKUP(C139,Tabla42[ADEP],Tabla42[SID 12R],""),IF(OR(G139="30L",G139="30R"),_xlfn.XLOOKUP(C139,Tabla42[ADEP],Tabla42[SID 30L],""),""))</f>
        <v>ENEBA</v>
      </c>
      <c r="S139" s="3">
        <f t="shared" si="2"/>
        <v>19</v>
      </c>
      <c r="T139" s="3" t="str">
        <f>_xlfn.XLOOKUP(C139,Tabla42[ADEP],Tabla42[Sector],"")</f>
        <v>Sector 3</v>
      </c>
    </row>
    <row r="140" spans="1:20" x14ac:dyDescent="0.2">
      <c r="A140" s="23" t="s">
        <v>253</v>
      </c>
      <c r="B140" s="23" t="s">
        <v>18</v>
      </c>
      <c r="C140" s="23" t="s">
        <v>254</v>
      </c>
      <c r="D140" s="23" t="s">
        <v>20</v>
      </c>
      <c r="E140" s="23" t="s">
        <v>2566</v>
      </c>
      <c r="F140" s="24">
        <v>46307.818576388891</v>
      </c>
      <c r="G140" s="23" t="s">
        <v>21</v>
      </c>
      <c r="H140" s="23" t="s">
        <v>4284</v>
      </c>
      <c r="I140" s="23">
        <v>340</v>
      </c>
      <c r="J140" s="23" t="s">
        <v>22</v>
      </c>
      <c r="K140" s="23" t="s">
        <v>23</v>
      </c>
      <c r="L140" s="23">
        <v>869</v>
      </c>
      <c r="M140" s="23" t="s">
        <v>35</v>
      </c>
      <c r="N140" s="24">
        <v>46307.863564814812</v>
      </c>
      <c r="O140" s="23">
        <v>340</v>
      </c>
      <c r="P140" s="23" t="s">
        <v>25</v>
      </c>
      <c r="Q140" s="23">
        <v>190</v>
      </c>
      <c r="R140" s="3" t="str">
        <f>IF(OR(G140="12R",G140="12L"),_xlfn.XLOOKUP(C140,Tabla42[ADEP],Tabla42[SID 12R],""),IF(OR(G140="30L",G140="30R"),_xlfn.XLOOKUP(C140,Tabla42[ADEP],Tabla42[SID 30L],""),""))</f>
        <v>UDGUV</v>
      </c>
      <c r="S140" s="3">
        <f t="shared" si="2"/>
        <v>19</v>
      </c>
      <c r="T140" s="3" t="str">
        <f>_xlfn.XLOOKUP(C140,Tabla42[ADEP],Tabla42[Sector],"")</f>
        <v>Sector 2</v>
      </c>
    </row>
    <row r="141" spans="1:20" x14ac:dyDescent="0.2">
      <c r="A141" s="23" t="s">
        <v>4285</v>
      </c>
      <c r="B141" s="23" t="s">
        <v>18</v>
      </c>
      <c r="C141" s="23" t="s">
        <v>359</v>
      </c>
      <c r="D141" s="23" t="s">
        <v>2789</v>
      </c>
      <c r="E141" s="23"/>
      <c r="F141" s="24">
        <v>46307.819745370369</v>
      </c>
      <c r="G141" s="23" t="s">
        <v>21</v>
      </c>
      <c r="H141" s="23" t="s">
        <v>4286</v>
      </c>
      <c r="I141" s="23">
        <v>400</v>
      </c>
      <c r="J141" s="23" t="s">
        <v>22</v>
      </c>
      <c r="K141" s="23" t="s">
        <v>50</v>
      </c>
      <c r="L141" s="23">
        <v>369</v>
      </c>
      <c r="M141" s="23" t="s">
        <v>30</v>
      </c>
      <c r="N141" s="24">
        <v>46307.840127314812</v>
      </c>
      <c r="O141" s="23">
        <v>410</v>
      </c>
      <c r="P141" s="23" t="s">
        <v>25</v>
      </c>
      <c r="Q141" s="23">
        <v>40</v>
      </c>
      <c r="R141" s="3" t="str">
        <f>IF(OR(G141="12R",G141="12L"),_xlfn.XLOOKUP(C141,Tabla42[ADEP],Tabla42[SID 12R],""),IF(OR(G141="30L",G141="30R"),_xlfn.XLOOKUP(C141,Tabla42[ADEP],Tabla42[SID 30L],""),""))</f>
        <v>OMSUK</v>
      </c>
      <c r="S141" s="3">
        <f t="shared" si="2"/>
        <v>19</v>
      </c>
      <c r="T141" s="3" t="str">
        <f>_xlfn.XLOOKUP(C141,Tabla42[ADEP],Tabla42[Sector],"")</f>
        <v>Sector 3</v>
      </c>
    </row>
    <row r="142" spans="1:20" x14ac:dyDescent="0.2">
      <c r="A142" s="23" t="s">
        <v>245</v>
      </c>
      <c r="B142" s="23" t="s">
        <v>18</v>
      </c>
      <c r="C142" s="23" t="s">
        <v>109</v>
      </c>
      <c r="D142" s="23" t="s">
        <v>122</v>
      </c>
      <c r="E142" s="23" t="s">
        <v>3531</v>
      </c>
      <c r="F142" s="24">
        <v>46307.820717592593</v>
      </c>
      <c r="G142" s="23" t="s">
        <v>21</v>
      </c>
      <c r="H142" s="23" t="s">
        <v>4287</v>
      </c>
      <c r="I142" s="23">
        <v>350</v>
      </c>
      <c r="J142" s="23" t="s">
        <v>22</v>
      </c>
      <c r="K142" s="23" t="s">
        <v>23</v>
      </c>
      <c r="L142" s="23">
        <v>150</v>
      </c>
      <c r="M142" s="23" t="s">
        <v>111</v>
      </c>
      <c r="N142" s="24">
        <v>46307.83116898148</v>
      </c>
      <c r="O142" s="23">
        <v>247</v>
      </c>
      <c r="P142" s="23" t="s">
        <v>25</v>
      </c>
      <c r="Q142" s="23">
        <v>190</v>
      </c>
      <c r="R142" s="3" t="str">
        <f>IF(OR(G142="12R",G142="12L"),_xlfn.XLOOKUP(C142,Tabla42[ADEP],Tabla42[SID 12R],""),IF(OR(G142="30L",G142="30R"),_xlfn.XLOOKUP(C142,Tabla42[ADEP],Tabla42[SID 30L],""),""))</f>
        <v>TAKUX</v>
      </c>
      <c r="S142" s="3">
        <f t="shared" si="2"/>
        <v>19</v>
      </c>
      <c r="T142" s="3" t="str">
        <f>_xlfn.XLOOKUP(C142,Tabla42[ADEP],Tabla42[Sector],"")</f>
        <v>Sector 7</v>
      </c>
    </row>
    <row r="143" spans="1:20" x14ac:dyDescent="0.2">
      <c r="A143" s="23" t="s">
        <v>4288</v>
      </c>
      <c r="B143" s="23" t="s">
        <v>18</v>
      </c>
      <c r="C143" s="23" t="s">
        <v>206</v>
      </c>
      <c r="D143" s="23" t="s">
        <v>451</v>
      </c>
      <c r="E143" s="23"/>
      <c r="F143" s="24">
        <v>46307.821956018517</v>
      </c>
      <c r="G143" s="23" t="s">
        <v>21</v>
      </c>
      <c r="H143" s="23" t="s">
        <v>4289</v>
      </c>
      <c r="I143" s="23">
        <v>360</v>
      </c>
      <c r="J143" s="23" t="s">
        <v>22</v>
      </c>
      <c r="K143" s="23" t="s">
        <v>50</v>
      </c>
      <c r="L143" s="23">
        <v>861</v>
      </c>
      <c r="M143" s="23" t="s">
        <v>349</v>
      </c>
      <c r="N143" s="24">
        <v>46307.862604166665</v>
      </c>
      <c r="O143" s="23">
        <v>360</v>
      </c>
      <c r="P143" s="23" t="s">
        <v>25</v>
      </c>
      <c r="Q143" s="23">
        <v>30</v>
      </c>
      <c r="R143" s="3" t="str">
        <f>IF(OR(G143="12R",G143="12L"),_xlfn.XLOOKUP(C143,Tabla42[ADEP],Tabla42[SID 12R],""),IF(OR(G143="30L",G143="30R"),_xlfn.XLOOKUP(C143,Tabla42[ADEP],Tabla42[SID 30L],""),""))</f>
        <v>UDGUV</v>
      </c>
      <c r="S143" s="3">
        <f t="shared" si="2"/>
        <v>19</v>
      </c>
      <c r="T143" s="3" t="str">
        <f>_xlfn.XLOOKUP(C143,Tabla42[ADEP],Tabla42[Sector],"")</f>
        <v>Sector 2</v>
      </c>
    </row>
    <row r="144" spans="1:20" x14ac:dyDescent="0.2">
      <c r="A144" s="23" t="s">
        <v>261</v>
      </c>
      <c r="B144" s="23" t="s">
        <v>18</v>
      </c>
      <c r="C144" s="23" t="s">
        <v>158</v>
      </c>
      <c r="D144" s="23" t="s">
        <v>33</v>
      </c>
      <c r="E144" s="23" t="s">
        <v>4290</v>
      </c>
      <c r="F144" s="24">
        <v>46307.822951388887</v>
      </c>
      <c r="G144" s="23" t="s">
        <v>21</v>
      </c>
      <c r="H144" s="23" t="s">
        <v>4291</v>
      </c>
      <c r="I144" s="23">
        <v>330</v>
      </c>
      <c r="J144" s="23" t="s">
        <v>22</v>
      </c>
      <c r="K144" s="23" t="s">
        <v>23</v>
      </c>
      <c r="L144" s="23">
        <v>360</v>
      </c>
      <c r="M144" s="23" t="s">
        <v>30</v>
      </c>
      <c r="N144" s="24">
        <v>46307.844363425924</v>
      </c>
      <c r="O144" s="23">
        <v>350</v>
      </c>
      <c r="P144" s="23" t="s">
        <v>25</v>
      </c>
      <c r="Q144" s="23">
        <v>40</v>
      </c>
      <c r="R144" s="3" t="str">
        <f>IF(OR(G144="12R",G144="12L"),_xlfn.XLOOKUP(C144,Tabla42[ADEP],Tabla42[SID 12R],""),IF(OR(G144="30L",G144="30R"),_xlfn.XLOOKUP(C144,Tabla42[ADEP],Tabla42[SID 30L],""),""))</f>
        <v>OMSUK</v>
      </c>
      <c r="S144" s="3">
        <f t="shared" si="2"/>
        <v>19</v>
      </c>
      <c r="T144" s="3" t="str">
        <f>_xlfn.XLOOKUP(C144,Tabla42[ADEP],Tabla42[Sector],"")</f>
        <v>Sector 3</v>
      </c>
    </row>
    <row r="145" spans="1:20" x14ac:dyDescent="0.2">
      <c r="A145" s="23" t="s">
        <v>264</v>
      </c>
      <c r="B145" s="23" t="s">
        <v>18</v>
      </c>
      <c r="C145" s="23" t="s">
        <v>265</v>
      </c>
      <c r="D145" s="23" t="s">
        <v>33</v>
      </c>
      <c r="E145" s="23" t="s">
        <v>140</v>
      </c>
      <c r="F145" s="24">
        <v>46307.823773148149</v>
      </c>
      <c r="G145" s="23" t="s">
        <v>21</v>
      </c>
      <c r="H145" s="23" t="s">
        <v>4292</v>
      </c>
      <c r="I145" s="23">
        <v>360</v>
      </c>
      <c r="J145" s="23" t="s">
        <v>22</v>
      </c>
      <c r="K145" s="23" t="s">
        <v>23</v>
      </c>
      <c r="L145" s="23">
        <v>862</v>
      </c>
      <c r="M145" s="23" t="s">
        <v>77</v>
      </c>
      <c r="N145" s="24">
        <v>46307.867395833331</v>
      </c>
      <c r="O145" s="23">
        <v>360</v>
      </c>
      <c r="P145" s="23" t="s">
        <v>25</v>
      </c>
      <c r="Q145" s="23">
        <v>190</v>
      </c>
      <c r="R145" s="3" t="str">
        <f>IF(OR(G145="12R",G145="12L"),_xlfn.XLOOKUP(C145,Tabla42[ADEP],Tabla42[SID 12R],""),IF(OR(G145="30L",G145="30R"),_xlfn.XLOOKUP(C145,Tabla42[ADEP],Tabla42[SID 30L],""),""))</f>
        <v>UDGUV</v>
      </c>
      <c r="S145" s="3">
        <f t="shared" si="2"/>
        <v>19</v>
      </c>
      <c r="T145" s="3" t="str">
        <f>_xlfn.XLOOKUP(C145,Tabla42[ADEP],Tabla42[Sector],"")</f>
        <v>Sector 2</v>
      </c>
    </row>
    <row r="146" spans="1:20" x14ac:dyDescent="0.2">
      <c r="A146" s="23" t="s">
        <v>268</v>
      </c>
      <c r="B146" s="23" t="s">
        <v>18</v>
      </c>
      <c r="C146" s="23" t="s">
        <v>42</v>
      </c>
      <c r="D146" s="23" t="s">
        <v>43</v>
      </c>
      <c r="E146" s="23" t="s">
        <v>496</v>
      </c>
      <c r="F146" s="24">
        <v>46307.825104166666</v>
      </c>
      <c r="G146" s="23" t="s">
        <v>21</v>
      </c>
      <c r="H146" s="23" t="s">
        <v>4293</v>
      </c>
      <c r="I146" s="23">
        <v>360</v>
      </c>
      <c r="J146" s="23" t="s">
        <v>22</v>
      </c>
      <c r="K146" s="23" t="s">
        <v>23</v>
      </c>
      <c r="L146" s="23">
        <v>859</v>
      </c>
      <c r="M146" s="23" t="s">
        <v>45</v>
      </c>
      <c r="N146" s="24">
        <v>46307.869351851848</v>
      </c>
      <c r="O146" s="23">
        <v>340</v>
      </c>
      <c r="P146" s="23" t="s">
        <v>25</v>
      </c>
      <c r="Q146" s="23">
        <v>190</v>
      </c>
      <c r="R146" s="3" t="str">
        <f>IF(OR(G146="12R",G146="12L"),_xlfn.XLOOKUP(C146,Tabla42[ADEP],Tabla42[SID 12R],""),IF(OR(G146="30L",G146="30R"),_xlfn.XLOOKUP(C146,Tabla42[ADEP],Tabla42[SID 30L],""),""))</f>
        <v>UDGUV</v>
      </c>
      <c r="S146" s="3">
        <f t="shared" si="2"/>
        <v>19</v>
      </c>
      <c r="T146" s="3" t="str">
        <f>_xlfn.XLOOKUP(C146,Tabla42[ADEP],Tabla42[Sector],"")</f>
        <v>Sector 2</v>
      </c>
    </row>
    <row r="147" spans="1:20" x14ac:dyDescent="0.2">
      <c r="A147" s="23" t="s">
        <v>304</v>
      </c>
      <c r="B147" s="23" t="s">
        <v>18</v>
      </c>
      <c r="C147" s="23" t="s">
        <v>305</v>
      </c>
      <c r="D147" s="23" t="s">
        <v>33</v>
      </c>
      <c r="E147" s="23" t="s">
        <v>4294</v>
      </c>
      <c r="F147" s="24">
        <v>46307.82607638889</v>
      </c>
      <c r="G147" s="23" t="s">
        <v>21</v>
      </c>
      <c r="H147" s="23" t="s">
        <v>4295</v>
      </c>
      <c r="I147" s="23">
        <v>330</v>
      </c>
      <c r="J147" s="23" t="s">
        <v>22</v>
      </c>
      <c r="K147" s="23" t="s">
        <v>23</v>
      </c>
      <c r="L147" s="23">
        <v>359</v>
      </c>
      <c r="M147" s="23" t="s">
        <v>30</v>
      </c>
      <c r="N147" s="24">
        <v>46307.846736111111</v>
      </c>
      <c r="O147" s="23">
        <v>330</v>
      </c>
      <c r="P147" s="23" t="s">
        <v>25</v>
      </c>
      <c r="Q147" s="23">
        <v>40</v>
      </c>
      <c r="R147" s="3" t="str">
        <f>IF(OR(G147="12R",G147="12L"),_xlfn.XLOOKUP(C147,Tabla42[ADEP],Tabla42[SID 12R],""),IF(OR(G147="30L",G147="30R"),_xlfn.XLOOKUP(C147,Tabla42[ADEP],Tabla42[SID 30L],""),""))</f>
        <v>OMSUK</v>
      </c>
      <c r="S147" s="3">
        <f t="shared" si="2"/>
        <v>19</v>
      </c>
      <c r="T147" s="3" t="str">
        <f>_xlfn.XLOOKUP(C147,Tabla42[ADEP],Tabla42[Sector],"")</f>
        <v>Sector 3</v>
      </c>
    </row>
    <row r="148" spans="1:20" x14ac:dyDescent="0.2">
      <c r="A148" s="23" t="s">
        <v>238</v>
      </c>
      <c r="B148" s="23" t="s">
        <v>18</v>
      </c>
      <c r="C148" s="23" t="s">
        <v>239</v>
      </c>
      <c r="D148" s="23" t="s">
        <v>60</v>
      </c>
      <c r="E148" s="23" t="s">
        <v>2841</v>
      </c>
      <c r="F148" s="24">
        <v>46307.827025462961</v>
      </c>
      <c r="G148" s="23" t="s">
        <v>21</v>
      </c>
      <c r="H148" s="23" t="s">
        <v>4296</v>
      </c>
      <c r="I148" s="23">
        <v>340</v>
      </c>
      <c r="J148" s="23" t="s">
        <v>22</v>
      </c>
      <c r="K148" s="23" t="s">
        <v>23</v>
      </c>
      <c r="L148" s="23">
        <v>874</v>
      </c>
      <c r="M148" s="23" t="s">
        <v>35</v>
      </c>
      <c r="N148" s="24">
        <v>46307.872303240743</v>
      </c>
      <c r="O148" s="23">
        <v>340</v>
      </c>
      <c r="P148" s="23" t="s">
        <v>25</v>
      </c>
      <c r="Q148" s="23">
        <v>190</v>
      </c>
      <c r="R148" s="3" t="str">
        <f>IF(OR(G148="12R",G148="12L"),_xlfn.XLOOKUP(C148,Tabla42[ADEP],Tabla42[SID 12R],""),IF(OR(G148="30L",G148="30R"),_xlfn.XLOOKUP(C148,Tabla42[ADEP],Tabla42[SID 30L],""),""))</f>
        <v>UDGUV</v>
      </c>
      <c r="S148" s="3">
        <f t="shared" si="2"/>
        <v>19</v>
      </c>
      <c r="T148" s="3" t="str">
        <f>_xlfn.XLOOKUP(C148,Tabla42[ADEP],Tabla42[Sector],"")</f>
        <v>Sector 2</v>
      </c>
    </row>
    <row r="149" spans="1:20" x14ac:dyDescent="0.2">
      <c r="A149" s="23" t="s">
        <v>266</v>
      </c>
      <c r="B149" s="23" t="s">
        <v>18</v>
      </c>
      <c r="C149" s="23" t="s">
        <v>184</v>
      </c>
      <c r="D149" s="23" t="s">
        <v>60</v>
      </c>
      <c r="E149" s="23" t="s">
        <v>4297</v>
      </c>
      <c r="F149" s="24">
        <v>46307.828206018516</v>
      </c>
      <c r="G149" s="23" t="s">
        <v>21</v>
      </c>
      <c r="H149" s="23" t="s">
        <v>4298</v>
      </c>
      <c r="I149" s="23">
        <v>330</v>
      </c>
      <c r="J149" s="23" t="s">
        <v>22</v>
      </c>
      <c r="K149" s="23" t="s">
        <v>23</v>
      </c>
      <c r="L149" s="23">
        <v>361</v>
      </c>
      <c r="M149" s="23" t="s">
        <v>30</v>
      </c>
      <c r="N149" s="24">
        <v>46307.849270833336</v>
      </c>
      <c r="O149" s="23">
        <v>290</v>
      </c>
      <c r="P149" s="23" t="s">
        <v>25</v>
      </c>
      <c r="Q149" s="23">
        <v>40</v>
      </c>
      <c r="R149" s="3" t="str">
        <f>IF(OR(G149="12R",G149="12L"),_xlfn.XLOOKUP(C149,Tabla42[ADEP],Tabla42[SID 12R],""),IF(OR(G149="30L",G149="30R"),_xlfn.XLOOKUP(C149,Tabla42[ADEP],Tabla42[SID 30L],""),""))</f>
        <v>OMSUK</v>
      </c>
      <c r="S149" s="3">
        <f t="shared" si="2"/>
        <v>19</v>
      </c>
      <c r="T149" s="3" t="str">
        <f>_xlfn.XLOOKUP(C149,Tabla42[ADEP],Tabla42[Sector],"")</f>
        <v>Sector 3</v>
      </c>
    </row>
    <row r="150" spans="1:20" x14ac:dyDescent="0.2">
      <c r="A150" s="23" t="s">
        <v>1553</v>
      </c>
      <c r="B150" s="23" t="s">
        <v>18</v>
      </c>
      <c r="C150" s="23" t="s">
        <v>49</v>
      </c>
      <c r="D150" s="23" t="s">
        <v>124</v>
      </c>
      <c r="E150" s="23"/>
      <c r="F150" s="24">
        <v>46307.829398148147</v>
      </c>
      <c r="G150" s="23" t="s">
        <v>21</v>
      </c>
      <c r="H150" s="23" t="s">
        <v>4299</v>
      </c>
      <c r="I150" s="23">
        <v>400</v>
      </c>
      <c r="J150" s="23" t="s">
        <v>22</v>
      </c>
      <c r="K150" s="23" t="s">
        <v>50</v>
      </c>
      <c r="L150" s="23">
        <v>859</v>
      </c>
      <c r="M150" s="23" t="s">
        <v>45</v>
      </c>
      <c r="N150" s="24">
        <v>46307.87945601852</v>
      </c>
      <c r="O150" s="23">
        <v>400</v>
      </c>
      <c r="P150" s="23" t="s">
        <v>25</v>
      </c>
      <c r="Q150" s="23">
        <v>30</v>
      </c>
      <c r="R150" s="3" t="str">
        <f>IF(OR(G150="12R",G150="12L"),_xlfn.XLOOKUP(C150,Tabla42[ADEP],Tabla42[SID 12R],""),IF(OR(G150="30L",G150="30R"),_xlfn.XLOOKUP(C150,Tabla42[ADEP],Tabla42[SID 30L],""),""))</f>
        <v>UDGUV</v>
      </c>
      <c r="S150" s="3">
        <f t="shared" si="2"/>
        <v>19</v>
      </c>
      <c r="T150" s="3" t="str">
        <f>_xlfn.XLOOKUP(C150,Tabla42[ADEP],Tabla42[Sector],"")</f>
        <v>Sector 2</v>
      </c>
    </row>
    <row r="151" spans="1:20" x14ac:dyDescent="0.2">
      <c r="A151" s="23" t="s">
        <v>3094</v>
      </c>
      <c r="B151" s="23" t="s">
        <v>18</v>
      </c>
      <c r="C151" s="23" t="s">
        <v>190</v>
      </c>
      <c r="D151" s="23" t="s">
        <v>33</v>
      </c>
      <c r="E151" s="23" t="s">
        <v>2165</v>
      </c>
      <c r="F151" s="24">
        <v>46307.830474537041</v>
      </c>
      <c r="G151" s="23" t="s">
        <v>21</v>
      </c>
      <c r="H151" s="23" t="s">
        <v>191</v>
      </c>
      <c r="I151" s="23">
        <v>350</v>
      </c>
      <c r="J151" s="23" t="s">
        <v>22</v>
      </c>
      <c r="K151" s="23" t="s">
        <v>23</v>
      </c>
      <c r="L151" s="23">
        <v>136</v>
      </c>
      <c r="M151" s="23" t="s">
        <v>39</v>
      </c>
      <c r="N151" s="24">
        <v>46307.839861111112</v>
      </c>
      <c r="O151" s="23">
        <v>246</v>
      </c>
      <c r="P151" s="23" t="s">
        <v>25</v>
      </c>
      <c r="Q151" s="23">
        <v>190</v>
      </c>
      <c r="R151" s="3" t="str">
        <f>IF(OR(G151="12R",G151="12L"),_xlfn.XLOOKUP(C151,Tabla42[ADEP],Tabla42[SID 12R],""),IF(OR(G151="30L",G151="30R"),_xlfn.XLOOKUP(C151,Tabla42[ADEP],Tabla42[SID 30L],""),""))</f>
        <v>NUDAL</v>
      </c>
      <c r="S151" s="3">
        <f t="shared" si="2"/>
        <v>19</v>
      </c>
      <c r="T151" s="3" t="str">
        <f>_xlfn.XLOOKUP(C151,Tabla42[ADEP],Tabla42[Sector],"")</f>
        <v>Sector 3</v>
      </c>
    </row>
    <row r="152" spans="1:20" x14ac:dyDescent="0.2">
      <c r="A152" s="23" t="s">
        <v>443</v>
      </c>
      <c r="B152" s="23" t="s">
        <v>18</v>
      </c>
      <c r="C152" s="23" t="s">
        <v>444</v>
      </c>
      <c r="D152" s="23" t="s">
        <v>110</v>
      </c>
      <c r="E152" s="23" t="s">
        <v>722</v>
      </c>
      <c r="F152" s="24">
        <v>46307.831828703704</v>
      </c>
      <c r="G152" s="23" t="s">
        <v>21</v>
      </c>
      <c r="H152" s="23" t="s">
        <v>4300</v>
      </c>
      <c r="I152" s="23">
        <v>380</v>
      </c>
      <c r="J152" s="23" t="s">
        <v>22</v>
      </c>
      <c r="K152" s="23" t="s">
        <v>23</v>
      </c>
      <c r="L152" s="23">
        <v>441</v>
      </c>
      <c r="M152" s="23" t="s">
        <v>189</v>
      </c>
      <c r="N152" s="24">
        <v>46307.856041666666</v>
      </c>
      <c r="O152" s="23">
        <v>380</v>
      </c>
      <c r="P152" s="23" t="s">
        <v>25</v>
      </c>
      <c r="Q152" s="23">
        <v>40</v>
      </c>
      <c r="R152" s="3" t="str">
        <f>IF(OR(G152="12R",G152="12L"),_xlfn.XLOOKUP(C152,Tabla42[ADEP],Tabla42[SID 12R],""),IF(OR(G152="30L",G152="30R"),_xlfn.XLOOKUP(C152,Tabla42[ADEP],Tabla42[SID 30L],""),""))</f>
        <v>ENEBA</v>
      </c>
      <c r="S152" s="3">
        <f t="shared" si="2"/>
        <v>19</v>
      </c>
      <c r="T152" s="3" t="str">
        <f>_xlfn.XLOOKUP(C152,Tabla42[ADEP],Tabla42[Sector],"")</f>
        <v>Sector 3</v>
      </c>
    </row>
    <row r="153" spans="1:20" x14ac:dyDescent="0.2">
      <c r="A153" s="23" t="s">
        <v>271</v>
      </c>
      <c r="B153" s="23" t="s">
        <v>18</v>
      </c>
      <c r="C153" s="23" t="s">
        <v>116</v>
      </c>
      <c r="D153" s="23" t="s">
        <v>43</v>
      </c>
      <c r="E153" s="23" t="s">
        <v>4030</v>
      </c>
      <c r="F153" s="24">
        <v>46307.833437499998</v>
      </c>
      <c r="G153" s="23" t="s">
        <v>21</v>
      </c>
      <c r="H153" s="23" t="s">
        <v>4301</v>
      </c>
      <c r="I153" s="23">
        <v>340</v>
      </c>
      <c r="J153" s="23" t="s">
        <v>22</v>
      </c>
      <c r="K153" s="23" t="s">
        <v>23</v>
      </c>
      <c r="L153" s="23">
        <v>541</v>
      </c>
      <c r="M153" s="23" t="s">
        <v>123</v>
      </c>
      <c r="N153" s="24">
        <v>46307.863032407404</v>
      </c>
      <c r="O153" s="23">
        <v>340</v>
      </c>
      <c r="P153" s="23" t="s">
        <v>25</v>
      </c>
      <c r="Q153" s="23">
        <v>40</v>
      </c>
      <c r="R153" s="3" t="str">
        <f>IF(OR(G153="12R",G153="12L"),_xlfn.XLOOKUP(C153,Tabla42[ADEP],Tabla42[SID 12R],""),IF(OR(G153="30L",G153="30R"),_xlfn.XLOOKUP(C153,Tabla42[ADEP],Tabla42[SID 30L],""),""))</f>
        <v>ENEBA</v>
      </c>
      <c r="S153" s="3">
        <f t="shared" si="2"/>
        <v>20</v>
      </c>
      <c r="T153" s="3" t="str">
        <f>_xlfn.XLOOKUP(C153,Tabla42[ADEP],Tabla42[Sector],"")</f>
        <v>Sector 3</v>
      </c>
    </row>
    <row r="154" spans="1:20" x14ac:dyDescent="0.2">
      <c r="A154" s="23" t="s">
        <v>272</v>
      </c>
      <c r="B154" s="23" t="s">
        <v>18</v>
      </c>
      <c r="C154" s="23" t="s">
        <v>42</v>
      </c>
      <c r="D154" s="23" t="s">
        <v>60</v>
      </c>
      <c r="E154" s="23" t="s">
        <v>2033</v>
      </c>
      <c r="F154" s="24">
        <v>46307.834270833337</v>
      </c>
      <c r="G154" s="23" t="s">
        <v>21</v>
      </c>
      <c r="H154" s="23" t="s">
        <v>71</v>
      </c>
      <c r="I154" s="23">
        <v>340</v>
      </c>
      <c r="J154" s="23" t="s">
        <v>22</v>
      </c>
      <c r="K154" s="23" t="s">
        <v>23</v>
      </c>
      <c r="L154" s="23">
        <v>859</v>
      </c>
      <c r="M154" s="23" t="s">
        <v>45</v>
      </c>
      <c r="N154" s="24">
        <v>46307.877881944441</v>
      </c>
      <c r="O154" s="23">
        <v>340</v>
      </c>
      <c r="P154" s="23" t="s">
        <v>25</v>
      </c>
      <c r="Q154" s="23">
        <v>190</v>
      </c>
      <c r="R154" s="3" t="str">
        <f>IF(OR(G154="12R",G154="12L"),_xlfn.XLOOKUP(C154,Tabla42[ADEP],Tabla42[SID 12R],""),IF(OR(G154="30L",G154="30R"),_xlfn.XLOOKUP(C154,Tabla42[ADEP],Tabla42[SID 30L],""),""))</f>
        <v>UDGUV</v>
      </c>
      <c r="S154" s="3">
        <f t="shared" si="2"/>
        <v>20</v>
      </c>
      <c r="T154" s="3" t="str">
        <f>_xlfn.XLOOKUP(C154,Tabla42[ADEP],Tabla42[Sector],"")</f>
        <v>Sector 2</v>
      </c>
    </row>
    <row r="155" spans="1:20" x14ac:dyDescent="0.2">
      <c r="A155" s="23" t="s">
        <v>274</v>
      </c>
      <c r="B155" s="23" t="s">
        <v>18</v>
      </c>
      <c r="C155" s="23" t="s">
        <v>96</v>
      </c>
      <c r="D155" s="23" t="s">
        <v>53</v>
      </c>
      <c r="E155" s="23" t="s">
        <v>3183</v>
      </c>
      <c r="F155" s="24">
        <v>46307.835810185185</v>
      </c>
      <c r="G155" s="23" t="s">
        <v>21</v>
      </c>
      <c r="H155" s="23" t="s">
        <v>4302</v>
      </c>
      <c r="I155" s="23">
        <v>380</v>
      </c>
      <c r="J155" s="23" t="s">
        <v>22</v>
      </c>
      <c r="K155" s="23" t="s">
        <v>23</v>
      </c>
      <c r="L155" s="23">
        <v>858</v>
      </c>
      <c r="M155" s="23" t="s">
        <v>45</v>
      </c>
      <c r="N155" s="24">
        <v>46307.881435185183</v>
      </c>
      <c r="O155" s="23">
        <v>380</v>
      </c>
      <c r="P155" s="23" t="s">
        <v>25</v>
      </c>
      <c r="Q155" s="23">
        <v>190</v>
      </c>
      <c r="R155" s="3" t="str">
        <f>IF(OR(G155="12R",G155="12L"),_xlfn.XLOOKUP(C155,Tabla42[ADEP],Tabla42[SID 12R],""),IF(OR(G155="30L",G155="30R"),_xlfn.XLOOKUP(C155,Tabla42[ADEP],Tabla42[SID 30L],""),""))</f>
        <v>UDGUV</v>
      </c>
      <c r="S155" s="3">
        <f t="shared" si="2"/>
        <v>20</v>
      </c>
      <c r="T155" s="3" t="str">
        <f>_xlfn.XLOOKUP(C155,Tabla42[ADEP],Tabla42[Sector],"")</f>
        <v>Sector 2</v>
      </c>
    </row>
    <row r="156" spans="1:20" x14ac:dyDescent="0.2">
      <c r="A156" s="23" t="s">
        <v>2265</v>
      </c>
      <c r="B156" s="23" t="s">
        <v>18</v>
      </c>
      <c r="C156" s="23" t="s">
        <v>32</v>
      </c>
      <c r="D156" s="23" t="s">
        <v>20</v>
      </c>
      <c r="E156" s="23" t="s">
        <v>1010</v>
      </c>
      <c r="F156" s="24">
        <v>46307.837199074071</v>
      </c>
      <c r="G156" s="23" t="s">
        <v>21</v>
      </c>
      <c r="H156" s="23" t="s">
        <v>4303</v>
      </c>
      <c r="I156" s="23">
        <v>340</v>
      </c>
      <c r="J156" s="23" t="s">
        <v>22</v>
      </c>
      <c r="K156" s="23" t="s">
        <v>23</v>
      </c>
      <c r="L156" s="23">
        <v>869</v>
      </c>
      <c r="M156" s="23" t="s">
        <v>35</v>
      </c>
      <c r="N156" s="24">
        <v>46307.882523148146</v>
      </c>
      <c r="O156" s="23">
        <v>340</v>
      </c>
      <c r="P156" s="23" t="s">
        <v>25</v>
      </c>
      <c r="Q156" s="23">
        <v>190</v>
      </c>
      <c r="R156" s="3" t="str">
        <f>IF(OR(G156="12R",G156="12L"),_xlfn.XLOOKUP(C156,Tabla42[ADEP],Tabla42[SID 12R],""),IF(OR(G156="30L",G156="30R"),_xlfn.XLOOKUP(C156,Tabla42[ADEP],Tabla42[SID 30L],""),""))</f>
        <v>UDGUV</v>
      </c>
      <c r="S156" s="3">
        <f t="shared" si="2"/>
        <v>20</v>
      </c>
      <c r="T156" s="3" t="str">
        <f>_xlfn.XLOOKUP(C156,Tabla42[ADEP],Tabla42[Sector],"")</f>
        <v>Sector 2</v>
      </c>
    </row>
    <row r="157" spans="1:20" x14ac:dyDescent="0.2">
      <c r="A157" s="23" t="s">
        <v>745</v>
      </c>
      <c r="B157" s="23" t="s">
        <v>18</v>
      </c>
      <c r="C157" s="23" t="s">
        <v>121</v>
      </c>
      <c r="D157" s="23" t="s">
        <v>122</v>
      </c>
      <c r="E157" s="23" t="s">
        <v>4304</v>
      </c>
      <c r="F157" s="24">
        <v>46307.837939814817</v>
      </c>
      <c r="G157" s="23" t="s">
        <v>21</v>
      </c>
      <c r="H157" s="23" t="s">
        <v>4305</v>
      </c>
      <c r="I157" s="23">
        <v>360</v>
      </c>
      <c r="J157" s="23" t="s">
        <v>22</v>
      </c>
      <c r="K157" s="23" t="s">
        <v>23</v>
      </c>
      <c r="L157" s="23">
        <v>532</v>
      </c>
      <c r="M157" s="23" t="s">
        <v>123</v>
      </c>
      <c r="N157" s="24">
        <v>46307.866956018515</v>
      </c>
      <c r="O157" s="23">
        <v>360</v>
      </c>
      <c r="P157" s="23" t="s">
        <v>25</v>
      </c>
      <c r="Q157" s="23">
        <v>40</v>
      </c>
      <c r="R157" s="3" t="str">
        <f>IF(OR(G157="12R",G157="12L"),_xlfn.XLOOKUP(C157,Tabla42[ADEP],Tabla42[SID 12R],""),IF(OR(G157="30L",G157="30R"),_xlfn.XLOOKUP(C157,Tabla42[ADEP],Tabla42[SID 30L],""),""))</f>
        <v>ENEBA</v>
      </c>
      <c r="S157" s="3">
        <f t="shared" si="2"/>
        <v>20</v>
      </c>
      <c r="T157" s="3" t="str">
        <f>_xlfn.XLOOKUP(C157,Tabla42[ADEP],Tabla42[Sector],"")</f>
        <v>Sector 3</v>
      </c>
    </row>
    <row r="158" spans="1:20" x14ac:dyDescent="0.2">
      <c r="A158" s="23" t="s">
        <v>278</v>
      </c>
      <c r="B158" s="23" t="s">
        <v>18</v>
      </c>
      <c r="C158" s="23" t="s">
        <v>265</v>
      </c>
      <c r="D158" s="23" t="s">
        <v>33</v>
      </c>
      <c r="E158" s="23" t="s">
        <v>554</v>
      </c>
      <c r="F158" s="24">
        <v>46307.839016203703</v>
      </c>
      <c r="G158" s="23" t="s">
        <v>21</v>
      </c>
      <c r="H158" s="23" t="s">
        <v>761</v>
      </c>
      <c r="I158" s="23">
        <v>360</v>
      </c>
      <c r="J158" s="23" t="s">
        <v>22</v>
      </c>
      <c r="K158" s="23" t="s">
        <v>23</v>
      </c>
      <c r="L158" s="23">
        <v>870</v>
      </c>
      <c r="M158" s="23" t="s">
        <v>167</v>
      </c>
      <c r="N158" s="24">
        <v>46307.88417824074</v>
      </c>
      <c r="O158" s="23">
        <v>360</v>
      </c>
      <c r="P158" s="23" t="s">
        <v>25</v>
      </c>
      <c r="Q158" s="23">
        <v>190</v>
      </c>
      <c r="R158" s="3" t="str">
        <f>IF(OR(G158="12R",G158="12L"),_xlfn.XLOOKUP(C158,Tabla42[ADEP],Tabla42[SID 12R],""),IF(OR(G158="30L",G158="30R"),_xlfn.XLOOKUP(C158,Tabla42[ADEP],Tabla42[SID 30L],""),""))</f>
        <v>UDGUV</v>
      </c>
      <c r="S158" s="3">
        <f t="shared" si="2"/>
        <v>20</v>
      </c>
      <c r="T158" s="3" t="str">
        <f>_xlfn.XLOOKUP(C158,Tabla42[ADEP],Tabla42[Sector],"")</f>
        <v>Sector 2</v>
      </c>
    </row>
    <row r="159" spans="1:20" x14ac:dyDescent="0.2">
      <c r="A159" s="23" t="s">
        <v>744</v>
      </c>
      <c r="B159" s="23" t="s">
        <v>18</v>
      </c>
      <c r="C159" s="23" t="s">
        <v>188</v>
      </c>
      <c r="D159" s="23" t="s">
        <v>122</v>
      </c>
      <c r="E159" s="23" t="s">
        <v>3897</v>
      </c>
      <c r="F159" s="24">
        <v>46307.839768518519</v>
      </c>
      <c r="G159" s="23" t="s">
        <v>21</v>
      </c>
      <c r="H159" s="23" t="s">
        <v>4306</v>
      </c>
      <c r="I159" s="23">
        <v>350</v>
      </c>
      <c r="J159" s="23" t="s">
        <v>22</v>
      </c>
      <c r="K159" s="23" t="s">
        <v>23</v>
      </c>
      <c r="L159" s="23">
        <v>359</v>
      </c>
      <c r="M159" s="23" t="s">
        <v>30</v>
      </c>
      <c r="N159" s="24">
        <v>46307.860879629632</v>
      </c>
      <c r="O159" s="23">
        <v>350</v>
      </c>
      <c r="P159" s="23" t="s">
        <v>25</v>
      </c>
      <c r="Q159" s="23">
        <v>40</v>
      </c>
      <c r="R159" s="3" t="str">
        <f>IF(OR(G159="12R",G159="12L"),_xlfn.XLOOKUP(C159,Tabla42[ADEP],Tabla42[SID 12R],""),IF(OR(G159="30L",G159="30R"),_xlfn.XLOOKUP(C159,Tabla42[ADEP],Tabla42[SID 30L],""),""))</f>
        <v>ENEBA</v>
      </c>
      <c r="S159" s="3">
        <f t="shared" si="2"/>
        <v>20</v>
      </c>
      <c r="T159" s="3" t="str">
        <f>_xlfn.XLOOKUP(C159,Tabla42[ADEP],Tabla42[Sector],"")</f>
        <v>Sector 3</v>
      </c>
    </row>
    <row r="160" spans="1:20" x14ac:dyDescent="0.2">
      <c r="A160" s="23" t="s">
        <v>1051</v>
      </c>
      <c r="B160" s="23" t="s">
        <v>18</v>
      </c>
      <c r="C160" s="23" t="s">
        <v>209</v>
      </c>
      <c r="D160" s="23" t="s">
        <v>124</v>
      </c>
      <c r="E160" s="23"/>
      <c r="F160" s="24">
        <v>46307.841365740744</v>
      </c>
      <c r="G160" s="23" t="s">
        <v>21</v>
      </c>
      <c r="H160" s="23" t="s">
        <v>4307</v>
      </c>
      <c r="I160" s="23">
        <v>380</v>
      </c>
      <c r="J160" s="23" t="s">
        <v>22</v>
      </c>
      <c r="K160" s="23" t="s">
        <v>50</v>
      </c>
      <c r="L160" s="23">
        <v>525</v>
      </c>
      <c r="M160" s="23" t="s">
        <v>123</v>
      </c>
      <c r="N160" s="24">
        <v>46307.873842592591</v>
      </c>
      <c r="O160" s="23">
        <v>380</v>
      </c>
      <c r="P160" s="23" t="s">
        <v>25</v>
      </c>
      <c r="Q160" s="23">
        <v>40</v>
      </c>
      <c r="R160" s="3" t="str">
        <f>IF(OR(G160="12R",G160="12L"),_xlfn.XLOOKUP(C160,Tabla42[ADEP],Tabla42[SID 12R],""),IF(OR(G160="30L",G160="30R"),_xlfn.XLOOKUP(C160,Tabla42[ADEP],Tabla42[SID 30L],""),""))</f>
        <v>ENEBA</v>
      </c>
      <c r="S160" s="3">
        <f t="shared" si="2"/>
        <v>20</v>
      </c>
      <c r="T160" s="3" t="str">
        <f>_xlfn.XLOOKUP(C160,Tabla42[ADEP],Tabla42[Sector],"")</f>
        <v>Sector 3</v>
      </c>
    </row>
    <row r="161" spans="1:20" x14ac:dyDescent="0.2">
      <c r="A161" s="23" t="s">
        <v>280</v>
      </c>
      <c r="B161" s="23" t="s">
        <v>18</v>
      </c>
      <c r="C161" s="23" t="s">
        <v>49</v>
      </c>
      <c r="D161" s="23" t="s">
        <v>53</v>
      </c>
      <c r="E161" s="23" t="s">
        <v>4003</v>
      </c>
      <c r="F161" s="24">
        <v>46307.850324074076</v>
      </c>
      <c r="G161" s="23" t="s">
        <v>21</v>
      </c>
      <c r="H161" s="23" t="s">
        <v>4308</v>
      </c>
      <c r="I161" s="23">
        <v>380</v>
      </c>
      <c r="J161" s="23" t="s">
        <v>22</v>
      </c>
      <c r="K161" s="23" t="s">
        <v>23</v>
      </c>
      <c r="L161" s="23">
        <v>861</v>
      </c>
      <c r="M161" s="23" t="s">
        <v>45</v>
      </c>
      <c r="N161" s="24">
        <v>46307.896041666667</v>
      </c>
      <c r="O161" s="23">
        <v>380</v>
      </c>
      <c r="P161" s="23" t="s">
        <v>25</v>
      </c>
      <c r="Q161" s="23">
        <v>190</v>
      </c>
      <c r="R161" s="3" t="str">
        <f>IF(OR(G161="12R",G161="12L"),_xlfn.XLOOKUP(C161,Tabla42[ADEP],Tabla42[SID 12R],""),IF(OR(G161="30L",G161="30R"),_xlfn.XLOOKUP(C161,Tabla42[ADEP],Tabla42[SID 30L],""),""))</f>
        <v>UDGUV</v>
      </c>
      <c r="S161" s="3">
        <f t="shared" si="2"/>
        <v>20</v>
      </c>
      <c r="T161" s="3" t="str">
        <f>_xlfn.XLOOKUP(C161,Tabla42[ADEP],Tabla42[Sector],"")</f>
        <v>Sector 2</v>
      </c>
    </row>
    <row r="162" spans="1:20" x14ac:dyDescent="0.2">
      <c r="A162" s="23" t="s">
        <v>1628</v>
      </c>
      <c r="B162" s="23" t="s">
        <v>18</v>
      </c>
      <c r="C162" s="23" t="s">
        <v>436</v>
      </c>
      <c r="D162" s="23" t="s">
        <v>427</v>
      </c>
      <c r="E162" s="23" t="s">
        <v>1628</v>
      </c>
      <c r="F162" s="24">
        <v>46307.851666666669</v>
      </c>
      <c r="G162" s="23" t="s">
        <v>21</v>
      </c>
      <c r="H162" s="23" t="s">
        <v>4309</v>
      </c>
      <c r="I162" s="23">
        <v>380</v>
      </c>
      <c r="J162" s="23" t="s">
        <v>22</v>
      </c>
      <c r="K162" s="23" t="s">
        <v>50</v>
      </c>
      <c r="L162" s="23">
        <v>878</v>
      </c>
      <c r="M162" s="23" t="s">
        <v>35</v>
      </c>
      <c r="N162" s="24">
        <v>46307.898310185185</v>
      </c>
      <c r="O162" s="23">
        <v>380</v>
      </c>
      <c r="P162" s="23" t="s">
        <v>25</v>
      </c>
      <c r="Q162" s="23">
        <v>30</v>
      </c>
      <c r="R162" s="3" t="str">
        <f>IF(OR(G162="12R",G162="12L"),_xlfn.XLOOKUP(C162,Tabla42[ADEP],Tabla42[SID 12R],""),IF(OR(G162="30L",G162="30R"),_xlfn.XLOOKUP(C162,Tabla42[ADEP],Tabla42[SID 30L],""),""))</f>
        <v>UDGUV</v>
      </c>
      <c r="S162" s="3">
        <f t="shared" si="2"/>
        <v>20</v>
      </c>
      <c r="T162" s="3" t="str">
        <f>_xlfn.XLOOKUP(C162,Tabla42[ADEP],Tabla42[Sector],"")</f>
        <v>Sector 2</v>
      </c>
    </row>
    <row r="163" spans="1:20" x14ac:dyDescent="0.2">
      <c r="A163" s="23" t="s">
        <v>262</v>
      </c>
      <c r="B163" s="23" t="s">
        <v>18</v>
      </c>
      <c r="C163" s="23" t="s">
        <v>263</v>
      </c>
      <c r="D163" s="23" t="s">
        <v>33</v>
      </c>
      <c r="E163" s="23" t="s">
        <v>4310</v>
      </c>
      <c r="F163" s="24">
        <v>46307.854872685188</v>
      </c>
      <c r="G163" s="23" t="s">
        <v>21</v>
      </c>
      <c r="H163" s="23" t="s">
        <v>4311</v>
      </c>
      <c r="I163" s="23">
        <v>350</v>
      </c>
      <c r="J163" s="23" t="s">
        <v>22</v>
      </c>
      <c r="K163" s="23" t="s">
        <v>23</v>
      </c>
      <c r="L163" s="23">
        <v>131</v>
      </c>
      <c r="M163" s="23" t="s">
        <v>385</v>
      </c>
      <c r="N163" s="24">
        <v>46307.864050925928</v>
      </c>
      <c r="O163" s="23">
        <v>250</v>
      </c>
      <c r="P163" s="23" t="s">
        <v>25</v>
      </c>
      <c r="Q163" s="23">
        <v>190</v>
      </c>
      <c r="R163" s="3" t="str">
        <f>IF(OR(G163="12R",G163="12L"),_xlfn.XLOOKUP(C163,Tabla42[ADEP],Tabla42[SID 12R],""),IF(OR(G163="30L",G163="30R"),_xlfn.XLOOKUP(C163,Tabla42[ADEP],Tabla42[SID 30L],""),""))</f>
        <v>OMSUK</v>
      </c>
      <c r="S163" s="3">
        <f t="shared" si="2"/>
        <v>20</v>
      </c>
      <c r="T163" s="3" t="str">
        <f>_xlfn.XLOOKUP(C163,Tabla42[ADEP],Tabla42[Sector],"")</f>
        <v>Sector 3</v>
      </c>
    </row>
    <row r="164" spans="1:20" x14ac:dyDescent="0.2">
      <c r="A164" s="23" t="s">
        <v>665</v>
      </c>
      <c r="B164" s="23" t="s">
        <v>18</v>
      </c>
      <c r="C164" s="23" t="s">
        <v>206</v>
      </c>
      <c r="D164" s="23" t="s">
        <v>53</v>
      </c>
      <c r="E164" s="23" t="s">
        <v>825</v>
      </c>
      <c r="F164" s="24">
        <v>46307.85701388889</v>
      </c>
      <c r="G164" s="23" t="s">
        <v>21</v>
      </c>
      <c r="H164" s="23" t="s">
        <v>326</v>
      </c>
      <c r="I164" s="23">
        <v>380</v>
      </c>
      <c r="J164" s="23" t="s">
        <v>22</v>
      </c>
      <c r="K164" s="23" t="s">
        <v>23</v>
      </c>
      <c r="L164" s="23">
        <v>859</v>
      </c>
      <c r="M164" s="23" t="s">
        <v>45</v>
      </c>
      <c r="N164" s="24">
        <v>46307.902442129627</v>
      </c>
      <c r="O164" s="23">
        <v>380</v>
      </c>
      <c r="P164" s="23" t="s">
        <v>25</v>
      </c>
      <c r="Q164" s="23">
        <v>190</v>
      </c>
      <c r="R164" s="3" t="str">
        <f>IF(OR(G164="12R",G164="12L"),_xlfn.XLOOKUP(C164,Tabla42[ADEP],Tabla42[SID 12R],""),IF(OR(G164="30L",G164="30R"),_xlfn.XLOOKUP(C164,Tabla42[ADEP],Tabla42[SID 30L],""),""))</f>
        <v>UDGUV</v>
      </c>
      <c r="S164" s="3">
        <f t="shared" si="2"/>
        <v>20</v>
      </c>
      <c r="T164" s="3" t="str">
        <f>_xlfn.XLOOKUP(C164,Tabla42[ADEP],Tabla42[Sector],"")</f>
        <v>Sector 2</v>
      </c>
    </row>
    <row r="165" spans="1:20" x14ac:dyDescent="0.2">
      <c r="A165" s="23" t="s">
        <v>283</v>
      </c>
      <c r="B165" s="23" t="s">
        <v>18</v>
      </c>
      <c r="C165" s="23" t="s">
        <v>126</v>
      </c>
      <c r="D165" s="23" t="s">
        <v>117</v>
      </c>
      <c r="E165" s="23" t="s">
        <v>4312</v>
      </c>
      <c r="F165" s="24">
        <v>46307.85800925926</v>
      </c>
      <c r="G165" s="23" t="s">
        <v>21</v>
      </c>
      <c r="H165" s="23" t="s">
        <v>4313</v>
      </c>
      <c r="I165" s="23">
        <v>350</v>
      </c>
      <c r="J165" s="23" t="s">
        <v>22</v>
      </c>
      <c r="K165" s="23" t="s">
        <v>23</v>
      </c>
      <c r="L165" s="23">
        <v>349</v>
      </c>
      <c r="M165" s="23" t="s">
        <v>30</v>
      </c>
      <c r="N165" s="24">
        <v>46307.878541666665</v>
      </c>
      <c r="O165" s="23">
        <v>350</v>
      </c>
      <c r="P165" s="23" t="s">
        <v>25</v>
      </c>
      <c r="Q165" s="23">
        <v>40</v>
      </c>
      <c r="R165" s="3" t="str">
        <f>IF(OR(G165="12R",G165="12L"),_xlfn.XLOOKUP(C165,Tabla42[ADEP],Tabla42[SID 12R],""),IF(OR(G165="30L",G165="30R"),_xlfn.XLOOKUP(C165,Tabla42[ADEP],Tabla42[SID 30L],""),""))</f>
        <v>ENEBA</v>
      </c>
      <c r="S165" s="3">
        <f t="shared" si="2"/>
        <v>20</v>
      </c>
      <c r="T165" s="3" t="str">
        <f>_xlfn.XLOOKUP(C165,Tabla42[ADEP],Tabla42[Sector],"")</f>
        <v>Sector 3</v>
      </c>
    </row>
    <row r="166" spans="1:20" x14ac:dyDescent="0.2">
      <c r="A166" s="23" t="s">
        <v>461</v>
      </c>
      <c r="B166" s="23" t="s">
        <v>18</v>
      </c>
      <c r="C166" s="23" t="s">
        <v>223</v>
      </c>
      <c r="D166" s="23" t="s">
        <v>28</v>
      </c>
      <c r="E166" s="23" t="s">
        <v>759</v>
      </c>
      <c r="F166" s="24">
        <v>46307.861898148149</v>
      </c>
      <c r="G166" s="23" t="s">
        <v>21</v>
      </c>
      <c r="H166" s="23" t="s">
        <v>4314</v>
      </c>
      <c r="I166" s="23">
        <v>330</v>
      </c>
      <c r="J166" s="23" t="s">
        <v>22</v>
      </c>
      <c r="K166" s="23" t="s">
        <v>23</v>
      </c>
      <c r="L166" s="23">
        <v>359</v>
      </c>
      <c r="M166" s="23" t="s">
        <v>30</v>
      </c>
      <c r="N166" s="24">
        <v>46307.8825462963</v>
      </c>
      <c r="O166" s="23">
        <v>330</v>
      </c>
      <c r="P166" s="23" t="s">
        <v>25</v>
      </c>
      <c r="Q166" s="23">
        <v>40</v>
      </c>
      <c r="R166" s="3" t="str">
        <f>IF(OR(G166="12R",G166="12L"),_xlfn.XLOOKUP(C166,Tabla42[ADEP],Tabla42[SID 12R],""),IF(OR(G166="30L",G166="30R"),_xlfn.XLOOKUP(C166,Tabla42[ADEP],Tabla42[SID 30L],""),""))</f>
        <v>OMSUK</v>
      </c>
      <c r="S166" s="3">
        <f t="shared" si="2"/>
        <v>20</v>
      </c>
      <c r="T166" s="3" t="str">
        <f>_xlfn.XLOOKUP(C166,Tabla42[ADEP],Tabla42[Sector],"")</f>
        <v>Sector 3</v>
      </c>
    </row>
    <row r="167" spans="1:20" x14ac:dyDescent="0.2">
      <c r="A167" s="23" t="s">
        <v>282</v>
      </c>
      <c r="B167" s="23" t="s">
        <v>18</v>
      </c>
      <c r="C167" s="23" t="s">
        <v>42</v>
      </c>
      <c r="D167" s="23" t="s">
        <v>20</v>
      </c>
      <c r="E167" s="23" t="s">
        <v>3680</v>
      </c>
      <c r="F167" s="24">
        <v>46307.862754629627</v>
      </c>
      <c r="G167" s="23" t="s">
        <v>21</v>
      </c>
      <c r="H167" s="23" t="s">
        <v>4315</v>
      </c>
      <c r="I167" s="23">
        <v>360</v>
      </c>
      <c r="J167" s="23" t="s">
        <v>22</v>
      </c>
      <c r="K167" s="23" t="s">
        <v>23</v>
      </c>
      <c r="L167" s="23">
        <v>860</v>
      </c>
      <c r="M167" s="23" t="s">
        <v>45</v>
      </c>
      <c r="N167" s="24">
        <v>46307.907222222224</v>
      </c>
      <c r="O167" s="23">
        <v>360</v>
      </c>
      <c r="P167" s="23" t="s">
        <v>25</v>
      </c>
      <c r="Q167" s="23">
        <v>190</v>
      </c>
      <c r="R167" s="3" t="str">
        <f>IF(OR(G167="12R",G167="12L"),_xlfn.XLOOKUP(C167,Tabla42[ADEP],Tabla42[SID 12R],""),IF(OR(G167="30L",G167="30R"),_xlfn.XLOOKUP(C167,Tabla42[ADEP],Tabla42[SID 30L],""),""))</f>
        <v>UDGUV</v>
      </c>
      <c r="S167" s="3">
        <f t="shared" si="2"/>
        <v>20</v>
      </c>
      <c r="T167" s="3" t="str">
        <f>_xlfn.XLOOKUP(C167,Tabla42[ADEP],Tabla42[Sector],"")</f>
        <v>Sector 2</v>
      </c>
    </row>
    <row r="168" spans="1:20" x14ac:dyDescent="0.2">
      <c r="A168" s="23" t="s">
        <v>467</v>
      </c>
      <c r="B168" s="23" t="s">
        <v>18</v>
      </c>
      <c r="C168" s="23" t="s">
        <v>184</v>
      </c>
      <c r="D168" s="23" t="s">
        <v>60</v>
      </c>
      <c r="E168" s="23" t="s">
        <v>4316</v>
      </c>
      <c r="F168" s="24">
        <v>46307.864074074074</v>
      </c>
      <c r="G168" s="23" t="s">
        <v>21</v>
      </c>
      <c r="H168" s="23" t="s">
        <v>4317</v>
      </c>
      <c r="I168" s="23">
        <v>330</v>
      </c>
      <c r="J168" s="23" t="s">
        <v>22</v>
      </c>
      <c r="K168" s="23" t="s">
        <v>23</v>
      </c>
      <c r="L168" s="23">
        <v>360</v>
      </c>
      <c r="M168" s="23" t="s">
        <v>30</v>
      </c>
      <c r="N168" s="24">
        <v>46307.885069444441</v>
      </c>
      <c r="O168" s="23">
        <v>310</v>
      </c>
      <c r="P168" s="23" t="s">
        <v>25</v>
      </c>
      <c r="Q168" s="23">
        <v>40</v>
      </c>
      <c r="R168" s="3" t="str">
        <f>IF(OR(G168="12R",G168="12L"),_xlfn.XLOOKUP(C168,Tabla42[ADEP],Tabla42[SID 12R],""),IF(OR(G168="30L",G168="30R"),_xlfn.XLOOKUP(C168,Tabla42[ADEP],Tabla42[SID 30L],""),""))</f>
        <v>OMSUK</v>
      </c>
      <c r="S168" s="3">
        <f t="shared" si="2"/>
        <v>20</v>
      </c>
      <c r="T168" s="3" t="str">
        <f>_xlfn.XLOOKUP(C168,Tabla42[ADEP],Tabla42[Sector],"")</f>
        <v>Sector 3</v>
      </c>
    </row>
    <row r="169" spans="1:20" x14ac:dyDescent="0.2">
      <c r="A169" s="23" t="s">
        <v>1201</v>
      </c>
      <c r="B169" s="23" t="s">
        <v>18</v>
      </c>
      <c r="C169" s="23" t="s">
        <v>592</v>
      </c>
      <c r="D169" s="23" t="s">
        <v>28</v>
      </c>
      <c r="E169" s="23" t="s">
        <v>1202</v>
      </c>
      <c r="F169" s="24">
        <v>46307.865578703706</v>
      </c>
      <c r="G169" s="23" t="s">
        <v>21</v>
      </c>
      <c r="H169" s="23" t="s">
        <v>4318</v>
      </c>
      <c r="I169" s="23">
        <v>360</v>
      </c>
      <c r="J169" s="23" t="s">
        <v>22</v>
      </c>
      <c r="K169" s="23" t="s">
        <v>23</v>
      </c>
      <c r="L169" s="23">
        <v>418</v>
      </c>
      <c r="M169" s="23" t="s">
        <v>4319</v>
      </c>
      <c r="N169" s="24">
        <v>46307.889953703707</v>
      </c>
      <c r="O169" s="23">
        <v>360</v>
      </c>
      <c r="P169" s="23" t="s">
        <v>25</v>
      </c>
      <c r="Q169" s="23">
        <v>40</v>
      </c>
      <c r="R169" s="3" t="str">
        <f>IF(OR(G169="12R",G169="12L"),_xlfn.XLOOKUP(C169,Tabla42[ADEP],Tabla42[SID 12R],""),IF(OR(G169="30L",G169="30R"),_xlfn.XLOOKUP(C169,Tabla42[ADEP],Tabla42[SID 30L],""),""))</f>
        <v>ENEBA</v>
      </c>
      <c r="S169" s="3">
        <f t="shared" si="2"/>
        <v>20</v>
      </c>
      <c r="T169" s="3" t="str">
        <f>_xlfn.XLOOKUP(C169,Tabla42[ADEP],Tabla42[Sector],"")</f>
        <v>Sector 3</v>
      </c>
    </row>
    <row r="170" spans="1:20" x14ac:dyDescent="0.2">
      <c r="A170" s="23" t="s">
        <v>476</v>
      </c>
      <c r="B170" s="23" t="s">
        <v>18</v>
      </c>
      <c r="C170" s="23" t="s">
        <v>188</v>
      </c>
      <c r="D170" s="23" t="s">
        <v>43</v>
      </c>
      <c r="E170" s="23" t="s">
        <v>3137</v>
      </c>
      <c r="F170" s="24">
        <v>46307.867442129631</v>
      </c>
      <c r="G170" s="23" t="s">
        <v>21</v>
      </c>
      <c r="H170" s="23" t="s">
        <v>4320</v>
      </c>
      <c r="I170" s="23">
        <v>320</v>
      </c>
      <c r="J170" s="23" t="s">
        <v>22</v>
      </c>
      <c r="K170" s="23" t="s">
        <v>23</v>
      </c>
      <c r="L170" s="23">
        <v>395</v>
      </c>
      <c r="M170" s="23" t="s">
        <v>4321</v>
      </c>
      <c r="N170" s="24">
        <v>46307.88921296296</v>
      </c>
      <c r="O170" s="23">
        <v>320</v>
      </c>
      <c r="P170" s="23" t="s">
        <v>25</v>
      </c>
      <c r="Q170" s="23">
        <v>40</v>
      </c>
      <c r="R170" s="3" t="str">
        <f>IF(OR(G170="12R",G170="12L"),_xlfn.XLOOKUP(C170,Tabla42[ADEP],Tabla42[SID 12R],""),IF(OR(G170="30L",G170="30R"),_xlfn.XLOOKUP(C170,Tabla42[ADEP],Tabla42[SID 30L],""),""))</f>
        <v>ENEBA</v>
      </c>
      <c r="S170" s="3">
        <f t="shared" si="2"/>
        <v>20</v>
      </c>
      <c r="T170" s="3" t="str">
        <f>_xlfn.XLOOKUP(C170,Tabla42[ADEP],Tabla42[Sector],"")</f>
        <v>Sector 3</v>
      </c>
    </row>
    <row r="171" spans="1:20" x14ac:dyDescent="0.2">
      <c r="A171" s="23" t="s">
        <v>292</v>
      </c>
      <c r="B171" s="23" t="s">
        <v>18</v>
      </c>
      <c r="C171" s="23" t="s">
        <v>293</v>
      </c>
      <c r="D171" s="23" t="s">
        <v>43</v>
      </c>
      <c r="E171" s="23" t="s">
        <v>2104</v>
      </c>
      <c r="F171" s="24">
        <v>46307.868622685186</v>
      </c>
      <c r="G171" s="23" t="s">
        <v>21</v>
      </c>
      <c r="H171" s="23" t="s">
        <v>4322</v>
      </c>
      <c r="I171" s="23">
        <v>320</v>
      </c>
      <c r="J171" s="23" t="s">
        <v>22</v>
      </c>
      <c r="K171" s="23" t="s">
        <v>23</v>
      </c>
      <c r="L171" s="23">
        <v>528</v>
      </c>
      <c r="M171" s="23" t="s">
        <v>123</v>
      </c>
      <c r="N171" s="24">
        <v>46307.897743055553</v>
      </c>
      <c r="O171" s="23">
        <v>340</v>
      </c>
      <c r="P171" s="23" t="s">
        <v>25</v>
      </c>
      <c r="Q171" s="23">
        <v>40</v>
      </c>
      <c r="R171" s="3" t="str">
        <f>IF(OR(G171="12R",G171="12L"),_xlfn.XLOOKUP(C171,Tabla42[ADEP],Tabla42[SID 12R],""),IF(OR(G171="30L",G171="30R"),_xlfn.XLOOKUP(C171,Tabla42[ADEP],Tabla42[SID 30L],""),""))</f>
        <v>UDGUV</v>
      </c>
      <c r="S171" s="3">
        <f t="shared" si="2"/>
        <v>20</v>
      </c>
      <c r="T171" s="3" t="str">
        <f>_xlfn.XLOOKUP(C171,Tabla42[ADEP],Tabla42[Sector],"")</f>
        <v>Sector 2</v>
      </c>
    </row>
    <row r="172" spans="1:20" x14ac:dyDescent="0.2">
      <c r="A172" s="23" t="s">
        <v>469</v>
      </c>
      <c r="B172" s="23" t="s">
        <v>18</v>
      </c>
      <c r="C172" s="23" t="s">
        <v>42</v>
      </c>
      <c r="D172" s="23" t="s">
        <v>43</v>
      </c>
      <c r="E172" s="23" t="s">
        <v>502</v>
      </c>
      <c r="F172" s="24">
        <v>46307.870057870372</v>
      </c>
      <c r="G172" s="23" t="s">
        <v>21</v>
      </c>
      <c r="H172" s="23" t="s">
        <v>4323</v>
      </c>
      <c r="I172" s="23">
        <v>360</v>
      </c>
      <c r="J172" s="23" t="s">
        <v>22</v>
      </c>
      <c r="K172" s="23" t="s">
        <v>23</v>
      </c>
      <c r="L172" s="23">
        <v>860</v>
      </c>
      <c r="M172" s="23" t="s">
        <v>45</v>
      </c>
      <c r="N172" s="24">
        <v>46307.914930555555</v>
      </c>
      <c r="O172" s="23">
        <v>360</v>
      </c>
      <c r="P172" s="23" t="s">
        <v>25</v>
      </c>
      <c r="Q172" s="23">
        <v>190</v>
      </c>
      <c r="R172" s="3" t="str">
        <f>IF(OR(G172="12R",G172="12L"),_xlfn.XLOOKUP(C172,Tabla42[ADEP],Tabla42[SID 12R],""),IF(OR(G172="30L",G172="30R"),_xlfn.XLOOKUP(C172,Tabla42[ADEP],Tabla42[SID 30L],""),""))</f>
        <v>UDGUV</v>
      </c>
      <c r="S172" s="3">
        <f t="shared" si="2"/>
        <v>20</v>
      </c>
      <c r="T172" s="3" t="str">
        <f>_xlfn.XLOOKUP(C172,Tabla42[ADEP],Tabla42[Sector],"")</f>
        <v>Sector 2</v>
      </c>
    </row>
    <row r="173" spans="1:20" x14ac:dyDescent="0.2">
      <c r="A173" s="23" t="s">
        <v>289</v>
      </c>
      <c r="B173" s="23" t="s">
        <v>18</v>
      </c>
      <c r="C173" s="23" t="s">
        <v>290</v>
      </c>
      <c r="D173" s="23" t="s">
        <v>33</v>
      </c>
      <c r="E173" s="23" t="s">
        <v>402</v>
      </c>
      <c r="F173" s="24">
        <v>46307.876909722225</v>
      </c>
      <c r="G173" s="23" t="s">
        <v>21</v>
      </c>
      <c r="H173" s="23" t="s">
        <v>4324</v>
      </c>
      <c r="I173" s="23">
        <v>330</v>
      </c>
      <c r="J173" s="23" t="s">
        <v>22</v>
      </c>
      <c r="K173" s="23" t="s">
        <v>23</v>
      </c>
      <c r="L173" s="23">
        <v>207</v>
      </c>
      <c r="M173" s="23" t="s">
        <v>3736</v>
      </c>
      <c r="N173" s="24">
        <v>46307.889791666668</v>
      </c>
      <c r="O173" s="23">
        <v>268</v>
      </c>
      <c r="P173" s="23" t="s">
        <v>25</v>
      </c>
      <c r="Q173" s="23">
        <v>190</v>
      </c>
      <c r="R173" s="3" t="str">
        <f>IF(OR(G173="12R",G173="12L"),_xlfn.XLOOKUP(C173,Tabla42[ADEP],Tabla42[SID 12R],""),IF(OR(G173="30L",G173="30R"),_xlfn.XLOOKUP(C173,Tabla42[ADEP],Tabla42[SID 30L],""),""))</f>
        <v>CZM</v>
      </c>
      <c r="S173" s="3">
        <f t="shared" si="2"/>
        <v>21</v>
      </c>
      <c r="T173" s="3" t="str">
        <f>_xlfn.XLOOKUP(C173,Tabla42[ADEP],Tabla42[Sector],"")</f>
        <v>Sector 7</v>
      </c>
    </row>
    <row r="174" spans="1:20" x14ac:dyDescent="0.2">
      <c r="A174" s="23" t="s">
        <v>294</v>
      </c>
      <c r="B174" s="23" t="s">
        <v>18</v>
      </c>
      <c r="C174" s="23" t="s">
        <v>128</v>
      </c>
      <c r="D174" s="23" t="s">
        <v>43</v>
      </c>
      <c r="E174" s="23" t="s">
        <v>788</v>
      </c>
      <c r="F174" s="24">
        <v>46307.877708333333</v>
      </c>
      <c r="G174" s="23" t="s">
        <v>21</v>
      </c>
      <c r="H174" s="23" t="s">
        <v>4325</v>
      </c>
      <c r="I174" s="23">
        <v>330</v>
      </c>
      <c r="J174" s="23" t="s">
        <v>22</v>
      </c>
      <c r="K174" s="23" t="s">
        <v>23</v>
      </c>
      <c r="L174" s="23">
        <v>355</v>
      </c>
      <c r="M174" s="23" t="s">
        <v>30</v>
      </c>
      <c r="N174" s="24">
        <v>46307.898981481485</v>
      </c>
      <c r="O174" s="23">
        <v>330</v>
      </c>
      <c r="P174" s="23" t="s">
        <v>25</v>
      </c>
      <c r="Q174" s="23">
        <v>40</v>
      </c>
      <c r="R174" s="3" t="str">
        <f>IF(OR(G174="12R",G174="12L"),_xlfn.XLOOKUP(C174,Tabla42[ADEP],Tabla42[SID 12R],""),IF(OR(G174="30L",G174="30R"),_xlfn.XLOOKUP(C174,Tabla42[ADEP],Tabla42[SID 30L],""),""))</f>
        <v>OMSUK</v>
      </c>
      <c r="S174" s="3">
        <f t="shared" si="2"/>
        <v>21</v>
      </c>
      <c r="T174" s="3" t="str">
        <f>_xlfn.XLOOKUP(C174,Tabla42[ADEP],Tabla42[Sector],"")</f>
        <v>Sector 3</v>
      </c>
    </row>
    <row r="175" spans="1:20" x14ac:dyDescent="0.2">
      <c r="A175" s="23" t="s">
        <v>471</v>
      </c>
      <c r="B175" s="23" t="s">
        <v>18</v>
      </c>
      <c r="C175" s="23" t="s">
        <v>19</v>
      </c>
      <c r="D175" s="23" t="s">
        <v>53</v>
      </c>
      <c r="E175" s="23" t="s">
        <v>97</v>
      </c>
      <c r="F175" s="24">
        <v>46307.880416666667</v>
      </c>
      <c r="G175" s="23" t="s">
        <v>21</v>
      </c>
      <c r="H175" s="23" t="s">
        <v>1614</v>
      </c>
      <c r="I175" s="23">
        <v>300</v>
      </c>
      <c r="J175" s="23" t="s">
        <v>22</v>
      </c>
      <c r="K175" s="23" t="s">
        <v>23</v>
      </c>
      <c r="L175" s="23">
        <v>869</v>
      </c>
      <c r="M175" s="23" t="s">
        <v>167</v>
      </c>
      <c r="N175" s="24">
        <v>46307.925775462965</v>
      </c>
      <c r="O175" s="23">
        <v>300</v>
      </c>
      <c r="P175" s="23" t="s">
        <v>25</v>
      </c>
      <c r="Q175" s="23">
        <v>190</v>
      </c>
      <c r="R175" s="3" t="str">
        <f>IF(OR(G175="12R",G175="12L"),_xlfn.XLOOKUP(C175,Tabla42[ADEP],Tabla42[SID 12R],""),IF(OR(G175="30L",G175="30R"),_xlfn.XLOOKUP(C175,Tabla42[ADEP],Tabla42[SID 30L],""),""))</f>
        <v>UDGUV</v>
      </c>
      <c r="S175" s="3">
        <f t="shared" si="2"/>
        <v>21</v>
      </c>
      <c r="T175" s="3" t="str">
        <f>_xlfn.XLOOKUP(C175,Tabla42[ADEP],Tabla42[Sector],"")</f>
        <v>Sector 2</v>
      </c>
    </row>
    <row r="176" spans="1:20" x14ac:dyDescent="0.2">
      <c r="A176" s="23" t="s">
        <v>296</v>
      </c>
      <c r="B176" s="23" t="s">
        <v>18</v>
      </c>
      <c r="C176" s="23" t="s">
        <v>121</v>
      </c>
      <c r="D176" s="23" t="s">
        <v>28</v>
      </c>
      <c r="E176" s="23" t="s">
        <v>4326</v>
      </c>
      <c r="F176" s="24">
        <v>46307.881192129629</v>
      </c>
      <c r="G176" s="23" t="s">
        <v>21</v>
      </c>
      <c r="H176" s="23" t="s">
        <v>4327</v>
      </c>
      <c r="I176" s="23">
        <v>380</v>
      </c>
      <c r="J176" s="23" t="s">
        <v>22</v>
      </c>
      <c r="K176" s="23" t="s">
        <v>23</v>
      </c>
      <c r="L176" s="23">
        <v>523</v>
      </c>
      <c r="M176" s="23" t="s">
        <v>123</v>
      </c>
      <c r="N176" s="24">
        <v>46307.909432870372</v>
      </c>
      <c r="O176" s="23">
        <v>360</v>
      </c>
      <c r="P176" s="23" t="s">
        <v>25</v>
      </c>
      <c r="Q176" s="23">
        <v>40</v>
      </c>
      <c r="R176" s="3" t="str">
        <f>IF(OR(G176="12R",G176="12L"),_xlfn.XLOOKUP(C176,Tabla42[ADEP],Tabla42[SID 12R],""),IF(OR(G176="30L",G176="30R"),_xlfn.XLOOKUP(C176,Tabla42[ADEP],Tabla42[SID 30L],""),""))</f>
        <v>ENEBA</v>
      </c>
      <c r="S176" s="3">
        <f t="shared" si="2"/>
        <v>21</v>
      </c>
      <c r="T176" s="3" t="str">
        <f>_xlfn.XLOOKUP(C176,Tabla42[ADEP],Tabla42[Sector],"")</f>
        <v>Sector 3</v>
      </c>
    </row>
    <row r="177" spans="1:20" x14ac:dyDescent="0.2">
      <c r="A177" s="23" t="s">
        <v>477</v>
      </c>
      <c r="B177" s="23" t="s">
        <v>18</v>
      </c>
      <c r="C177" s="23" t="s">
        <v>478</v>
      </c>
      <c r="D177" s="23" t="s">
        <v>20</v>
      </c>
      <c r="E177" s="23" t="s">
        <v>4328</v>
      </c>
      <c r="F177" s="24">
        <v>46307.882326388892</v>
      </c>
      <c r="G177" s="23" t="s">
        <v>21</v>
      </c>
      <c r="H177" s="23" t="s">
        <v>4329</v>
      </c>
      <c r="I177" s="23">
        <v>340</v>
      </c>
      <c r="J177" s="23" t="s">
        <v>22</v>
      </c>
      <c r="K177" s="23" t="s">
        <v>23</v>
      </c>
      <c r="L177" s="23">
        <v>650</v>
      </c>
      <c r="M177" s="23" t="s">
        <v>118</v>
      </c>
      <c r="N177" s="24">
        <v>46307.915833333333</v>
      </c>
      <c r="O177" s="23">
        <v>340</v>
      </c>
      <c r="P177" s="23" t="s">
        <v>25</v>
      </c>
      <c r="Q177" s="23">
        <v>40</v>
      </c>
      <c r="R177" s="3" t="str">
        <f>IF(OR(G177="12R",G177="12L"),_xlfn.XLOOKUP(C177,Tabla42[ADEP],Tabla42[SID 12R],""),IF(OR(G177="30L",G177="30R"),_xlfn.XLOOKUP(C177,Tabla42[ADEP],Tabla42[SID 30L],""),""))</f>
        <v>ENEBA</v>
      </c>
      <c r="S177" s="3">
        <f t="shared" si="2"/>
        <v>21</v>
      </c>
      <c r="T177" s="3" t="str">
        <f>_xlfn.XLOOKUP(C177,Tabla42[ADEP],Tabla42[Sector],"")</f>
        <v>Sector 3</v>
      </c>
    </row>
    <row r="178" spans="1:20" x14ac:dyDescent="0.2">
      <c r="A178" s="23" t="s">
        <v>475</v>
      </c>
      <c r="B178" s="23" t="s">
        <v>18</v>
      </c>
      <c r="C178" s="23" t="s">
        <v>293</v>
      </c>
      <c r="D178" s="23" t="s">
        <v>28</v>
      </c>
      <c r="E178" s="23" t="s">
        <v>1437</v>
      </c>
      <c r="F178" s="24">
        <v>46307.884236111109</v>
      </c>
      <c r="G178" s="23" t="s">
        <v>21</v>
      </c>
      <c r="H178" s="23" t="s">
        <v>4330</v>
      </c>
      <c r="I178" s="23">
        <v>360</v>
      </c>
      <c r="J178" s="23" t="s">
        <v>22</v>
      </c>
      <c r="K178" s="23" t="s">
        <v>23</v>
      </c>
      <c r="L178" s="23">
        <v>537</v>
      </c>
      <c r="M178" s="23" t="s">
        <v>123</v>
      </c>
      <c r="N178" s="24">
        <v>46307.913715277777</v>
      </c>
      <c r="O178" s="23">
        <v>340</v>
      </c>
      <c r="P178" s="23" t="s">
        <v>25</v>
      </c>
      <c r="Q178" s="23">
        <v>40</v>
      </c>
      <c r="R178" s="3" t="str">
        <f>IF(OR(G178="12R",G178="12L"),_xlfn.XLOOKUP(C178,Tabla42[ADEP],Tabla42[SID 12R],""),IF(OR(G178="30L",G178="30R"),_xlfn.XLOOKUP(C178,Tabla42[ADEP],Tabla42[SID 30L],""),""))</f>
        <v>UDGUV</v>
      </c>
      <c r="S178" s="3">
        <f t="shared" si="2"/>
        <v>21</v>
      </c>
      <c r="T178" s="3" t="str">
        <f>_xlfn.XLOOKUP(C178,Tabla42[ADEP],Tabla42[Sector],"")</f>
        <v>Sector 2</v>
      </c>
    </row>
    <row r="179" spans="1:20" x14ac:dyDescent="0.2">
      <c r="A179" s="23" t="s">
        <v>2076</v>
      </c>
      <c r="B179" s="23" t="s">
        <v>18</v>
      </c>
      <c r="C179" s="23" t="s">
        <v>18</v>
      </c>
      <c r="D179" s="23" t="s">
        <v>2077</v>
      </c>
      <c r="E179" s="23"/>
      <c r="F179" s="24">
        <v>46307.889155092591</v>
      </c>
      <c r="G179" s="23" t="s">
        <v>21</v>
      </c>
      <c r="H179" s="23" t="s">
        <v>4331</v>
      </c>
      <c r="I179" s="23">
        <v>15</v>
      </c>
      <c r="J179" s="23" t="s">
        <v>130</v>
      </c>
      <c r="K179" s="23" t="s">
        <v>50</v>
      </c>
      <c r="L179" s="23">
        <v>214</v>
      </c>
      <c r="M179" s="23" t="s">
        <v>18</v>
      </c>
      <c r="N179" s="24">
        <v>46307.931701388887</v>
      </c>
      <c r="O179" s="23">
        <v>0</v>
      </c>
      <c r="P179" s="23" t="s">
        <v>129</v>
      </c>
      <c r="Q179" s="23">
        <v>927</v>
      </c>
      <c r="R179" s="3" t="str">
        <f>IF(OR(G179="12R",G179="12L"),_xlfn.XLOOKUP(C179,Tabla42[ADEP],Tabla42[SID 12R],""),IF(OR(G179="30L",G179="30R"),_xlfn.XLOOKUP(C179,Tabla42[ADEP],Tabla42[SID 30L],""),""))</f>
        <v/>
      </c>
      <c r="S179" s="3">
        <f t="shared" si="2"/>
        <v>21</v>
      </c>
      <c r="T179" s="3" t="str">
        <f>_xlfn.XLOOKUP(C179,Tabla42[ADEP],Tabla42[Sector],"")</f>
        <v/>
      </c>
    </row>
    <row r="180" spans="1:20" x14ac:dyDescent="0.2">
      <c r="A180" s="23" t="s">
        <v>480</v>
      </c>
      <c r="B180" s="23" t="s">
        <v>18</v>
      </c>
      <c r="C180" s="23" t="s">
        <v>164</v>
      </c>
      <c r="D180" s="23" t="s">
        <v>43</v>
      </c>
      <c r="E180" s="23" t="s">
        <v>2753</v>
      </c>
      <c r="F180" s="24">
        <v>46307.891909722224</v>
      </c>
      <c r="G180" s="23" t="s">
        <v>21</v>
      </c>
      <c r="H180" s="23" t="s">
        <v>4332</v>
      </c>
      <c r="I180" s="23">
        <v>330</v>
      </c>
      <c r="J180" s="23" t="s">
        <v>22</v>
      </c>
      <c r="K180" s="23" t="s">
        <v>23</v>
      </c>
      <c r="L180" s="23">
        <v>356</v>
      </c>
      <c r="M180" s="23" t="s">
        <v>30</v>
      </c>
      <c r="N180" s="24">
        <v>46307.912604166668</v>
      </c>
      <c r="O180" s="23">
        <v>330</v>
      </c>
      <c r="P180" s="23" t="s">
        <v>25</v>
      </c>
      <c r="Q180" s="23">
        <v>40</v>
      </c>
      <c r="R180" s="3" t="str">
        <f>IF(OR(G180="12R",G180="12L"),_xlfn.XLOOKUP(C180,Tabla42[ADEP],Tabla42[SID 12R],""),IF(OR(G180="30L",G180="30R"),_xlfn.XLOOKUP(C180,Tabla42[ADEP],Tabla42[SID 30L],""),""))</f>
        <v>OMSUK</v>
      </c>
      <c r="S180" s="3">
        <f t="shared" si="2"/>
        <v>21</v>
      </c>
      <c r="T180" s="3" t="str">
        <f>_xlfn.XLOOKUP(C180,Tabla42[ADEP],Tabla42[Sector],"")</f>
        <v>Sector 3</v>
      </c>
    </row>
    <row r="181" spans="1:20" x14ac:dyDescent="0.2">
      <c r="A181" s="23" t="s">
        <v>314</v>
      </c>
      <c r="B181" s="23" t="s">
        <v>18</v>
      </c>
      <c r="C181" s="23" t="s">
        <v>179</v>
      </c>
      <c r="D181" s="23" t="s">
        <v>53</v>
      </c>
      <c r="E181" s="23" t="s">
        <v>666</v>
      </c>
      <c r="F181" s="24">
        <v>46307.894583333335</v>
      </c>
      <c r="G181" s="23" t="s">
        <v>21</v>
      </c>
      <c r="H181" s="23" t="s">
        <v>4333</v>
      </c>
      <c r="I181" s="23">
        <v>380</v>
      </c>
      <c r="J181" s="23" t="s">
        <v>22</v>
      </c>
      <c r="K181" s="23" t="s">
        <v>23</v>
      </c>
      <c r="L181" s="23">
        <v>843</v>
      </c>
      <c r="M181" s="23" t="s">
        <v>179</v>
      </c>
      <c r="N181" s="24">
        <v>46307.941678240742</v>
      </c>
      <c r="O181" s="23">
        <v>15</v>
      </c>
      <c r="P181" s="23" t="s">
        <v>25</v>
      </c>
      <c r="Q181" s="23">
        <v>190</v>
      </c>
      <c r="R181" s="3" t="str">
        <f>IF(OR(G181="12R",G181="12L"),_xlfn.XLOOKUP(C181,Tabla42[ADEP],Tabla42[SID 12R],""),IF(OR(G181="30L",G181="30R"),_xlfn.XLOOKUP(C181,Tabla42[ADEP],Tabla42[SID 30L],""),""))</f>
        <v>UDGUV</v>
      </c>
      <c r="S181" s="3">
        <f t="shared" si="2"/>
        <v>21</v>
      </c>
      <c r="T181" s="3" t="str">
        <f>_xlfn.XLOOKUP(C181,Tabla42[ADEP],Tabla42[Sector],"")</f>
        <v>Sector 2</v>
      </c>
    </row>
    <row r="182" spans="1:20" x14ac:dyDescent="0.2">
      <c r="A182" s="23" t="s">
        <v>299</v>
      </c>
      <c r="B182" s="23" t="s">
        <v>18</v>
      </c>
      <c r="C182" s="23" t="s">
        <v>300</v>
      </c>
      <c r="D182" s="23" t="s">
        <v>117</v>
      </c>
      <c r="E182" s="23" t="s">
        <v>2244</v>
      </c>
      <c r="F182" s="24">
        <v>46307.89576388889</v>
      </c>
      <c r="G182" s="23" t="s">
        <v>21</v>
      </c>
      <c r="H182" s="23" t="s">
        <v>4334</v>
      </c>
      <c r="I182" s="23">
        <v>320</v>
      </c>
      <c r="J182" s="23" t="s">
        <v>22</v>
      </c>
      <c r="K182" s="23" t="s">
        <v>23</v>
      </c>
      <c r="L182" s="23">
        <v>519</v>
      </c>
      <c r="M182" s="23" t="s">
        <v>123</v>
      </c>
      <c r="N182" s="24">
        <v>46307.92392361111</v>
      </c>
      <c r="O182" s="23">
        <v>320</v>
      </c>
      <c r="P182" s="23" t="s">
        <v>25</v>
      </c>
      <c r="Q182" s="23">
        <v>40</v>
      </c>
      <c r="R182" s="3" t="str">
        <f>IF(OR(G182="12R",G182="12L"),_xlfn.XLOOKUP(C182,Tabla42[ADEP],Tabla42[SID 12R],""),IF(OR(G182="30L",G182="30R"),_xlfn.XLOOKUP(C182,Tabla42[ADEP],Tabla42[SID 30L],""),""))</f>
        <v>OMSUK</v>
      </c>
      <c r="S182" s="3">
        <f t="shared" si="2"/>
        <v>21</v>
      </c>
      <c r="T182" s="3" t="str">
        <f>_xlfn.XLOOKUP(C182,Tabla42[ADEP],Tabla42[Sector],"")</f>
        <v>Sector 3</v>
      </c>
    </row>
    <row r="183" spans="1:20" x14ac:dyDescent="0.2">
      <c r="A183" s="23" t="s">
        <v>301</v>
      </c>
      <c r="B183" s="23" t="s">
        <v>18</v>
      </c>
      <c r="C183" s="23" t="s">
        <v>32</v>
      </c>
      <c r="D183" s="23" t="s">
        <v>53</v>
      </c>
      <c r="E183" s="23" t="s">
        <v>277</v>
      </c>
      <c r="F183" s="24">
        <v>46307.899456018517</v>
      </c>
      <c r="G183" s="23" t="s">
        <v>21</v>
      </c>
      <c r="H183" s="23" t="s">
        <v>4335</v>
      </c>
      <c r="I183" s="23">
        <v>360</v>
      </c>
      <c r="J183" s="23" t="s">
        <v>22</v>
      </c>
      <c r="K183" s="23" t="s">
        <v>23</v>
      </c>
      <c r="L183" s="23">
        <v>866</v>
      </c>
      <c r="M183" s="23" t="s">
        <v>35</v>
      </c>
      <c r="N183" s="24">
        <v>46307.943645833337</v>
      </c>
      <c r="O183" s="23">
        <v>360</v>
      </c>
      <c r="P183" s="23" t="s">
        <v>25</v>
      </c>
      <c r="Q183" s="23">
        <v>190</v>
      </c>
      <c r="R183" s="3" t="str">
        <f>IF(OR(G183="12R",G183="12L"),_xlfn.XLOOKUP(C183,Tabla42[ADEP],Tabla42[SID 12R],""),IF(OR(G183="30L",G183="30R"),_xlfn.XLOOKUP(C183,Tabla42[ADEP],Tabla42[SID 30L],""),""))</f>
        <v>UDGUV</v>
      </c>
      <c r="S183" s="3">
        <f t="shared" si="2"/>
        <v>21</v>
      </c>
      <c r="T183" s="3" t="str">
        <f>_xlfn.XLOOKUP(C183,Tabla42[ADEP],Tabla42[Sector],"")</f>
        <v>Sector 2</v>
      </c>
    </row>
    <row r="184" spans="1:20" x14ac:dyDescent="0.2">
      <c r="A184" s="23" t="s">
        <v>308</v>
      </c>
      <c r="B184" s="23" t="s">
        <v>18</v>
      </c>
      <c r="C184" s="23" t="s">
        <v>137</v>
      </c>
      <c r="D184" s="23" t="s">
        <v>122</v>
      </c>
      <c r="E184" s="23" t="s">
        <v>4336</v>
      </c>
      <c r="F184" s="24">
        <v>46307.900138888886</v>
      </c>
      <c r="G184" s="23" t="s">
        <v>21</v>
      </c>
      <c r="H184" s="23" t="s">
        <v>4337</v>
      </c>
      <c r="I184" s="23">
        <v>370</v>
      </c>
      <c r="J184" s="23" t="s">
        <v>22</v>
      </c>
      <c r="K184" s="23" t="s">
        <v>23</v>
      </c>
      <c r="L184" s="23">
        <v>137</v>
      </c>
      <c r="M184" s="23" t="s">
        <v>2393</v>
      </c>
      <c r="N184" s="24">
        <v>46307.909178240741</v>
      </c>
      <c r="O184" s="23">
        <v>266</v>
      </c>
      <c r="P184" s="23" t="s">
        <v>25</v>
      </c>
      <c r="Q184" s="23">
        <v>190</v>
      </c>
      <c r="R184" s="3" t="str">
        <f>IF(OR(G184="12R",G184="12L"),_xlfn.XLOOKUP(C184,Tabla42[ADEP],Tabla42[SID 12R],""),IF(OR(G184="30L",G184="30R"),_xlfn.XLOOKUP(C184,Tabla42[ADEP],Tabla42[SID 30L],""),""))</f>
        <v>NUDAL</v>
      </c>
      <c r="S184" s="3">
        <f t="shared" si="2"/>
        <v>21</v>
      </c>
      <c r="T184" s="3" t="str">
        <f>_xlfn.XLOOKUP(C184,Tabla42[ADEP],Tabla42[Sector],"")</f>
        <v>Sector 3</v>
      </c>
    </row>
    <row r="185" spans="1:20" x14ac:dyDescent="0.2">
      <c r="A185" s="23" t="s">
        <v>1280</v>
      </c>
      <c r="B185" s="23" t="s">
        <v>18</v>
      </c>
      <c r="C185" s="23" t="s">
        <v>742</v>
      </c>
      <c r="D185" s="23" t="s">
        <v>28</v>
      </c>
      <c r="E185" s="23" t="s">
        <v>2612</v>
      </c>
      <c r="F185" s="24">
        <v>46307.902256944442</v>
      </c>
      <c r="G185" s="23" t="s">
        <v>21</v>
      </c>
      <c r="H185" s="23" t="s">
        <v>4338</v>
      </c>
      <c r="I185" s="23">
        <v>360</v>
      </c>
      <c r="J185" s="23" t="s">
        <v>22</v>
      </c>
      <c r="K185" s="23" t="s">
        <v>23</v>
      </c>
      <c r="L185" s="23">
        <v>647</v>
      </c>
      <c r="M185" s="23" t="s">
        <v>118</v>
      </c>
      <c r="N185" s="24">
        <v>46307.936377314814</v>
      </c>
      <c r="O185" s="23">
        <v>360</v>
      </c>
      <c r="P185" s="23" t="s">
        <v>25</v>
      </c>
      <c r="Q185" s="23">
        <v>40</v>
      </c>
      <c r="R185" s="3" t="str">
        <f>IF(OR(G185="12R",G185="12L"),_xlfn.XLOOKUP(C185,Tabla42[ADEP],Tabla42[SID 12R],""),IF(OR(G185="30L",G185="30R"),_xlfn.XLOOKUP(C185,Tabla42[ADEP],Tabla42[SID 30L],""),""))</f>
        <v>UDGUV</v>
      </c>
      <c r="S185" s="3">
        <f t="shared" si="2"/>
        <v>21</v>
      </c>
      <c r="T185" s="3" t="str">
        <f>_xlfn.XLOOKUP(C185,Tabla42[ADEP],Tabla42[Sector],"")</f>
        <v>Sector 2</v>
      </c>
    </row>
    <row r="186" spans="1:20" x14ac:dyDescent="0.2">
      <c r="A186" s="23" t="s">
        <v>309</v>
      </c>
      <c r="B186" s="23" t="s">
        <v>18</v>
      </c>
      <c r="C186" s="23" t="s">
        <v>19</v>
      </c>
      <c r="D186" s="23" t="s">
        <v>53</v>
      </c>
      <c r="E186" s="23" t="s">
        <v>357</v>
      </c>
      <c r="F186" s="24">
        <v>46307.906782407408</v>
      </c>
      <c r="G186" s="23" t="s">
        <v>21</v>
      </c>
      <c r="H186" s="23" t="s">
        <v>4339</v>
      </c>
      <c r="I186" s="23">
        <v>380</v>
      </c>
      <c r="J186" s="23" t="s">
        <v>22</v>
      </c>
      <c r="K186" s="23" t="s">
        <v>23</v>
      </c>
      <c r="L186" s="23">
        <v>870</v>
      </c>
      <c r="M186" s="23" t="s">
        <v>167</v>
      </c>
      <c r="N186" s="24">
        <v>46307.95239583333</v>
      </c>
      <c r="O186" s="23">
        <v>380</v>
      </c>
      <c r="P186" s="23" t="s">
        <v>25</v>
      </c>
      <c r="Q186" s="23">
        <v>190</v>
      </c>
      <c r="R186" s="3" t="str">
        <f>IF(OR(G186="12R",G186="12L"),_xlfn.XLOOKUP(C186,Tabla42[ADEP],Tabla42[SID 12R],""),IF(OR(G186="30L",G186="30R"),_xlfn.XLOOKUP(C186,Tabla42[ADEP],Tabla42[SID 30L],""),""))</f>
        <v>UDGUV</v>
      </c>
      <c r="S186" s="3">
        <f t="shared" si="2"/>
        <v>21</v>
      </c>
      <c r="T186" s="3" t="str">
        <f>_xlfn.XLOOKUP(C186,Tabla42[ADEP],Tabla42[Sector],"")</f>
        <v>Sector 2</v>
      </c>
    </row>
    <row r="187" spans="1:20" x14ac:dyDescent="0.2">
      <c r="A187" s="23" t="s">
        <v>2294</v>
      </c>
      <c r="B187" s="23" t="s">
        <v>18</v>
      </c>
      <c r="C187" s="23" t="s">
        <v>297</v>
      </c>
      <c r="D187" s="23" t="s">
        <v>340</v>
      </c>
      <c r="E187" s="23" t="s">
        <v>2310</v>
      </c>
      <c r="F187" s="24">
        <v>46307.908958333333</v>
      </c>
      <c r="G187" s="23" t="s">
        <v>21</v>
      </c>
      <c r="H187" s="23" t="s">
        <v>4340</v>
      </c>
      <c r="I187" s="23">
        <v>390</v>
      </c>
      <c r="J187" s="23" t="s">
        <v>22</v>
      </c>
      <c r="K187" s="23" t="s">
        <v>23</v>
      </c>
      <c r="L187" s="23">
        <v>137</v>
      </c>
      <c r="M187" s="23" t="s">
        <v>3600</v>
      </c>
      <c r="N187" s="24">
        <v>46307.91846064815</v>
      </c>
      <c r="O187" s="23">
        <v>214</v>
      </c>
      <c r="P187" s="23" t="s">
        <v>40</v>
      </c>
      <c r="Q187" s="23">
        <v>190</v>
      </c>
      <c r="R187" s="3" t="str">
        <f>IF(OR(G187="12R",G187="12L"),_xlfn.XLOOKUP(C187,Tabla42[ADEP],Tabla42[SID 12R],""),IF(OR(G187="30L",G187="30R"),_xlfn.XLOOKUP(C187,Tabla42[ADEP],Tabla42[SID 30L],""),""))</f>
        <v>NUDAL</v>
      </c>
      <c r="S187" s="3">
        <f t="shared" si="2"/>
        <v>21</v>
      </c>
      <c r="T187" s="3" t="str">
        <f>_xlfn.XLOOKUP(C187,Tabla42[ADEP],Tabla42[Sector],"")</f>
        <v>Sector 3</v>
      </c>
    </row>
    <row r="188" spans="1:20" x14ac:dyDescent="0.2">
      <c r="A188" s="23" t="s">
        <v>311</v>
      </c>
      <c r="B188" s="23" t="s">
        <v>18</v>
      </c>
      <c r="C188" s="23" t="s">
        <v>109</v>
      </c>
      <c r="D188" s="23" t="s">
        <v>122</v>
      </c>
      <c r="E188" s="23" t="s">
        <v>1022</v>
      </c>
      <c r="F188" s="24">
        <v>46307.91128472222</v>
      </c>
      <c r="G188" s="23" t="s">
        <v>21</v>
      </c>
      <c r="H188" s="23" t="s">
        <v>1834</v>
      </c>
      <c r="I188" s="23">
        <v>350</v>
      </c>
      <c r="J188" s="23" t="s">
        <v>22</v>
      </c>
      <c r="K188" s="23" t="s">
        <v>23</v>
      </c>
      <c r="L188" s="23">
        <v>149</v>
      </c>
      <c r="M188" s="23" t="s">
        <v>753</v>
      </c>
      <c r="N188" s="24">
        <v>46307.921296296299</v>
      </c>
      <c r="O188" s="23">
        <v>288</v>
      </c>
      <c r="P188" s="23" t="s">
        <v>25</v>
      </c>
      <c r="Q188" s="23">
        <v>190</v>
      </c>
      <c r="R188" s="3" t="str">
        <f>IF(OR(G188="12R",G188="12L"),_xlfn.XLOOKUP(C188,Tabla42[ADEP],Tabla42[SID 12R],""),IF(OR(G188="30L",G188="30R"),_xlfn.XLOOKUP(C188,Tabla42[ADEP],Tabla42[SID 30L],""),""))</f>
        <v>TAKUX</v>
      </c>
      <c r="S188" s="3">
        <f t="shared" si="2"/>
        <v>21</v>
      </c>
      <c r="T188" s="3" t="str">
        <f>_xlfn.XLOOKUP(C188,Tabla42[ADEP],Tabla42[Sector],"")</f>
        <v>Sector 7</v>
      </c>
    </row>
    <row r="189" spans="1:20" x14ac:dyDescent="0.2">
      <c r="A189" s="23" t="s">
        <v>2309</v>
      </c>
      <c r="B189" s="23" t="s">
        <v>18</v>
      </c>
      <c r="C189" s="23" t="s">
        <v>47</v>
      </c>
      <c r="D189" s="23" t="s">
        <v>340</v>
      </c>
      <c r="E189" s="23" t="s">
        <v>702</v>
      </c>
      <c r="F189" s="24">
        <v>46307.913611111115</v>
      </c>
      <c r="G189" s="23" t="s">
        <v>21</v>
      </c>
      <c r="H189" s="23" t="s">
        <v>4341</v>
      </c>
      <c r="I189" s="23">
        <v>410</v>
      </c>
      <c r="J189" s="23" t="s">
        <v>22</v>
      </c>
      <c r="K189" s="23" t="s">
        <v>23</v>
      </c>
      <c r="L189" s="23">
        <v>132</v>
      </c>
      <c r="M189" s="23" t="s">
        <v>678</v>
      </c>
      <c r="N189" s="24">
        <v>46307.922835648147</v>
      </c>
      <c r="O189" s="23">
        <v>251</v>
      </c>
      <c r="P189" s="23" t="s">
        <v>40</v>
      </c>
      <c r="Q189" s="23">
        <v>190</v>
      </c>
      <c r="R189" s="3" t="str">
        <f>IF(OR(G189="12R",G189="12L"),_xlfn.XLOOKUP(C189,Tabla42[ADEP],Tabla42[SID 12R],""),IF(OR(G189="30L",G189="30R"),_xlfn.XLOOKUP(C189,Tabla42[ADEP],Tabla42[SID 30L],""),""))</f>
        <v>NUDAL</v>
      </c>
      <c r="S189" s="3">
        <f t="shared" si="2"/>
        <v>21</v>
      </c>
      <c r="T189" s="3" t="str">
        <f>_xlfn.XLOOKUP(C189,Tabla42[ADEP],Tabla42[Sector],"")</f>
        <v>Sector 3</v>
      </c>
    </row>
    <row r="190" spans="1:20" x14ac:dyDescent="0.2">
      <c r="A190" s="23" t="s">
        <v>313</v>
      </c>
      <c r="B190" s="23" t="s">
        <v>18</v>
      </c>
      <c r="C190" s="23" t="s">
        <v>73</v>
      </c>
      <c r="D190" s="23" t="s">
        <v>33</v>
      </c>
      <c r="E190" s="23" t="s">
        <v>368</v>
      </c>
      <c r="F190" s="24">
        <v>46307.916655092595</v>
      </c>
      <c r="G190" s="23" t="s">
        <v>21</v>
      </c>
      <c r="H190" s="23" t="s">
        <v>4342</v>
      </c>
      <c r="I190" s="23">
        <v>380</v>
      </c>
      <c r="J190" s="23" t="s">
        <v>22</v>
      </c>
      <c r="K190" s="23" t="s">
        <v>23</v>
      </c>
      <c r="L190" s="23">
        <v>732</v>
      </c>
      <c r="M190" s="23" t="s">
        <v>73</v>
      </c>
      <c r="N190" s="24">
        <v>46307.962916666664</v>
      </c>
      <c r="O190" s="23">
        <v>0</v>
      </c>
      <c r="P190" s="23" t="s">
        <v>25</v>
      </c>
      <c r="Q190" s="23">
        <v>190</v>
      </c>
      <c r="R190" s="3" t="str">
        <f>IF(OR(G190="12R",G190="12L"),_xlfn.XLOOKUP(C190,Tabla42[ADEP],Tabla42[SID 12R],""),IF(OR(G190="30L",G190="30R"),_xlfn.XLOOKUP(C190,Tabla42[ADEP],Tabla42[SID 30L],""),""))</f>
        <v>UDGUV</v>
      </c>
      <c r="S190" s="3">
        <f t="shared" si="2"/>
        <v>21</v>
      </c>
      <c r="T190" s="3" t="str">
        <f>_xlfn.XLOOKUP(C190,Tabla42[ADEP],Tabla42[Sector],"")</f>
        <v>Sector 2</v>
      </c>
    </row>
    <row r="191" spans="1:20" x14ac:dyDescent="0.2">
      <c r="A191" s="23" t="s">
        <v>312</v>
      </c>
      <c r="B191" s="23" t="s">
        <v>18</v>
      </c>
      <c r="C191" s="23" t="s">
        <v>204</v>
      </c>
      <c r="D191" s="23" t="s">
        <v>33</v>
      </c>
      <c r="E191" s="23" t="s">
        <v>4343</v>
      </c>
      <c r="F191" s="24">
        <v>46307.923726851855</v>
      </c>
      <c r="G191" s="23" t="s">
        <v>21</v>
      </c>
      <c r="H191" s="23" t="s">
        <v>4344</v>
      </c>
      <c r="I191" s="23">
        <v>330</v>
      </c>
      <c r="J191" s="23" t="s">
        <v>22</v>
      </c>
      <c r="K191" s="23" t="s">
        <v>23</v>
      </c>
      <c r="L191" s="23">
        <v>147</v>
      </c>
      <c r="M191" s="23" t="s">
        <v>753</v>
      </c>
      <c r="N191" s="24">
        <v>46307.933692129627</v>
      </c>
      <c r="O191" s="23">
        <v>239</v>
      </c>
      <c r="P191" s="23" t="s">
        <v>25</v>
      </c>
      <c r="Q191" s="23">
        <v>190</v>
      </c>
      <c r="R191" s="3" t="str">
        <f>IF(OR(G191="12R",G191="12L"),_xlfn.XLOOKUP(C191,Tabla42[ADEP],Tabla42[SID 12R],""),IF(OR(G191="30L",G191="30R"),_xlfn.XLOOKUP(C191,Tabla42[ADEP],Tabla42[SID 30L],""),""))</f>
        <v>TAKUX</v>
      </c>
      <c r="S191" s="3">
        <f t="shared" si="2"/>
        <v>22</v>
      </c>
      <c r="T191" s="3" t="str">
        <f>_xlfn.XLOOKUP(C191,Tabla42[ADEP],Tabla42[Sector],"")</f>
        <v>Sector 7</v>
      </c>
    </row>
    <row r="192" spans="1:20" x14ac:dyDescent="0.2">
      <c r="A192" s="23" t="s">
        <v>4345</v>
      </c>
      <c r="B192" s="23" t="s">
        <v>18</v>
      </c>
      <c r="C192" s="23" t="s">
        <v>303</v>
      </c>
      <c r="D192" s="23" t="s">
        <v>28</v>
      </c>
      <c r="E192" s="23" t="s">
        <v>2863</v>
      </c>
      <c r="F192" s="24">
        <v>46307.924803240741</v>
      </c>
      <c r="G192" s="23" t="s">
        <v>21</v>
      </c>
      <c r="H192" s="23" t="s">
        <v>4346</v>
      </c>
      <c r="I192" s="23">
        <v>360</v>
      </c>
      <c r="J192" s="23" t="s">
        <v>22</v>
      </c>
      <c r="K192" s="23" t="s">
        <v>23</v>
      </c>
      <c r="L192" s="23">
        <v>538</v>
      </c>
      <c r="M192" s="23" t="s">
        <v>123</v>
      </c>
      <c r="N192" s="24">
        <v>46307.954837962963</v>
      </c>
      <c r="O192" s="23">
        <v>360</v>
      </c>
      <c r="P192" s="23" t="s">
        <v>25</v>
      </c>
      <c r="Q192" s="23">
        <v>40</v>
      </c>
      <c r="R192" s="3" t="str">
        <f>IF(OR(G192="12R",G192="12L"),_xlfn.XLOOKUP(C192,Tabla42[ADEP],Tabla42[SID 12R],""),IF(OR(G192="30L",G192="30R"),_xlfn.XLOOKUP(C192,Tabla42[ADEP],Tabla42[SID 30L],""),""))</f>
        <v>OMSUK</v>
      </c>
      <c r="S192" s="3">
        <f t="shared" si="2"/>
        <v>22</v>
      </c>
      <c r="T192" s="3" t="str">
        <f>_xlfn.XLOOKUP(C192,Tabla42[ADEP],Tabla42[Sector],"")</f>
        <v>Sector 3</v>
      </c>
    </row>
    <row r="193" spans="1:20" x14ac:dyDescent="0.2">
      <c r="A193" s="23" t="s">
        <v>2580</v>
      </c>
      <c r="B193" s="23" t="s">
        <v>18</v>
      </c>
      <c r="C193" s="23" t="s">
        <v>116</v>
      </c>
      <c r="D193" s="23" t="s">
        <v>520</v>
      </c>
      <c r="E193" s="23"/>
      <c r="F193" s="24">
        <v>46307.926157407404</v>
      </c>
      <c r="G193" s="23" t="s">
        <v>21</v>
      </c>
      <c r="H193" s="23" t="s">
        <v>4347</v>
      </c>
      <c r="I193" s="23">
        <v>430</v>
      </c>
      <c r="J193" s="23" t="s">
        <v>22</v>
      </c>
      <c r="K193" s="23" t="s">
        <v>50</v>
      </c>
      <c r="L193" s="23">
        <v>530</v>
      </c>
      <c r="M193" s="23" t="s">
        <v>123</v>
      </c>
      <c r="N193" s="24">
        <v>46307.955960648149</v>
      </c>
      <c r="O193" s="23">
        <v>430</v>
      </c>
      <c r="P193" s="23" t="s">
        <v>25</v>
      </c>
      <c r="Q193" s="23">
        <v>40</v>
      </c>
      <c r="R193" s="3" t="str">
        <f>IF(OR(G193="12R",G193="12L"),_xlfn.XLOOKUP(C193,Tabla42[ADEP],Tabla42[SID 12R],""),IF(OR(G193="30L",G193="30R"),_xlfn.XLOOKUP(C193,Tabla42[ADEP],Tabla42[SID 30L],""),""))</f>
        <v>ENEBA</v>
      </c>
      <c r="S193" s="3">
        <f t="shared" si="2"/>
        <v>22</v>
      </c>
      <c r="T193" s="3" t="str">
        <f>_xlfn.XLOOKUP(C193,Tabla42[ADEP],Tabla42[Sector],"")</f>
        <v>Sector 3</v>
      </c>
    </row>
    <row r="194" spans="1:20" x14ac:dyDescent="0.2">
      <c r="A194" s="23" t="s">
        <v>765</v>
      </c>
      <c r="B194" s="23" t="s">
        <v>18</v>
      </c>
      <c r="C194" s="23" t="s">
        <v>158</v>
      </c>
      <c r="D194" s="23" t="s">
        <v>60</v>
      </c>
      <c r="E194" s="23" t="s">
        <v>4348</v>
      </c>
      <c r="F194" s="24">
        <v>46307.929814814815</v>
      </c>
      <c r="G194" s="23" t="s">
        <v>21</v>
      </c>
      <c r="H194" s="23" t="s">
        <v>4349</v>
      </c>
      <c r="I194" s="23">
        <v>350</v>
      </c>
      <c r="J194" s="23" t="s">
        <v>22</v>
      </c>
      <c r="K194" s="23" t="s">
        <v>23</v>
      </c>
      <c r="L194" s="23">
        <v>134</v>
      </c>
      <c r="M194" s="23" t="s">
        <v>68</v>
      </c>
      <c r="N194" s="24">
        <v>46307.939259259256</v>
      </c>
      <c r="O194" s="23">
        <v>214</v>
      </c>
      <c r="P194" s="23" t="s">
        <v>25</v>
      </c>
      <c r="Q194" s="23">
        <v>190</v>
      </c>
      <c r="R194" s="3" t="str">
        <f>IF(OR(G194="12R",G194="12L"),_xlfn.XLOOKUP(C194,Tabla42[ADEP],Tabla42[SID 12R],""),IF(OR(G194="30L",G194="30R"),_xlfn.XLOOKUP(C194,Tabla42[ADEP],Tabla42[SID 30L],""),""))</f>
        <v>OMSUK</v>
      </c>
      <c r="S194" s="3">
        <f t="shared" si="2"/>
        <v>22</v>
      </c>
      <c r="T194" s="3" t="str">
        <f>_xlfn.XLOOKUP(C194,Tabla42[ADEP],Tabla42[Sector],"")</f>
        <v>Sector 3</v>
      </c>
    </row>
    <row r="195" spans="1:20" x14ac:dyDescent="0.2">
      <c r="A195" s="23" t="s">
        <v>409</v>
      </c>
      <c r="B195" s="23" t="s">
        <v>18</v>
      </c>
      <c r="C195" s="23" t="s">
        <v>254</v>
      </c>
      <c r="D195" s="23" t="s">
        <v>53</v>
      </c>
      <c r="E195" s="23" t="s">
        <v>2564</v>
      </c>
      <c r="F195" s="24">
        <v>46307.935162037036</v>
      </c>
      <c r="G195" s="23" t="s">
        <v>21</v>
      </c>
      <c r="H195" s="23" t="s">
        <v>4350</v>
      </c>
      <c r="I195" s="23">
        <v>380</v>
      </c>
      <c r="J195" s="23" t="s">
        <v>22</v>
      </c>
      <c r="K195" s="23" t="s">
        <v>23</v>
      </c>
      <c r="L195" s="23">
        <v>885</v>
      </c>
      <c r="M195" s="23" t="s">
        <v>35</v>
      </c>
      <c r="N195" s="24">
        <v>46307.980034722219</v>
      </c>
      <c r="O195" s="23">
        <v>380</v>
      </c>
      <c r="P195" s="23" t="s">
        <v>25</v>
      </c>
      <c r="Q195" s="23">
        <v>190</v>
      </c>
      <c r="R195" s="3" t="str">
        <f>IF(OR(G195="12R",G195="12L"),_xlfn.XLOOKUP(C195,Tabla42[ADEP],Tabla42[SID 12R],""),IF(OR(G195="30L",G195="30R"),_xlfn.XLOOKUP(C195,Tabla42[ADEP],Tabla42[SID 30L],""),""))</f>
        <v>UDGUV</v>
      </c>
      <c r="S195" s="3">
        <f t="shared" ref="S195:S220" si="3">HOUR(F195)</f>
        <v>22</v>
      </c>
      <c r="T195" s="3" t="str">
        <f>_xlfn.XLOOKUP(C195,Tabla42[ADEP],Tabla42[Sector],"")</f>
        <v>Sector 2</v>
      </c>
    </row>
    <row r="196" spans="1:20" x14ac:dyDescent="0.2">
      <c r="A196" s="23" t="s">
        <v>328</v>
      </c>
      <c r="B196" s="23" t="s">
        <v>18</v>
      </c>
      <c r="C196" s="23" t="s">
        <v>42</v>
      </c>
      <c r="D196" s="23" t="s">
        <v>43</v>
      </c>
      <c r="E196" s="23" t="s">
        <v>2727</v>
      </c>
      <c r="F196" s="24">
        <v>46307.940162037034</v>
      </c>
      <c r="G196" s="23" t="s">
        <v>21</v>
      </c>
      <c r="H196" s="23" t="s">
        <v>4351</v>
      </c>
      <c r="I196" s="23">
        <v>360</v>
      </c>
      <c r="J196" s="23" t="s">
        <v>22</v>
      </c>
      <c r="K196" s="23" t="s">
        <v>23</v>
      </c>
      <c r="L196" s="23">
        <v>859</v>
      </c>
      <c r="M196" s="23" t="s">
        <v>45</v>
      </c>
      <c r="N196" s="24">
        <v>46307.984988425924</v>
      </c>
      <c r="O196" s="23">
        <v>360</v>
      </c>
      <c r="P196" s="23" t="s">
        <v>25</v>
      </c>
      <c r="Q196" s="23">
        <v>190</v>
      </c>
      <c r="R196" s="3" t="str">
        <f>IF(OR(G196="12R",G196="12L"),_xlfn.XLOOKUP(C196,Tabla42[ADEP],Tabla42[SID 12R],""),IF(OR(G196="30L",G196="30R"),_xlfn.XLOOKUP(C196,Tabla42[ADEP],Tabla42[SID 30L],""),""))</f>
        <v>UDGUV</v>
      </c>
      <c r="S196" s="3">
        <f t="shared" si="3"/>
        <v>22</v>
      </c>
      <c r="T196" s="3" t="str">
        <f>_xlfn.XLOOKUP(C196,Tabla42[ADEP],Tabla42[Sector],"")</f>
        <v>Sector 2</v>
      </c>
    </row>
    <row r="197" spans="1:20" x14ac:dyDescent="0.2">
      <c r="A197" s="23" t="s">
        <v>318</v>
      </c>
      <c r="B197" s="23" t="s">
        <v>18</v>
      </c>
      <c r="C197" s="23" t="s">
        <v>116</v>
      </c>
      <c r="D197" s="23" t="s">
        <v>43</v>
      </c>
      <c r="E197" s="23" t="s">
        <v>4352</v>
      </c>
      <c r="F197" s="24">
        <v>46307.941423611112</v>
      </c>
      <c r="G197" s="23" t="s">
        <v>21</v>
      </c>
      <c r="H197" s="23" t="s">
        <v>4353</v>
      </c>
      <c r="I197" s="23">
        <v>340</v>
      </c>
      <c r="J197" s="23" t="s">
        <v>22</v>
      </c>
      <c r="K197" s="23" t="s">
        <v>23</v>
      </c>
      <c r="L197" s="23">
        <v>546</v>
      </c>
      <c r="M197" s="23" t="s">
        <v>123</v>
      </c>
      <c r="N197" s="24">
        <v>46307.971030092594</v>
      </c>
      <c r="O197" s="23">
        <v>340</v>
      </c>
      <c r="P197" s="23" t="s">
        <v>25</v>
      </c>
      <c r="Q197" s="23">
        <v>40</v>
      </c>
      <c r="R197" s="3" t="str">
        <f>IF(OR(G197="12R",G197="12L"),_xlfn.XLOOKUP(C197,Tabla42[ADEP],Tabla42[SID 12R],""),IF(OR(G197="30L",G197="30R"),_xlfn.XLOOKUP(C197,Tabla42[ADEP],Tabla42[SID 30L],""),""))</f>
        <v>ENEBA</v>
      </c>
      <c r="S197" s="3">
        <f t="shared" si="3"/>
        <v>22</v>
      </c>
      <c r="T197" s="3" t="str">
        <f>_xlfn.XLOOKUP(C197,Tabla42[ADEP],Tabla42[Sector],"")</f>
        <v>Sector 3</v>
      </c>
    </row>
    <row r="198" spans="1:20" x14ac:dyDescent="0.2">
      <c r="A198" s="23" t="s">
        <v>4354</v>
      </c>
      <c r="B198" s="23" t="s">
        <v>18</v>
      </c>
      <c r="C198" s="23" t="s">
        <v>800</v>
      </c>
      <c r="D198" s="23" t="s">
        <v>2969</v>
      </c>
      <c r="E198" s="23" t="s">
        <v>2970</v>
      </c>
      <c r="F198" s="24">
        <v>46307.943344907406</v>
      </c>
      <c r="G198" s="23" t="s">
        <v>21</v>
      </c>
      <c r="H198" s="23" t="s">
        <v>4355</v>
      </c>
      <c r="I198" s="23">
        <v>410</v>
      </c>
      <c r="J198" s="23" t="s">
        <v>22</v>
      </c>
      <c r="K198" s="23" t="s">
        <v>50</v>
      </c>
      <c r="L198" s="23">
        <v>137</v>
      </c>
      <c r="M198" s="23" t="s">
        <v>4356</v>
      </c>
      <c r="N198" s="24">
        <v>46307.952025462961</v>
      </c>
      <c r="O198" s="23">
        <v>287</v>
      </c>
      <c r="P198" s="23" t="s">
        <v>25</v>
      </c>
      <c r="Q198" s="23">
        <v>30</v>
      </c>
      <c r="R198" s="3" t="str">
        <f>IF(OR(G198="12R",G198="12L"),_xlfn.XLOOKUP(C198,Tabla42[ADEP],Tabla42[SID 12R],""),IF(OR(G198="30L",G198="30R"),_xlfn.XLOOKUP(C198,Tabla42[ADEP],Tabla42[SID 30L],""),""))</f>
        <v>NUDAL</v>
      </c>
      <c r="S198" s="3">
        <f t="shared" si="3"/>
        <v>22</v>
      </c>
      <c r="T198" s="3" t="str">
        <f>_xlfn.XLOOKUP(C198,Tabla42[ADEP],Tabla42[Sector],"")</f>
        <v>Sector 3</v>
      </c>
    </row>
    <row r="199" spans="1:20" x14ac:dyDescent="0.2">
      <c r="A199" s="23" t="s">
        <v>2312</v>
      </c>
      <c r="B199" s="23" t="s">
        <v>18</v>
      </c>
      <c r="C199" s="23" t="s">
        <v>396</v>
      </c>
      <c r="D199" s="23" t="s">
        <v>397</v>
      </c>
      <c r="E199" s="23" t="s">
        <v>512</v>
      </c>
      <c r="F199" s="24">
        <v>46307.944884259261</v>
      </c>
      <c r="G199" s="23" t="s">
        <v>21</v>
      </c>
      <c r="H199" s="23" t="s">
        <v>4357</v>
      </c>
      <c r="I199" s="23">
        <v>310</v>
      </c>
      <c r="J199" s="23" t="s">
        <v>22</v>
      </c>
      <c r="K199" s="23" t="s">
        <v>23</v>
      </c>
      <c r="L199" s="23">
        <v>151</v>
      </c>
      <c r="M199" s="23" t="s">
        <v>111</v>
      </c>
      <c r="N199" s="24">
        <v>46307.95453703704</v>
      </c>
      <c r="O199" s="23">
        <v>247</v>
      </c>
      <c r="P199" s="23" t="s">
        <v>40</v>
      </c>
      <c r="Q199" s="23">
        <v>190</v>
      </c>
      <c r="R199" s="3" t="str">
        <f>IF(OR(G199="12R",G199="12L"),_xlfn.XLOOKUP(C199,Tabla42[ADEP],Tabla42[SID 12R],""),IF(OR(G199="30L",G199="30R"),_xlfn.XLOOKUP(C199,Tabla42[ADEP],Tabla42[SID 30L],""),""))</f>
        <v>CZM</v>
      </c>
      <c r="S199" s="3">
        <f t="shared" si="3"/>
        <v>22</v>
      </c>
      <c r="T199" s="3" t="str">
        <f>_xlfn.XLOOKUP(C199,Tabla42[ADEP],Tabla42[Sector],"")</f>
        <v>Sector 7</v>
      </c>
    </row>
    <row r="200" spans="1:20" x14ac:dyDescent="0.2">
      <c r="A200" s="23" t="s">
        <v>319</v>
      </c>
      <c r="B200" s="23" t="s">
        <v>18</v>
      </c>
      <c r="C200" s="23" t="s">
        <v>320</v>
      </c>
      <c r="D200" s="23" t="s">
        <v>53</v>
      </c>
      <c r="E200" s="23" t="s">
        <v>603</v>
      </c>
      <c r="F200" s="24">
        <v>46307.946469907409</v>
      </c>
      <c r="G200" s="23" t="s">
        <v>21</v>
      </c>
      <c r="H200" s="23" t="s">
        <v>4358</v>
      </c>
      <c r="I200" s="23">
        <v>380</v>
      </c>
      <c r="J200" s="23" t="s">
        <v>22</v>
      </c>
      <c r="K200" s="23" t="s">
        <v>23</v>
      </c>
      <c r="L200" s="23">
        <v>867</v>
      </c>
      <c r="M200" s="23" t="s">
        <v>636</v>
      </c>
      <c r="N200" s="24">
        <v>46307.991956018515</v>
      </c>
      <c r="O200" s="23">
        <v>380</v>
      </c>
      <c r="P200" s="23" t="s">
        <v>25</v>
      </c>
      <c r="Q200" s="23">
        <v>190</v>
      </c>
      <c r="R200" s="3" t="str">
        <f>IF(OR(G200="12R",G200="12L"),_xlfn.XLOOKUP(C200,Tabla42[ADEP],Tabla42[SID 12R],""),IF(OR(G200="30L",G200="30R"),_xlfn.XLOOKUP(C200,Tabla42[ADEP],Tabla42[SID 30L],""),""))</f>
        <v>UDGUV</v>
      </c>
      <c r="S200" s="3">
        <f t="shared" si="3"/>
        <v>22</v>
      </c>
      <c r="T200" s="3" t="str">
        <f>_xlfn.XLOOKUP(C200,Tabla42[ADEP],Tabla42[Sector],"")</f>
        <v>Sector 2</v>
      </c>
    </row>
    <row r="201" spans="1:20" x14ac:dyDescent="0.2">
      <c r="A201" s="23" t="s">
        <v>291</v>
      </c>
      <c r="B201" s="23" t="s">
        <v>18</v>
      </c>
      <c r="C201" s="23" t="s">
        <v>209</v>
      </c>
      <c r="D201" s="23" t="s">
        <v>110</v>
      </c>
      <c r="E201" s="23" t="s">
        <v>4359</v>
      </c>
      <c r="F201" s="24">
        <v>46307.9528587963</v>
      </c>
      <c r="G201" s="23" t="s">
        <v>21</v>
      </c>
      <c r="H201" s="23" t="s">
        <v>4360</v>
      </c>
      <c r="I201" s="23">
        <v>400</v>
      </c>
      <c r="J201" s="23" t="s">
        <v>22</v>
      </c>
      <c r="K201" s="23" t="s">
        <v>23</v>
      </c>
      <c r="L201" s="23">
        <v>553</v>
      </c>
      <c r="M201" s="23" t="s">
        <v>123</v>
      </c>
      <c r="N201" s="24">
        <v>46307.982662037037</v>
      </c>
      <c r="O201" s="23">
        <v>400</v>
      </c>
      <c r="P201" s="23" t="s">
        <v>25</v>
      </c>
      <c r="Q201" s="23">
        <v>40</v>
      </c>
      <c r="R201" s="3" t="str">
        <f>IF(OR(G201="12R",G201="12L"),_xlfn.XLOOKUP(C201,Tabla42[ADEP],Tabla42[SID 12R],""),IF(OR(G201="30L",G201="30R"),_xlfn.XLOOKUP(C201,Tabla42[ADEP],Tabla42[SID 30L],""),""))</f>
        <v>ENEBA</v>
      </c>
      <c r="S201" s="3">
        <f t="shared" si="3"/>
        <v>22</v>
      </c>
      <c r="T201" s="3" t="str">
        <f>_xlfn.XLOOKUP(C201,Tabla42[ADEP],Tabla42[Sector],"")</f>
        <v>Sector 3</v>
      </c>
    </row>
    <row r="202" spans="1:20" x14ac:dyDescent="0.2">
      <c r="A202" s="23" t="s">
        <v>324</v>
      </c>
      <c r="B202" s="23" t="s">
        <v>18</v>
      </c>
      <c r="C202" s="23" t="s">
        <v>206</v>
      </c>
      <c r="D202" s="23" t="s">
        <v>53</v>
      </c>
      <c r="E202" s="23" t="s">
        <v>956</v>
      </c>
      <c r="F202" s="24">
        <v>46307.955312500002</v>
      </c>
      <c r="G202" s="23" t="s">
        <v>21</v>
      </c>
      <c r="H202" s="23" t="s">
        <v>4361</v>
      </c>
      <c r="I202" s="23">
        <v>380</v>
      </c>
      <c r="J202" s="23" t="s">
        <v>22</v>
      </c>
      <c r="K202" s="23" t="s">
        <v>23</v>
      </c>
      <c r="L202" s="23">
        <v>861</v>
      </c>
      <c r="M202" s="23" t="s">
        <v>4065</v>
      </c>
      <c r="N202" s="24">
        <v>46307.998287037037</v>
      </c>
      <c r="O202" s="23">
        <v>380</v>
      </c>
      <c r="P202" s="23" t="s">
        <v>25</v>
      </c>
      <c r="Q202" s="23">
        <v>190</v>
      </c>
      <c r="R202" s="3" t="str">
        <f>IF(OR(G202="12R",G202="12L"),_xlfn.XLOOKUP(C202,Tabla42[ADEP],Tabla42[SID 12R],""),IF(OR(G202="30L",G202="30R"),_xlfn.XLOOKUP(C202,Tabla42[ADEP],Tabla42[SID 30L],""),""))</f>
        <v>UDGUV</v>
      </c>
      <c r="S202" s="3">
        <f t="shared" si="3"/>
        <v>22</v>
      </c>
      <c r="T202" s="3" t="str">
        <f>_xlfn.XLOOKUP(C202,Tabla42[ADEP],Tabla42[Sector],"")</f>
        <v>Sector 2</v>
      </c>
    </row>
    <row r="203" spans="1:20" x14ac:dyDescent="0.2">
      <c r="A203" s="23" t="s">
        <v>315</v>
      </c>
      <c r="B203" s="23" t="s">
        <v>18</v>
      </c>
      <c r="C203" s="23" t="s">
        <v>96</v>
      </c>
      <c r="D203" s="23" t="s">
        <v>60</v>
      </c>
      <c r="E203" s="23" t="s">
        <v>2648</v>
      </c>
      <c r="F203" s="24">
        <v>46307.960972222223</v>
      </c>
      <c r="G203" s="23" t="s">
        <v>21</v>
      </c>
      <c r="H203" s="23" t="s">
        <v>4362</v>
      </c>
      <c r="I203" s="23">
        <v>340</v>
      </c>
      <c r="J203" s="23" t="s">
        <v>22</v>
      </c>
      <c r="K203" s="23" t="s">
        <v>141</v>
      </c>
      <c r="L203" s="23">
        <v>861</v>
      </c>
      <c r="M203" s="23" t="s">
        <v>420</v>
      </c>
      <c r="N203" s="24">
        <v>46308.005381944444</v>
      </c>
      <c r="O203" s="23">
        <v>340</v>
      </c>
      <c r="P203" s="23" t="s">
        <v>25</v>
      </c>
      <c r="Q203" s="23">
        <v>190</v>
      </c>
      <c r="R203" s="3" t="str">
        <f>IF(OR(G203="12R",G203="12L"),_xlfn.XLOOKUP(C203,Tabla42[ADEP],Tabla42[SID 12R],""),IF(OR(G203="30L",G203="30R"),_xlfn.XLOOKUP(C203,Tabla42[ADEP],Tabla42[SID 30L],""),""))</f>
        <v>UDGUV</v>
      </c>
      <c r="S203" s="3">
        <f t="shared" si="3"/>
        <v>23</v>
      </c>
      <c r="T203" s="3" t="str">
        <f>_xlfn.XLOOKUP(C203,Tabla42[ADEP],Tabla42[Sector],"")</f>
        <v>Sector 2</v>
      </c>
    </row>
    <row r="204" spans="1:20" x14ac:dyDescent="0.2">
      <c r="A204" s="23" t="s">
        <v>330</v>
      </c>
      <c r="B204" s="23" t="s">
        <v>18</v>
      </c>
      <c r="C204" s="23" t="s">
        <v>62</v>
      </c>
      <c r="D204" s="23" t="s">
        <v>53</v>
      </c>
      <c r="E204" s="23" t="s">
        <v>433</v>
      </c>
      <c r="F204" s="24">
        <v>46307.96298611111</v>
      </c>
      <c r="G204" s="23" t="s">
        <v>21</v>
      </c>
      <c r="H204" s="23" t="s">
        <v>4363</v>
      </c>
      <c r="I204" s="23">
        <v>380</v>
      </c>
      <c r="J204" s="23" t="s">
        <v>22</v>
      </c>
      <c r="K204" s="23" t="s">
        <v>23</v>
      </c>
      <c r="L204" s="23">
        <v>863</v>
      </c>
      <c r="M204" s="23" t="s">
        <v>77</v>
      </c>
      <c r="N204" s="24">
        <v>46308.007025462961</v>
      </c>
      <c r="O204" s="23">
        <v>380</v>
      </c>
      <c r="P204" s="23" t="s">
        <v>25</v>
      </c>
      <c r="Q204" s="23">
        <v>190</v>
      </c>
      <c r="R204" s="3" t="str">
        <f>IF(OR(G204="12R",G204="12L"),_xlfn.XLOOKUP(C204,Tabla42[ADEP],Tabla42[SID 12R],""),IF(OR(G204="30L",G204="30R"),_xlfn.XLOOKUP(C204,Tabla42[ADEP],Tabla42[SID 30L],""),""))</f>
        <v>UDGUV</v>
      </c>
      <c r="S204" s="3">
        <f t="shared" si="3"/>
        <v>23</v>
      </c>
      <c r="T204" s="3" t="str">
        <f>_xlfn.XLOOKUP(C204,Tabla42[ADEP],Tabla42[Sector],"")</f>
        <v>Sector 2</v>
      </c>
    </row>
    <row r="205" spans="1:20" x14ac:dyDescent="0.2">
      <c r="A205" s="23" t="s">
        <v>332</v>
      </c>
      <c r="B205" s="23" t="s">
        <v>18</v>
      </c>
      <c r="C205" s="23" t="s">
        <v>257</v>
      </c>
      <c r="D205" s="23" t="s">
        <v>122</v>
      </c>
      <c r="E205" s="23" t="s">
        <v>4364</v>
      </c>
      <c r="F205" s="24">
        <v>46307.966053240743</v>
      </c>
      <c r="G205" s="23" t="s">
        <v>21</v>
      </c>
      <c r="H205" s="23" t="s">
        <v>4365</v>
      </c>
      <c r="I205" s="23">
        <v>340</v>
      </c>
      <c r="J205" s="23" t="s">
        <v>22</v>
      </c>
      <c r="K205" s="23" t="s">
        <v>23</v>
      </c>
      <c r="L205" s="23">
        <v>867</v>
      </c>
      <c r="M205" s="23" t="s">
        <v>35</v>
      </c>
      <c r="N205" s="24">
        <v>46308.008900462963</v>
      </c>
      <c r="O205" s="23">
        <v>340</v>
      </c>
      <c r="P205" s="23" t="s">
        <v>25</v>
      </c>
      <c r="Q205" s="23">
        <v>190</v>
      </c>
      <c r="R205" s="3" t="str">
        <f>IF(OR(G205="12R",G205="12L"),_xlfn.XLOOKUP(C205,Tabla42[ADEP],Tabla42[SID 12R],""),IF(OR(G205="30L",G205="30R"),_xlfn.XLOOKUP(C205,Tabla42[ADEP],Tabla42[SID 30L],""),""))</f>
        <v>UDGUV</v>
      </c>
      <c r="S205" s="3">
        <f t="shared" si="3"/>
        <v>23</v>
      </c>
      <c r="T205" s="3" t="str">
        <f>_xlfn.XLOOKUP(C205,Tabla42[ADEP],Tabla42[Sector],"")</f>
        <v>Sector 2</v>
      </c>
    </row>
    <row r="206" spans="1:20" x14ac:dyDescent="0.2">
      <c r="A206" s="23" t="s">
        <v>333</v>
      </c>
      <c r="B206" s="23" t="s">
        <v>18</v>
      </c>
      <c r="C206" s="23" t="s">
        <v>204</v>
      </c>
      <c r="D206" s="23" t="s">
        <v>33</v>
      </c>
      <c r="E206" s="23" t="s">
        <v>747</v>
      </c>
      <c r="F206" s="24">
        <v>46307.974085648151</v>
      </c>
      <c r="G206" s="23" t="s">
        <v>21</v>
      </c>
      <c r="H206" s="23" t="s">
        <v>4366</v>
      </c>
      <c r="I206" s="23">
        <v>350</v>
      </c>
      <c r="J206" s="23" t="s">
        <v>22</v>
      </c>
      <c r="K206" s="23" t="s">
        <v>23</v>
      </c>
      <c r="L206" s="23">
        <v>150</v>
      </c>
      <c r="M206" s="23" t="s">
        <v>111</v>
      </c>
      <c r="N206" s="24">
        <v>46307.984363425923</v>
      </c>
      <c r="O206" s="23">
        <v>245</v>
      </c>
      <c r="P206" s="23" t="s">
        <v>25</v>
      </c>
      <c r="Q206" s="23">
        <v>190</v>
      </c>
      <c r="R206" s="3" t="str">
        <f>IF(OR(G206="12R",G206="12L"),_xlfn.XLOOKUP(C206,Tabla42[ADEP],Tabla42[SID 12R],""),IF(OR(G206="30L",G206="30R"),_xlfn.XLOOKUP(C206,Tabla42[ADEP],Tabla42[SID 30L],""),""))</f>
        <v>TAKUX</v>
      </c>
      <c r="S206" s="3">
        <f t="shared" si="3"/>
        <v>23</v>
      </c>
      <c r="T206" s="3" t="str">
        <f>_xlfn.XLOOKUP(C206,Tabla42[ADEP],Tabla42[Sector],"")</f>
        <v>Sector 7</v>
      </c>
    </row>
    <row r="207" spans="1:20" x14ac:dyDescent="0.2">
      <c r="A207" s="23" t="s">
        <v>405</v>
      </c>
      <c r="B207" s="23" t="s">
        <v>18</v>
      </c>
      <c r="C207" s="23" t="s">
        <v>195</v>
      </c>
      <c r="D207" s="23" t="s">
        <v>28</v>
      </c>
      <c r="E207" s="23" t="s">
        <v>2466</v>
      </c>
      <c r="F207" s="24">
        <v>46307.98846064815</v>
      </c>
      <c r="G207" s="23" t="s">
        <v>21</v>
      </c>
      <c r="H207" s="23" t="s">
        <v>4367</v>
      </c>
      <c r="I207" s="23">
        <v>370</v>
      </c>
      <c r="J207" s="23" t="s">
        <v>22</v>
      </c>
      <c r="K207" s="23" t="s">
        <v>23</v>
      </c>
      <c r="L207" s="23">
        <v>153</v>
      </c>
      <c r="M207" s="23" t="s">
        <v>111</v>
      </c>
      <c r="N207" s="24">
        <v>46307.998854166668</v>
      </c>
      <c r="O207" s="23">
        <v>242</v>
      </c>
      <c r="P207" s="23" t="s">
        <v>25</v>
      </c>
      <c r="Q207" s="23">
        <v>190</v>
      </c>
      <c r="R207" s="3" t="str">
        <f>IF(OR(G207="12R",G207="12L"),_xlfn.XLOOKUP(C207,Tabla42[ADEP],Tabla42[SID 12R],""),IF(OR(G207="30L",G207="30R"),_xlfn.XLOOKUP(C207,Tabla42[ADEP],Tabla42[SID 30L],""),""))</f>
        <v>HECAT</v>
      </c>
      <c r="S207" s="3">
        <f t="shared" si="3"/>
        <v>23</v>
      </c>
      <c r="T207" s="3" t="str">
        <f>_xlfn.XLOOKUP(C207,Tabla42[ADEP],Tabla42[Sector],"")</f>
        <v>Sector 7</v>
      </c>
    </row>
    <row r="208" spans="1:20" ht="16" customHeight="1" x14ac:dyDescent="0.2">
      <c r="A208" s="23" t="s">
        <v>334</v>
      </c>
      <c r="B208" s="23" t="s">
        <v>18</v>
      </c>
      <c r="C208" s="23" t="s">
        <v>42</v>
      </c>
      <c r="D208" s="23" t="s">
        <v>122</v>
      </c>
      <c r="E208" s="23" t="s">
        <v>2979</v>
      </c>
      <c r="F208" s="24">
        <v>46307.989895833336</v>
      </c>
      <c r="G208" s="23" t="s">
        <v>21</v>
      </c>
      <c r="H208" s="23" t="s">
        <v>4368</v>
      </c>
      <c r="I208" s="23">
        <v>380</v>
      </c>
      <c r="J208" s="23" t="s">
        <v>22</v>
      </c>
      <c r="K208" s="23" t="s">
        <v>23</v>
      </c>
      <c r="L208" s="23">
        <v>884</v>
      </c>
      <c r="M208" s="23" t="s">
        <v>4369</v>
      </c>
      <c r="N208" s="24">
        <v>46308.03670138889</v>
      </c>
      <c r="O208" s="23">
        <v>380</v>
      </c>
      <c r="P208" s="23" t="s">
        <v>25</v>
      </c>
      <c r="Q208" s="23">
        <v>190</v>
      </c>
      <c r="R208" s="3" t="str">
        <f>IF(OR(G208="12R",G208="12L"),_xlfn.XLOOKUP(C208,Tabla42[ADEP],Tabla42[SID 12R],""),IF(OR(G208="30L",G208="30R"),_xlfn.XLOOKUP(C208,Tabla42[ADEP],Tabla42[SID 30L],""),""))</f>
        <v>UDGUV</v>
      </c>
      <c r="S208" s="3">
        <f t="shared" si="3"/>
        <v>23</v>
      </c>
      <c r="T208" s="3" t="str">
        <f>_xlfn.XLOOKUP(C208,Tabla42[ADEP],Tabla42[Sector],"")</f>
        <v>Sector 2</v>
      </c>
    </row>
    <row r="209" spans="1:20" ht="16" customHeight="1" x14ac:dyDescent="0.2">
      <c r="A209" s="23" t="s">
        <v>336</v>
      </c>
      <c r="B209" s="23" t="s">
        <v>18</v>
      </c>
      <c r="C209" s="23" t="s">
        <v>290</v>
      </c>
      <c r="D209" s="23" t="s">
        <v>33</v>
      </c>
      <c r="E209" s="23" t="s">
        <v>1772</v>
      </c>
      <c r="F209" s="24">
        <v>46307.997337962966</v>
      </c>
      <c r="G209" s="23" t="s">
        <v>21</v>
      </c>
      <c r="H209" s="23" t="s">
        <v>4370</v>
      </c>
      <c r="I209" s="23">
        <v>350</v>
      </c>
      <c r="J209" s="23" t="s">
        <v>22</v>
      </c>
      <c r="K209" s="23" t="s">
        <v>23</v>
      </c>
      <c r="L209" s="23">
        <v>197</v>
      </c>
      <c r="M209" s="23" t="s">
        <v>997</v>
      </c>
      <c r="N209" s="24">
        <v>46308.010648148149</v>
      </c>
      <c r="O209" s="23">
        <v>259</v>
      </c>
      <c r="P209" s="23" t="s">
        <v>25</v>
      </c>
      <c r="Q209" s="23">
        <v>190</v>
      </c>
      <c r="R209" s="3" t="str">
        <f>IF(OR(G209="12R",G209="12L"),_xlfn.XLOOKUP(C209,Tabla42[ADEP],Tabla42[SID 12R],""),IF(OR(G209="30L",G209="30R"),_xlfn.XLOOKUP(C209,Tabla42[ADEP],Tabla42[SID 30L],""),""))</f>
        <v>CZM</v>
      </c>
      <c r="S209" s="3">
        <f t="shared" si="3"/>
        <v>23</v>
      </c>
      <c r="T209" s="3" t="str">
        <f>_xlfn.XLOOKUP(C209,Tabla42[ADEP],Tabla42[Sector],"")</f>
        <v>Sector 7</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2</v>
      </c>
      <c r="D228" s="8">
        <f t="shared" si="4"/>
        <v>0</v>
      </c>
      <c r="E228" s="8">
        <f t="shared" si="4"/>
        <v>1</v>
      </c>
      <c r="F228" s="8">
        <f t="shared" si="4"/>
        <v>0</v>
      </c>
      <c r="G228" s="8">
        <f t="shared" si="4"/>
        <v>0</v>
      </c>
      <c r="H228" s="8">
        <f t="shared" si="4"/>
        <v>9</v>
      </c>
      <c r="I228" s="9">
        <f t="shared" si="5"/>
        <v>12</v>
      </c>
    </row>
    <row r="229" spans="1:9" x14ac:dyDescent="0.2">
      <c r="A229" s="7">
        <v>16</v>
      </c>
      <c r="B229" s="8">
        <f t="shared" si="4"/>
        <v>2</v>
      </c>
      <c r="C229" s="8">
        <f t="shared" si="4"/>
        <v>4</v>
      </c>
      <c r="D229" s="8">
        <f t="shared" si="4"/>
        <v>0</v>
      </c>
      <c r="E229" s="8">
        <f t="shared" si="4"/>
        <v>0</v>
      </c>
      <c r="F229" s="8">
        <f t="shared" si="4"/>
        <v>4</v>
      </c>
      <c r="G229" s="8">
        <f t="shared" si="4"/>
        <v>1</v>
      </c>
      <c r="H229" s="8">
        <f t="shared" si="4"/>
        <v>12</v>
      </c>
      <c r="I229" s="9">
        <f t="shared" si="5"/>
        <v>23</v>
      </c>
    </row>
    <row r="230" spans="1:9" x14ac:dyDescent="0.2">
      <c r="A230" s="7">
        <v>17</v>
      </c>
      <c r="B230" s="8">
        <f t="shared" si="4"/>
        <v>0</v>
      </c>
      <c r="C230" s="8">
        <f t="shared" si="4"/>
        <v>4</v>
      </c>
      <c r="D230" s="8">
        <f t="shared" si="4"/>
        <v>0</v>
      </c>
      <c r="E230" s="8">
        <f t="shared" si="4"/>
        <v>1</v>
      </c>
      <c r="F230" s="8">
        <f t="shared" si="4"/>
        <v>2</v>
      </c>
      <c r="G230" s="8">
        <f t="shared" si="4"/>
        <v>2</v>
      </c>
      <c r="H230" s="8">
        <f t="shared" si="4"/>
        <v>5</v>
      </c>
      <c r="I230" s="9">
        <f t="shared" si="5"/>
        <v>14</v>
      </c>
    </row>
    <row r="231" spans="1:9" x14ac:dyDescent="0.2">
      <c r="A231" s="7">
        <v>18</v>
      </c>
      <c r="B231" s="8">
        <f t="shared" si="4"/>
        <v>0</v>
      </c>
      <c r="C231" s="8">
        <f t="shared" si="4"/>
        <v>5</v>
      </c>
      <c r="D231" s="8">
        <f t="shared" si="4"/>
        <v>0</v>
      </c>
      <c r="E231" s="8">
        <f t="shared" si="4"/>
        <v>1</v>
      </c>
      <c r="F231" s="8">
        <f t="shared" si="4"/>
        <v>9</v>
      </c>
      <c r="G231" s="8">
        <f t="shared" si="4"/>
        <v>1</v>
      </c>
      <c r="H231" s="8">
        <f t="shared" si="4"/>
        <v>6</v>
      </c>
      <c r="I231" s="9">
        <f t="shared" si="5"/>
        <v>22</v>
      </c>
    </row>
    <row r="232" spans="1:9" x14ac:dyDescent="0.2">
      <c r="A232" s="7">
        <v>19</v>
      </c>
      <c r="B232" s="8">
        <f t="shared" si="4"/>
        <v>2</v>
      </c>
      <c r="C232" s="8">
        <f t="shared" si="4"/>
        <v>4</v>
      </c>
      <c r="D232" s="8">
        <f t="shared" si="4"/>
        <v>0</v>
      </c>
      <c r="E232" s="8">
        <f t="shared" si="4"/>
        <v>3</v>
      </c>
      <c r="F232" s="8">
        <f t="shared" si="4"/>
        <v>6</v>
      </c>
      <c r="G232" s="8">
        <f t="shared" si="4"/>
        <v>1</v>
      </c>
      <c r="H232" s="8">
        <f t="shared" si="4"/>
        <v>14</v>
      </c>
      <c r="I232" s="9">
        <f t="shared" si="5"/>
        <v>30</v>
      </c>
    </row>
    <row r="233" spans="1:9" x14ac:dyDescent="0.2">
      <c r="A233" s="7">
        <v>20</v>
      </c>
      <c r="B233" s="8">
        <f t="shared" si="4"/>
        <v>0</v>
      </c>
      <c r="C233" s="8">
        <f t="shared" si="4"/>
        <v>7</v>
      </c>
      <c r="D233" s="8">
        <f t="shared" si="4"/>
        <v>0</v>
      </c>
      <c r="E233" s="8">
        <f t="shared" si="4"/>
        <v>0</v>
      </c>
      <c r="F233" s="8">
        <f t="shared" si="4"/>
        <v>3</v>
      </c>
      <c r="G233" s="8">
        <f t="shared" si="4"/>
        <v>0</v>
      </c>
      <c r="H233" s="8">
        <f t="shared" si="4"/>
        <v>10</v>
      </c>
      <c r="I233" s="9">
        <f t="shared" si="5"/>
        <v>20</v>
      </c>
    </row>
    <row r="234" spans="1:9" x14ac:dyDescent="0.2">
      <c r="A234" s="7">
        <v>21</v>
      </c>
      <c r="B234" s="8">
        <f t="shared" si="4"/>
        <v>1</v>
      </c>
      <c r="C234" s="8">
        <f t="shared" si="4"/>
        <v>2</v>
      </c>
      <c r="D234" s="8">
        <f t="shared" si="4"/>
        <v>0</v>
      </c>
      <c r="E234" s="8">
        <f t="shared" si="4"/>
        <v>3</v>
      </c>
      <c r="F234" s="8">
        <f t="shared" si="4"/>
        <v>3</v>
      </c>
      <c r="G234" s="8">
        <f t="shared" si="4"/>
        <v>1</v>
      </c>
      <c r="H234" s="8">
        <f t="shared" si="4"/>
        <v>7</v>
      </c>
      <c r="I234" s="9">
        <f t="shared" si="5"/>
        <v>17</v>
      </c>
    </row>
    <row r="235" spans="1:9" x14ac:dyDescent="0.2">
      <c r="A235" s="10">
        <v>22</v>
      </c>
      <c r="B235" s="11">
        <f t="shared" si="4"/>
        <v>1</v>
      </c>
      <c r="C235" s="11">
        <f t="shared" si="4"/>
        <v>3</v>
      </c>
      <c r="D235" s="11">
        <f t="shared" si="4"/>
        <v>0</v>
      </c>
      <c r="E235" s="11">
        <f t="shared" si="4"/>
        <v>1</v>
      </c>
      <c r="F235" s="11">
        <f t="shared" si="4"/>
        <v>2</v>
      </c>
      <c r="G235" s="11">
        <f t="shared" si="4"/>
        <v>1</v>
      </c>
      <c r="H235" s="11">
        <f t="shared" si="4"/>
        <v>4</v>
      </c>
      <c r="I235" s="12">
        <f t="shared" si="5"/>
        <v>12</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9</v>
      </c>
      <c r="C264" s="8">
        <f t="shared" si="6"/>
        <v>3</v>
      </c>
      <c r="D264" s="8">
        <f t="shared" si="6"/>
        <v>0</v>
      </c>
      <c r="E264" s="9">
        <f t="shared" si="7"/>
        <v>12</v>
      </c>
    </row>
    <row r="265" spans="1:9" x14ac:dyDescent="0.2">
      <c r="A265" s="7">
        <v>16</v>
      </c>
      <c r="B265" s="8">
        <f t="shared" si="6"/>
        <v>12</v>
      </c>
      <c r="C265" s="8">
        <f t="shared" si="6"/>
        <v>8</v>
      </c>
      <c r="D265" s="8">
        <f t="shared" si="6"/>
        <v>3</v>
      </c>
      <c r="E265" s="9">
        <f t="shared" si="7"/>
        <v>23</v>
      </c>
    </row>
    <row r="266" spans="1:9" x14ac:dyDescent="0.2">
      <c r="A266" s="7">
        <v>17</v>
      </c>
      <c r="B266" s="8">
        <f t="shared" si="6"/>
        <v>5</v>
      </c>
      <c r="C266" s="8">
        <f t="shared" si="6"/>
        <v>7</v>
      </c>
      <c r="D266" s="8">
        <f t="shared" si="6"/>
        <v>2</v>
      </c>
      <c r="E266" s="9">
        <f t="shared" si="7"/>
        <v>14</v>
      </c>
    </row>
    <row r="267" spans="1:9" x14ac:dyDescent="0.2">
      <c r="A267" s="7">
        <v>18</v>
      </c>
      <c r="B267" s="8">
        <f t="shared" si="6"/>
        <v>6</v>
      </c>
      <c r="C267" s="8">
        <f t="shared" si="6"/>
        <v>15</v>
      </c>
      <c r="D267" s="8">
        <f t="shared" si="6"/>
        <v>1</v>
      </c>
      <c r="E267" s="9">
        <f t="shared" si="7"/>
        <v>22</v>
      </c>
    </row>
    <row r="268" spans="1:9" x14ac:dyDescent="0.2">
      <c r="A268" s="7">
        <v>19</v>
      </c>
      <c r="B268" s="8">
        <f t="shared" si="6"/>
        <v>14</v>
      </c>
      <c r="C268" s="8">
        <f t="shared" si="6"/>
        <v>13</v>
      </c>
      <c r="D268" s="8">
        <f t="shared" si="6"/>
        <v>3</v>
      </c>
      <c r="E268" s="9">
        <f t="shared" si="7"/>
        <v>30</v>
      </c>
    </row>
    <row r="269" spans="1:9" x14ac:dyDescent="0.2">
      <c r="A269" s="7">
        <v>20</v>
      </c>
      <c r="B269" s="8">
        <f t="shared" si="6"/>
        <v>10</v>
      </c>
      <c r="C269" s="8">
        <f t="shared" si="6"/>
        <v>10</v>
      </c>
      <c r="D269" s="8">
        <f t="shared" si="6"/>
        <v>0</v>
      </c>
      <c r="E269" s="9">
        <f t="shared" si="7"/>
        <v>20</v>
      </c>
    </row>
    <row r="270" spans="1:9" x14ac:dyDescent="0.2">
      <c r="A270" s="7">
        <v>21</v>
      </c>
      <c r="B270" s="8">
        <f t="shared" si="6"/>
        <v>7</v>
      </c>
      <c r="C270" s="8">
        <f t="shared" si="6"/>
        <v>8</v>
      </c>
      <c r="D270" s="8">
        <f t="shared" si="6"/>
        <v>2</v>
      </c>
      <c r="E270" s="9">
        <f t="shared" si="7"/>
        <v>17</v>
      </c>
    </row>
    <row r="271" spans="1:9" x14ac:dyDescent="0.2">
      <c r="A271" s="7">
        <v>22</v>
      </c>
      <c r="B271" s="8">
        <f t="shared" si="6"/>
        <v>4</v>
      </c>
      <c r="C271" s="8">
        <f t="shared" si="6"/>
        <v>6</v>
      </c>
      <c r="D271" s="8">
        <f t="shared" si="6"/>
        <v>2</v>
      </c>
      <c r="E271" s="9">
        <f t="shared" si="7"/>
        <v>12</v>
      </c>
    </row>
    <row r="272" spans="1:9" x14ac:dyDescent="0.2">
      <c r="A272" s="10">
        <v>23</v>
      </c>
      <c r="B272" s="11">
        <f t="shared" si="6"/>
        <v>4</v>
      </c>
      <c r="C272" s="11">
        <f t="shared" si="6"/>
        <v>0</v>
      </c>
      <c r="D272" s="11">
        <f t="shared" si="6"/>
        <v>3</v>
      </c>
      <c r="E272" s="12">
        <f t="shared" si="7"/>
        <v>7</v>
      </c>
    </row>
  </sheetData>
  <mergeCells count="6">
    <mergeCell ref="A221:I221"/>
    <mergeCell ref="A223:I223"/>
    <mergeCell ref="A225:I225"/>
    <mergeCell ref="A258:I258"/>
    <mergeCell ref="A259:I259"/>
    <mergeCell ref="A261:E261"/>
  </mergeCells>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8AAF3-C492-304D-9847-4B10644AC988}">
  <dimension ref="A1:T272"/>
  <sheetViews>
    <sheetView showGridLines="0" zoomScale="110" zoomScaleNormal="110" workbookViewId="0">
      <selection activeCell="A2" sqref="A2:Q176"/>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23" t="s">
        <v>17</v>
      </c>
      <c r="B2" s="23" t="s">
        <v>18</v>
      </c>
      <c r="C2" s="23" t="s">
        <v>19</v>
      </c>
      <c r="D2" s="23" t="s">
        <v>20</v>
      </c>
      <c r="E2" s="23" t="s">
        <v>4371</v>
      </c>
      <c r="F2" s="24">
        <v>46308.018541666665</v>
      </c>
      <c r="G2" s="23" t="s">
        <v>21</v>
      </c>
      <c r="H2" s="23" t="s">
        <v>4372</v>
      </c>
      <c r="I2" s="23">
        <v>340</v>
      </c>
      <c r="J2" s="23" t="s">
        <v>22</v>
      </c>
      <c r="K2" s="23" t="s">
        <v>23</v>
      </c>
      <c r="L2" s="23">
        <v>864</v>
      </c>
      <c r="M2" s="23" t="s">
        <v>636</v>
      </c>
      <c r="N2" s="24">
        <v>46308.063020833331</v>
      </c>
      <c r="O2" s="23">
        <v>340</v>
      </c>
      <c r="P2" s="23" t="s">
        <v>25</v>
      </c>
      <c r="Q2" s="23">
        <v>190</v>
      </c>
      <c r="R2" s="3" t="str">
        <f>IF(OR(G2="12R",G2="12L"),_xlfn.XLOOKUP(C2,Tabla42[ADEP],Tabla42[SID 12R],""),IF(OR(G2="30L",G2="30R"),_xlfn.XLOOKUP(C2,Tabla42[ADEP],Tabla42[SID 30L],""),""))</f>
        <v>UDGUV</v>
      </c>
      <c r="S2" s="3">
        <f>HOUR(F2)</f>
        <v>0</v>
      </c>
      <c r="T2" s="3" t="str">
        <f>_xlfn.XLOOKUP(C2,Tabla42[ADEP],Tabla42[Sector],"")</f>
        <v>Sector 2</v>
      </c>
    </row>
    <row r="3" spans="1:20" x14ac:dyDescent="0.2">
      <c r="A3" s="23" t="s">
        <v>4078</v>
      </c>
      <c r="B3" s="23" t="s">
        <v>18</v>
      </c>
      <c r="C3" s="23" t="s">
        <v>616</v>
      </c>
      <c r="D3" s="23" t="s">
        <v>2007</v>
      </c>
      <c r="E3" s="23" t="s">
        <v>4079</v>
      </c>
      <c r="F3" s="24">
        <v>46308.032546296294</v>
      </c>
      <c r="G3" s="23" t="s">
        <v>21</v>
      </c>
      <c r="H3" s="23" t="s">
        <v>4373</v>
      </c>
      <c r="I3" s="23">
        <v>390</v>
      </c>
      <c r="J3" s="23" t="s">
        <v>22</v>
      </c>
      <c r="K3" s="23" t="s">
        <v>23</v>
      </c>
      <c r="L3" s="23">
        <v>136</v>
      </c>
      <c r="M3" s="23" t="s">
        <v>39</v>
      </c>
      <c r="N3" s="24">
        <v>46308.042175925926</v>
      </c>
      <c r="O3" s="23">
        <v>263</v>
      </c>
      <c r="P3" s="23" t="s">
        <v>40</v>
      </c>
      <c r="Q3" s="23">
        <v>190</v>
      </c>
      <c r="R3" s="3" t="str">
        <f>IF(OR(G3="12R",G3="12L"),_xlfn.XLOOKUP(C3,Tabla42[ADEP],Tabla42[SID 12R],""),IF(OR(G3="30L",G3="30R"),_xlfn.XLOOKUP(C3,Tabla42[ADEP],Tabla42[SID 30L],""),""))</f>
        <v>NUDAL</v>
      </c>
      <c r="S3" s="3">
        <f t="shared" ref="S3:S66" si="0">HOUR(F3)</f>
        <v>0</v>
      </c>
      <c r="T3" s="3" t="str">
        <f>_xlfn.XLOOKUP(C3,Tabla42[ADEP],Tabla42[Sector],"")</f>
        <v>Sector 3</v>
      </c>
    </row>
    <row r="4" spans="1:20" x14ac:dyDescent="0.2">
      <c r="A4" s="23" t="s">
        <v>3477</v>
      </c>
      <c r="B4" s="23" t="s">
        <v>18</v>
      </c>
      <c r="C4" s="23" t="s">
        <v>206</v>
      </c>
      <c r="D4" s="23" t="s">
        <v>60</v>
      </c>
      <c r="E4" s="23" t="s">
        <v>529</v>
      </c>
      <c r="F4" s="24">
        <v>46308.034490740742</v>
      </c>
      <c r="G4" s="23" t="s">
        <v>21</v>
      </c>
      <c r="H4" s="23" t="s">
        <v>4374</v>
      </c>
      <c r="I4" s="23">
        <v>340</v>
      </c>
      <c r="J4" s="23" t="s">
        <v>22</v>
      </c>
      <c r="K4" s="23" t="s">
        <v>23</v>
      </c>
      <c r="L4" s="23">
        <v>859</v>
      </c>
      <c r="M4" s="23" t="s">
        <v>45</v>
      </c>
      <c r="N4" s="24">
        <v>46308.078819444447</v>
      </c>
      <c r="O4" s="23">
        <v>340</v>
      </c>
      <c r="P4" s="23" t="s">
        <v>25</v>
      </c>
      <c r="Q4" s="23">
        <v>190</v>
      </c>
      <c r="R4" s="3" t="str">
        <f>IF(OR(G4="12R",G4="12L"),_xlfn.XLOOKUP(C4,Tabla42[ADEP],Tabla42[SID 12R],""),IF(OR(G4="30L",G4="30R"),_xlfn.XLOOKUP(C4,Tabla42[ADEP],Tabla42[SID 30L],""),""))</f>
        <v>UDGUV</v>
      </c>
      <c r="S4" s="3">
        <f t="shared" si="0"/>
        <v>0</v>
      </c>
      <c r="T4" s="3" t="str">
        <f>_xlfn.XLOOKUP(C4,Tabla42[ADEP],Tabla42[Sector],"")</f>
        <v>Sector 2</v>
      </c>
    </row>
    <row r="5" spans="1:20" x14ac:dyDescent="0.2">
      <c r="A5" s="23" t="s">
        <v>4375</v>
      </c>
      <c r="B5" s="23" t="s">
        <v>18</v>
      </c>
      <c r="C5" s="23" t="s">
        <v>65</v>
      </c>
      <c r="D5" s="23" t="s">
        <v>4376</v>
      </c>
      <c r="E5" s="23"/>
      <c r="F5" s="24">
        <v>46308.036249999997</v>
      </c>
      <c r="G5" s="23" t="s">
        <v>21</v>
      </c>
      <c r="H5" s="23" t="s">
        <v>4377</v>
      </c>
      <c r="I5" s="23">
        <v>180</v>
      </c>
      <c r="J5" s="23" t="s">
        <v>22</v>
      </c>
      <c r="K5" s="23" t="s">
        <v>50</v>
      </c>
      <c r="L5" s="23">
        <v>360</v>
      </c>
      <c r="M5" s="23" t="s">
        <v>65</v>
      </c>
      <c r="N5" s="24">
        <v>46308.067523148151</v>
      </c>
      <c r="O5" s="23">
        <v>0</v>
      </c>
      <c r="P5" s="23" t="s">
        <v>129</v>
      </c>
      <c r="Q5" s="23">
        <v>30</v>
      </c>
      <c r="R5" s="3" t="str">
        <f>IF(OR(G5="12R",G5="12L"),_xlfn.XLOOKUP(C5,Tabla42[ADEP],Tabla42[SID 12R],""),IF(OR(G5="30L",G5="30R"),_xlfn.XLOOKUP(C5,Tabla42[ADEP],Tabla42[SID 30L],""),""))</f>
        <v>UDGUV</v>
      </c>
      <c r="S5" s="3">
        <f t="shared" si="0"/>
        <v>0</v>
      </c>
      <c r="T5" s="3" t="str">
        <f>_xlfn.XLOOKUP(C5,Tabla42[ADEP],Tabla42[Sector],"")</f>
        <v>Sector 2</v>
      </c>
    </row>
    <row r="6" spans="1:20" x14ac:dyDescent="0.2">
      <c r="A6" s="23" t="s">
        <v>41</v>
      </c>
      <c r="B6" s="23" t="s">
        <v>18</v>
      </c>
      <c r="C6" s="23" t="s">
        <v>42</v>
      </c>
      <c r="D6" s="23" t="s">
        <v>43</v>
      </c>
      <c r="E6" s="23" t="s">
        <v>1006</v>
      </c>
      <c r="F6" s="24">
        <v>46308.038819444446</v>
      </c>
      <c r="G6" s="23" t="s">
        <v>21</v>
      </c>
      <c r="H6" s="23" t="s">
        <v>4378</v>
      </c>
      <c r="I6" s="23">
        <v>360</v>
      </c>
      <c r="J6" s="23" t="s">
        <v>22</v>
      </c>
      <c r="K6" s="23" t="s">
        <v>23</v>
      </c>
      <c r="L6" s="23">
        <v>902</v>
      </c>
      <c r="M6" s="23" t="s">
        <v>2983</v>
      </c>
      <c r="N6" s="24">
        <v>46308.087164351855</v>
      </c>
      <c r="O6" s="23">
        <v>360</v>
      </c>
      <c r="P6" s="23" t="s">
        <v>25</v>
      </c>
      <c r="Q6" s="23">
        <v>190</v>
      </c>
      <c r="R6" s="3" t="str">
        <f>IF(OR(G6="12R",G6="12L"),_xlfn.XLOOKUP(C6,Tabla42[ADEP],Tabla42[SID 12R],""),IF(OR(G6="30L",G6="30R"),_xlfn.XLOOKUP(C6,Tabla42[ADEP],Tabla42[SID 30L],""),""))</f>
        <v>UDGUV</v>
      </c>
      <c r="S6" s="3">
        <f t="shared" si="0"/>
        <v>0</v>
      </c>
      <c r="T6" s="3" t="str">
        <f>_xlfn.XLOOKUP(C6,Tabla42[ADEP],Tabla42[Sector],"")</f>
        <v>Sector 2</v>
      </c>
    </row>
    <row r="7" spans="1:20" x14ac:dyDescent="0.2">
      <c r="A7" s="23" t="s">
        <v>4379</v>
      </c>
      <c r="B7" s="23" t="s">
        <v>18</v>
      </c>
      <c r="C7" s="23" t="s">
        <v>109</v>
      </c>
      <c r="D7" s="23" t="s">
        <v>110</v>
      </c>
      <c r="E7" s="23" t="s">
        <v>4380</v>
      </c>
      <c r="F7" s="24">
        <v>46308.042233796295</v>
      </c>
      <c r="G7" s="23" t="s">
        <v>21</v>
      </c>
      <c r="H7" s="23" t="s">
        <v>4381</v>
      </c>
      <c r="I7" s="23">
        <v>390</v>
      </c>
      <c r="J7" s="23" t="s">
        <v>22</v>
      </c>
      <c r="K7" s="23" t="s">
        <v>23</v>
      </c>
      <c r="L7" s="23">
        <v>149</v>
      </c>
      <c r="M7" s="23" t="s">
        <v>111</v>
      </c>
      <c r="N7" s="24">
        <v>46308.051712962966</v>
      </c>
      <c r="O7" s="23">
        <v>290</v>
      </c>
      <c r="P7" s="23" t="s">
        <v>25</v>
      </c>
      <c r="Q7" s="23">
        <v>190</v>
      </c>
      <c r="R7" s="3" t="str">
        <f>IF(OR(G7="12R",G7="12L"),_xlfn.XLOOKUP(C7,Tabla42[ADEP],Tabla42[SID 12R],""),IF(OR(G7="30L",G7="30R"),_xlfn.XLOOKUP(C7,Tabla42[ADEP],Tabla42[SID 30L],""),""))</f>
        <v>TAKUX</v>
      </c>
      <c r="S7" s="3">
        <f t="shared" si="0"/>
        <v>1</v>
      </c>
      <c r="T7" s="3" t="str">
        <f>_xlfn.XLOOKUP(C7,Tabla42[ADEP],Tabla42[Sector],"")</f>
        <v>Sector 7</v>
      </c>
    </row>
    <row r="8" spans="1:20" x14ac:dyDescent="0.2">
      <c r="A8" s="23" t="s">
        <v>56</v>
      </c>
      <c r="B8" s="23" t="s">
        <v>18</v>
      </c>
      <c r="C8" s="23" t="s">
        <v>42</v>
      </c>
      <c r="D8" s="23" t="s">
        <v>20</v>
      </c>
      <c r="E8" s="23" t="s">
        <v>484</v>
      </c>
      <c r="F8" s="24">
        <v>46308.045208333337</v>
      </c>
      <c r="G8" s="23" t="s">
        <v>21</v>
      </c>
      <c r="H8" s="23" t="s">
        <v>4382</v>
      </c>
      <c r="I8" s="23">
        <v>340</v>
      </c>
      <c r="J8" s="23" t="s">
        <v>22</v>
      </c>
      <c r="K8" s="23" t="s">
        <v>23</v>
      </c>
      <c r="L8" s="23">
        <v>892</v>
      </c>
      <c r="M8" s="23" t="s">
        <v>668</v>
      </c>
      <c r="N8" s="24">
        <v>46308.092407407406</v>
      </c>
      <c r="O8" s="23">
        <v>340</v>
      </c>
      <c r="P8" s="23" t="s">
        <v>25</v>
      </c>
      <c r="Q8" s="23">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23" t="s">
        <v>46</v>
      </c>
      <c r="B9" s="23" t="s">
        <v>18</v>
      </c>
      <c r="C9" s="23" t="s">
        <v>47</v>
      </c>
      <c r="D9" s="23" t="s">
        <v>48</v>
      </c>
      <c r="E9" s="23" t="s">
        <v>619</v>
      </c>
      <c r="F9" s="24">
        <v>46308.046979166669</v>
      </c>
      <c r="G9" s="23" t="s">
        <v>21</v>
      </c>
      <c r="H9" s="23" t="s">
        <v>4383</v>
      </c>
      <c r="I9" s="23">
        <v>370</v>
      </c>
      <c r="J9" s="23" t="s">
        <v>22</v>
      </c>
      <c r="K9" s="23" t="s">
        <v>23</v>
      </c>
      <c r="L9" s="23">
        <v>136</v>
      </c>
      <c r="M9" s="23" t="s">
        <v>39</v>
      </c>
      <c r="N9" s="24">
        <v>46308.056666666664</v>
      </c>
      <c r="O9" s="23">
        <v>238</v>
      </c>
      <c r="P9" s="23" t="s">
        <v>40</v>
      </c>
      <c r="Q9" s="23">
        <v>190</v>
      </c>
      <c r="R9" s="3" t="str">
        <f>IF(OR(G9="12R",G9="12L"),_xlfn.XLOOKUP(C9,Tabla42[ADEP],Tabla42[SID 12R],""),IF(OR(G9="30L",G9="30R"),_xlfn.XLOOKUP(C9,Tabla42[ADEP],Tabla42[SID 30L],""),""))</f>
        <v>NUDAL</v>
      </c>
      <c r="S9" s="3">
        <f t="shared" si="0"/>
        <v>1</v>
      </c>
      <c r="T9" s="3" t="str">
        <f>_xlfn.XLOOKUP(C9,Tabla42[ADEP],Tabla42[Sector],"")</f>
        <v>Sector 3</v>
      </c>
    </row>
    <row r="10" spans="1:20" x14ac:dyDescent="0.2">
      <c r="A10" s="23" t="s">
        <v>51</v>
      </c>
      <c r="B10" s="23" t="s">
        <v>18</v>
      </c>
      <c r="C10" s="23" t="s">
        <v>52</v>
      </c>
      <c r="D10" s="23" t="s">
        <v>53</v>
      </c>
      <c r="E10" s="23" t="s">
        <v>535</v>
      </c>
      <c r="F10" s="24">
        <v>46308.060312499998</v>
      </c>
      <c r="G10" s="23" t="s">
        <v>21</v>
      </c>
      <c r="H10" s="23" t="s">
        <v>4384</v>
      </c>
      <c r="I10" s="23">
        <v>370</v>
      </c>
      <c r="J10" s="23" t="s">
        <v>22</v>
      </c>
      <c r="K10" s="23" t="s">
        <v>23</v>
      </c>
      <c r="L10" s="23">
        <v>218</v>
      </c>
      <c r="M10" s="23" t="s">
        <v>55</v>
      </c>
      <c r="N10" s="24">
        <v>46308.073564814818</v>
      </c>
      <c r="O10" s="23">
        <v>350</v>
      </c>
      <c r="P10" s="23" t="s">
        <v>25</v>
      </c>
      <c r="Q10" s="23">
        <v>190</v>
      </c>
      <c r="R10" s="3" t="str">
        <f>IF(OR(G10="12R",G10="12L"),_xlfn.XLOOKUP(C10,Tabla42[ADEP],Tabla42[SID 12R],""),IF(OR(G10="30L",G10="30R"),_xlfn.XLOOKUP(C10,Tabla42[ADEP],Tabla42[SID 30L],""),""))</f>
        <v>CZM</v>
      </c>
      <c r="S10" s="3">
        <f t="shared" si="0"/>
        <v>1</v>
      </c>
      <c r="T10" s="3" t="str">
        <f>_xlfn.XLOOKUP(C10,Tabla42[ADEP],Tabla42[Sector],"")</f>
        <v>Sector 7</v>
      </c>
    </row>
    <row r="11" spans="1:20" x14ac:dyDescent="0.2">
      <c r="A11" s="23" t="s">
        <v>36</v>
      </c>
      <c r="B11" s="23" t="s">
        <v>18</v>
      </c>
      <c r="C11" s="23" t="s">
        <v>37</v>
      </c>
      <c r="D11" s="23" t="s">
        <v>38</v>
      </c>
      <c r="E11" s="23" t="s">
        <v>1048</v>
      </c>
      <c r="F11" s="24">
        <v>46308.064039351855</v>
      </c>
      <c r="G11" s="23" t="s">
        <v>21</v>
      </c>
      <c r="H11" s="23" t="s">
        <v>4385</v>
      </c>
      <c r="I11" s="23">
        <v>350</v>
      </c>
      <c r="J11" s="23" t="s">
        <v>22</v>
      </c>
      <c r="K11" s="23" t="s">
        <v>23</v>
      </c>
      <c r="L11" s="23">
        <v>136</v>
      </c>
      <c r="M11" s="23" t="s">
        <v>588</v>
      </c>
      <c r="N11" s="24">
        <v>46308.074305555558</v>
      </c>
      <c r="O11" s="23">
        <v>216</v>
      </c>
      <c r="P11" s="23" t="s">
        <v>40</v>
      </c>
      <c r="Q11" s="23">
        <v>190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23" t="s">
        <v>31</v>
      </c>
      <c r="B12" s="23" t="s">
        <v>18</v>
      </c>
      <c r="C12" s="23" t="s">
        <v>32</v>
      </c>
      <c r="D12" s="23" t="s">
        <v>33</v>
      </c>
      <c r="E12" s="23" t="s">
        <v>754</v>
      </c>
      <c r="F12" s="24">
        <v>46308.070902777778</v>
      </c>
      <c r="G12" s="23" t="s">
        <v>21</v>
      </c>
      <c r="H12" s="23" t="s">
        <v>4386</v>
      </c>
      <c r="I12" s="23">
        <v>360</v>
      </c>
      <c r="J12" s="23" t="s">
        <v>22</v>
      </c>
      <c r="K12" s="23" t="s">
        <v>23</v>
      </c>
      <c r="L12" s="23">
        <v>863</v>
      </c>
      <c r="M12" s="23" t="s">
        <v>35</v>
      </c>
      <c r="N12" s="24">
        <v>46308.114594907405</v>
      </c>
      <c r="O12" s="23">
        <v>360</v>
      </c>
      <c r="P12" s="23" t="s">
        <v>25</v>
      </c>
      <c r="Q12" s="23">
        <v>190</v>
      </c>
      <c r="R12" s="3" t="str">
        <f>IF(OR(G12="12R",G12="12L"),_xlfn.XLOOKUP(C12,Tabla42[ADEP],Tabla42[SID 12R],""),IF(OR(G12="30L",G12="30R"),_xlfn.XLOOKUP(C12,Tabla42[ADEP],Tabla42[SID 30L],""),""))</f>
        <v>UDGUV</v>
      </c>
      <c r="S12" s="3">
        <f t="shared" si="0"/>
        <v>1</v>
      </c>
      <c r="T12" s="3" t="str">
        <f>_xlfn.XLOOKUP(C12,Tabla42[ADEP],Tabla42[Sector],"")</f>
        <v>Sector 2</v>
      </c>
    </row>
    <row r="13" spans="1:20" x14ac:dyDescent="0.2">
      <c r="A13" s="23" t="s">
        <v>61</v>
      </c>
      <c r="B13" s="23" t="s">
        <v>18</v>
      </c>
      <c r="C13" s="23" t="s">
        <v>62</v>
      </c>
      <c r="D13" s="23" t="s">
        <v>344</v>
      </c>
      <c r="E13" s="23" t="s">
        <v>345</v>
      </c>
      <c r="F13" s="24">
        <v>46308.073854166665</v>
      </c>
      <c r="G13" s="23" t="s">
        <v>21</v>
      </c>
      <c r="H13" s="23" t="s">
        <v>4387</v>
      </c>
      <c r="I13" s="23">
        <v>340</v>
      </c>
      <c r="J13" s="23" t="s">
        <v>22</v>
      </c>
      <c r="K13" s="23" t="s">
        <v>23</v>
      </c>
      <c r="L13" s="23">
        <v>866</v>
      </c>
      <c r="M13" s="23" t="s">
        <v>167</v>
      </c>
      <c r="N13" s="24">
        <v>46308.119074074071</v>
      </c>
      <c r="O13" s="23">
        <v>340</v>
      </c>
      <c r="P13" s="23" t="s">
        <v>25</v>
      </c>
      <c r="Q13" s="23">
        <v>190</v>
      </c>
      <c r="R13" s="3" t="str">
        <f>IF(OR(G13="12R",G13="12L"),_xlfn.XLOOKUP(C13,Tabla42[ADEP],Tabla42[SID 12R],""),IF(OR(G13="30L",G13="30R"),_xlfn.XLOOKUP(C13,Tabla42[ADEP],Tabla42[SID 30L],""),""))</f>
        <v>UDGUV</v>
      </c>
      <c r="S13" s="3">
        <f t="shared" si="0"/>
        <v>1</v>
      </c>
      <c r="T13" s="3" t="str">
        <f>_xlfn.XLOOKUP(C13,Tabla42[ADEP],Tabla42[Sector],"")</f>
        <v>Sector 2</v>
      </c>
    </row>
    <row r="14" spans="1:20" x14ac:dyDescent="0.2">
      <c r="A14" s="23" t="s">
        <v>64</v>
      </c>
      <c r="B14" s="23" t="s">
        <v>18</v>
      </c>
      <c r="C14" s="23" t="s">
        <v>65</v>
      </c>
      <c r="D14" s="23" t="s">
        <v>63</v>
      </c>
      <c r="E14" s="23" t="s">
        <v>774</v>
      </c>
      <c r="F14" s="24">
        <v>46308.082083333335</v>
      </c>
      <c r="G14" s="23" t="s">
        <v>21</v>
      </c>
      <c r="H14" s="23" t="s">
        <v>1021</v>
      </c>
      <c r="I14" s="23">
        <v>220</v>
      </c>
      <c r="J14" s="23" t="s">
        <v>22</v>
      </c>
      <c r="K14" s="23" t="s">
        <v>23</v>
      </c>
      <c r="L14" s="23">
        <v>358</v>
      </c>
      <c r="M14" s="23" t="s">
        <v>65</v>
      </c>
      <c r="N14" s="24">
        <v>46308.106307870374</v>
      </c>
      <c r="O14" s="23">
        <v>0</v>
      </c>
      <c r="P14" s="23" t="s">
        <v>25</v>
      </c>
      <c r="Q14" s="23">
        <v>190</v>
      </c>
      <c r="R14" s="3" t="str">
        <f>IF(OR(G14="12R",G14="12L"),_xlfn.XLOOKUP(C14,Tabla42[ADEP],Tabla42[SID 12R],""),IF(OR(G14="30L",G14="30R"),_xlfn.XLOOKUP(C14,Tabla42[ADEP],Tabla42[SID 30L],""),""))</f>
        <v>UDGUV</v>
      </c>
      <c r="S14" s="3">
        <f t="shared" si="0"/>
        <v>1</v>
      </c>
      <c r="T14" s="3" t="str">
        <f>_xlfn.XLOOKUP(C14,Tabla42[ADEP],Tabla42[Sector],"")</f>
        <v>Sector 2</v>
      </c>
    </row>
    <row r="15" spans="1:20" x14ac:dyDescent="0.2">
      <c r="A15" s="23" t="s">
        <v>59</v>
      </c>
      <c r="B15" s="23" t="s">
        <v>18</v>
      </c>
      <c r="C15" s="23" t="s">
        <v>27</v>
      </c>
      <c r="D15" s="23" t="s">
        <v>60</v>
      </c>
      <c r="E15" s="23" t="s">
        <v>4388</v>
      </c>
      <c r="F15" s="24">
        <v>46308.089259259257</v>
      </c>
      <c r="G15" s="23" t="s">
        <v>21</v>
      </c>
      <c r="H15" s="23" t="s">
        <v>4389</v>
      </c>
      <c r="I15" s="23">
        <v>310</v>
      </c>
      <c r="J15" s="23" t="s">
        <v>22</v>
      </c>
      <c r="K15" s="23" t="s">
        <v>23</v>
      </c>
      <c r="L15" s="23">
        <v>365</v>
      </c>
      <c r="M15" s="23" t="s">
        <v>30</v>
      </c>
      <c r="N15" s="24">
        <v>46308.110891203702</v>
      </c>
      <c r="O15" s="23">
        <v>310</v>
      </c>
      <c r="P15" s="23" t="s">
        <v>25</v>
      </c>
      <c r="Q15" s="23">
        <v>40</v>
      </c>
      <c r="R15" s="3" t="str">
        <f>IF(OR(G15="12R",G15="12L"),_xlfn.XLOOKUP(C15,Tabla42[ADEP],Tabla42[SID 12R],""),IF(OR(G15="30L",G15="30R"),_xlfn.XLOOKUP(C15,Tabla42[ADEP],Tabla42[SID 30L],""),""))</f>
        <v>OMSUK</v>
      </c>
      <c r="S15" s="3">
        <f t="shared" si="0"/>
        <v>2</v>
      </c>
      <c r="T15" s="3" t="str">
        <f>_xlfn.XLOOKUP(C15,Tabla42[ADEP],Tabla42[Sector],"")</f>
        <v>Sector 3</v>
      </c>
    </row>
    <row r="16" spans="1:20" x14ac:dyDescent="0.2">
      <c r="A16" s="23" t="s">
        <v>67</v>
      </c>
      <c r="B16" s="23" t="s">
        <v>18</v>
      </c>
      <c r="C16" s="23" t="s">
        <v>37</v>
      </c>
      <c r="D16" s="23" t="s">
        <v>85</v>
      </c>
      <c r="E16" s="23" t="s">
        <v>2016</v>
      </c>
      <c r="F16" s="24">
        <v>46308.101979166669</v>
      </c>
      <c r="G16" s="23" t="s">
        <v>21</v>
      </c>
      <c r="H16" s="23" t="s">
        <v>4390</v>
      </c>
      <c r="I16" s="23">
        <v>350</v>
      </c>
      <c r="J16" s="23" t="s">
        <v>22</v>
      </c>
      <c r="K16" s="23" t="s">
        <v>23</v>
      </c>
      <c r="L16" s="23">
        <v>140</v>
      </c>
      <c r="M16" s="23" t="s">
        <v>3299</v>
      </c>
      <c r="N16" s="24">
        <v>46308.111701388887</v>
      </c>
      <c r="O16" s="23">
        <v>209</v>
      </c>
      <c r="P16" s="23" t="s">
        <v>40</v>
      </c>
      <c r="Q16" s="23">
        <v>190</v>
      </c>
      <c r="R16" s="3" t="str">
        <f>IF(OR(G16="12R",G16="12L"),_xlfn.XLOOKUP(C16,Tabla42[ADEP],Tabla42[SID 12R],""),IF(OR(G16="30L",G16="30R"),_xlfn.XLOOKUP(C16,Tabla42[ADEP],Tabla42[SID 30L],""),""))</f>
        <v>NUDAL</v>
      </c>
      <c r="S16" s="3">
        <f t="shared" si="0"/>
        <v>2</v>
      </c>
      <c r="T16" s="3" t="str">
        <f>_xlfn.XLOOKUP(C16,Tabla42[ADEP],Tabla42[Sector],"")</f>
        <v>Sector 3</v>
      </c>
    </row>
    <row r="17" spans="1:20" x14ac:dyDescent="0.2">
      <c r="A17" s="23" t="s">
        <v>88</v>
      </c>
      <c r="B17" s="23" t="s">
        <v>18</v>
      </c>
      <c r="C17" s="23" t="s">
        <v>32</v>
      </c>
      <c r="D17" s="23" t="s">
        <v>20</v>
      </c>
      <c r="E17" s="23" t="s">
        <v>1010</v>
      </c>
      <c r="F17" s="24">
        <v>46308.116064814814</v>
      </c>
      <c r="G17" s="23" t="s">
        <v>21</v>
      </c>
      <c r="H17" s="23" t="s">
        <v>4391</v>
      </c>
      <c r="I17" s="23">
        <v>340</v>
      </c>
      <c r="J17" s="23" t="s">
        <v>22</v>
      </c>
      <c r="K17" s="23" t="s">
        <v>23</v>
      </c>
      <c r="L17" s="23">
        <v>872</v>
      </c>
      <c r="M17" s="23" t="s">
        <v>35</v>
      </c>
      <c r="N17" s="24">
        <v>46308.161296296297</v>
      </c>
      <c r="O17" s="23">
        <v>340</v>
      </c>
      <c r="P17" s="23" t="s">
        <v>25</v>
      </c>
      <c r="Q17" s="23">
        <v>190</v>
      </c>
      <c r="R17" s="3" t="str">
        <f>IF(OR(G17="12R",G17="12L"),_xlfn.XLOOKUP(C17,Tabla42[ADEP],Tabla42[SID 12R],""),IF(OR(G17="30L",G17="30R"),_xlfn.XLOOKUP(C17,Tabla42[ADEP],Tabla42[SID 30L],""),""))</f>
        <v>UDGUV</v>
      </c>
      <c r="S17" s="3">
        <f t="shared" si="0"/>
        <v>2</v>
      </c>
      <c r="T17" s="3" t="str">
        <f>_xlfn.XLOOKUP(C17,Tabla42[ADEP],Tabla42[Sector],"")</f>
        <v>Sector 2</v>
      </c>
    </row>
    <row r="18" spans="1:20" x14ac:dyDescent="0.2">
      <c r="A18" s="23" t="s">
        <v>348</v>
      </c>
      <c r="B18" s="23" t="s">
        <v>18</v>
      </c>
      <c r="C18" s="23" t="s">
        <v>204</v>
      </c>
      <c r="D18" s="23" t="s">
        <v>33</v>
      </c>
      <c r="E18" s="23" t="s">
        <v>368</v>
      </c>
      <c r="F18" s="24">
        <v>46308.11787037037</v>
      </c>
      <c r="G18" s="23" t="s">
        <v>21</v>
      </c>
      <c r="H18" s="23" t="s">
        <v>4392</v>
      </c>
      <c r="I18" s="23">
        <v>370</v>
      </c>
      <c r="J18" s="23" t="s">
        <v>22</v>
      </c>
      <c r="K18" s="23" t="s">
        <v>23</v>
      </c>
      <c r="L18" s="23">
        <v>155</v>
      </c>
      <c r="M18" s="23" t="s">
        <v>647</v>
      </c>
      <c r="N18" s="24">
        <v>46308.128472222219</v>
      </c>
      <c r="O18" s="23">
        <v>263</v>
      </c>
      <c r="P18" s="23" t="s">
        <v>25</v>
      </c>
      <c r="Q18" s="23">
        <v>190</v>
      </c>
      <c r="R18" s="3" t="str">
        <f>IF(OR(G18="12R",G18="12L"),_xlfn.XLOOKUP(C18,Tabla42[ADEP],Tabla42[SID 12R],""),IF(OR(G18="30L",G18="30R"),_xlfn.XLOOKUP(C18,Tabla42[ADEP],Tabla42[SID 30L],""),""))</f>
        <v>TAKUX</v>
      </c>
      <c r="S18" s="3">
        <f t="shared" si="0"/>
        <v>2</v>
      </c>
      <c r="T18" s="3" t="str">
        <f>_xlfn.XLOOKUP(C18,Tabla42[ADEP],Tabla42[Sector],"")</f>
        <v>Sector 7</v>
      </c>
    </row>
    <row r="19" spans="1:20" x14ac:dyDescent="0.2">
      <c r="A19" s="23" t="s">
        <v>69</v>
      </c>
      <c r="B19" s="23" t="s">
        <v>18</v>
      </c>
      <c r="C19" s="23" t="s">
        <v>42</v>
      </c>
      <c r="D19" s="23" t="s">
        <v>53</v>
      </c>
      <c r="E19" s="23" t="s">
        <v>103</v>
      </c>
      <c r="F19" s="24">
        <v>46308.121770833335</v>
      </c>
      <c r="G19" s="23" t="s">
        <v>21</v>
      </c>
      <c r="H19" s="23" t="s">
        <v>4393</v>
      </c>
      <c r="I19" s="23">
        <v>360</v>
      </c>
      <c r="J19" s="23" t="s">
        <v>22</v>
      </c>
      <c r="K19" s="23" t="s">
        <v>23</v>
      </c>
      <c r="L19" s="23">
        <v>861</v>
      </c>
      <c r="M19" s="23" t="s">
        <v>420</v>
      </c>
      <c r="N19" s="24">
        <v>46308.166446759256</v>
      </c>
      <c r="O19" s="23">
        <v>360</v>
      </c>
      <c r="P19" s="23" t="s">
        <v>25</v>
      </c>
      <c r="Q19" s="23">
        <v>190</v>
      </c>
      <c r="R19" s="3" t="str">
        <f>IF(OR(G19="12R",G19="12L"),_xlfn.XLOOKUP(C19,Tabla42[ADEP],Tabla42[SID 12R],""),IF(OR(G19="30L",G19="30R"),_xlfn.XLOOKUP(C19,Tabla42[ADEP],Tabla42[SID 30L],""),""))</f>
        <v>UDGUV</v>
      </c>
      <c r="S19" s="3">
        <f t="shared" si="0"/>
        <v>2</v>
      </c>
      <c r="T19" s="3" t="str">
        <f>_xlfn.XLOOKUP(C19,Tabla42[ADEP],Tabla42[Sector],"")</f>
        <v>Sector 2</v>
      </c>
    </row>
    <row r="20" spans="1:20" x14ac:dyDescent="0.2">
      <c r="A20" s="23" t="s">
        <v>78</v>
      </c>
      <c r="B20" s="23" t="s">
        <v>18</v>
      </c>
      <c r="C20" s="23" t="s">
        <v>42</v>
      </c>
      <c r="D20" s="23" t="s">
        <v>20</v>
      </c>
      <c r="E20" s="23" t="s">
        <v>419</v>
      </c>
      <c r="F20" s="24">
        <v>46308.123229166667</v>
      </c>
      <c r="G20" s="23" t="s">
        <v>21</v>
      </c>
      <c r="H20" s="23" t="s">
        <v>4394</v>
      </c>
      <c r="I20" s="23">
        <v>360</v>
      </c>
      <c r="J20" s="23" t="s">
        <v>22</v>
      </c>
      <c r="K20" s="23" t="s">
        <v>23</v>
      </c>
      <c r="L20" s="23">
        <v>861</v>
      </c>
      <c r="M20" s="23" t="s">
        <v>420</v>
      </c>
      <c r="N20" s="24">
        <v>46308.169537037036</v>
      </c>
      <c r="O20" s="23">
        <v>360</v>
      </c>
      <c r="P20" s="23" t="s">
        <v>25</v>
      </c>
      <c r="Q20" s="23">
        <v>190</v>
      </c>
      <c r="R20" s="3" t="str">
        <f>IF(OR(G20="12R",G20="12L"),_xlfn.XLOOKUP(C20,Tabla42[ADEP],Tabla42[SID 12R],""),IF(OR(G20="30L",G20="30R"),_xlfn.XLOOKUP(C20,Tabla42[ADEP],Tabla42[SID 30L],""),""))</f>
        <v>UDGUV</v>
      </c>
      <c r="S20" s="3">
        <f t="shared" si="0"/>
        <v>2</v>
      </c>
      <c r="T20" s="3" t="str">
        <f>_xlfn.XLOOKUP(C20,Tabla42[ADEP],Tabla42[Sector],"")</f>
        <v>Sector 2</v>
      </c>
    </row>
    <row r="21" spans="1:20" x14ac:dyDescent="0.2">
      <c r="A21" s="23" t="s">
        <v>81</v>
      </c>
      <c r="B21" s="23" t="s">
        <v>18</v>
      </c>
      <c r="C21" s="23" t="s">
        <v>49</v>
      </c>
      <c r="D21" s="23" t="s">
        <v>53</v>
      </c>
      <c r="E21" s="23" t="s">
        <v>3541</v>
      </c>
      <c r="F21" s="24">
        <v>46308.136423611111</v>
      </c>
      <c r="G21" s="23" t="s">
        <v>623</v>
      </c>
      <c r="H21" s="23" t="s">
        <v>4395</v>
      </c>
      <c r="I21" s="23">
        <v>380</v>
      </c>
      <c r="J21" s="23" t="s">
        <v>22</v>
      </c>
      <c r="K21" s="23" t="s">
        <v>23</v>
      </c>
      <c r="L21" s="23">
        <v>875</v>
      </c>
      <c r="M21" s="23" t="s">
        <v>83</v>
      </c>
      <c r="N21" s="24">
        <v>46308.182349537034</v>
      </c>
      <c r="O21" s="23">
        <v>380</v>
      </c>
      <c r="P21" s="23" t="s">
        <v>25</v>
      </c>
      <c r="Q21" s="23">
        <v>190</v>
      </c>
      <c r="R21" s="3" t="str">
        <f>IF(OR(G21="12R",G21="12L"),_xlfn.XLOOKUP(C21,Tabla42[ADEP],Tabla42[SID 12R],""),IF(OR(G21="30L",G21="30R"),_xlfn.XLOOKUP(C21,Tabla42[ADEP],Tabla42[SID 30L],""),""))</f>
        <v>UDGUV</v>
      </c>
      <c r="S21" s="3">
        <f t="shared" si="0"/>
        <v>3</v>
      </c>
      <c r="T21" s="3" t="str">
        <f>_xlfn.XLOOKUP(C21,Tabla42[ADEP],Tabla42[Sector],"")</f>
        <v>Sector 2</v>
      </c>
    </row>
    <row r="22" spans="1:20" x14ac:dyDescent="0.2">
      <c r="A22" s="23" t="s">
        <v>72</v>
      </c>
      <c r="B22" s="23" t="s">
        <v>18</v>
      </c>
      <c r="C22" s="23" t="s">
        <v>73</v>
      </c>
      <c r="D22" s="23" t="s">
        <v>63</v>
      </c>
      <c r="E22" s="23" t="s">
        <v>2359</v>
      </c>
      <c r="F22" s="24">
        <v>46308.150335648148</v>
      </c>
      <c r="G22" s="23" t="s">
        <v>623</v>
      </c>
      <c r="H22" s="23" t="s">
        <v>4396</v>
      </c>
      <c r="I22" s="23">
        <v>320</v>
      </c>
      <c r="J22" s="23" t="s">
        <v>22</v>
      </c>
      <c r="K22" s="23" t="s">
        <v>23</v>
      </c>
      <c r="L22" s="23">
        <v>727</v>
      </c>
      <c r="M22" s="23" t="s">
        <v>73</v>
      </c>
      <c r="N22" s="24">
        <v>46308.194074074076</v>
      </c>
      <c r="O22" s="23">
        <v>0</v>
      </c>
      <c r="P22" s="23" t="s">
        <v>25</v>
      </c>
      <c r="Q22" s="23">
        <v>190</v>
      </c>
      <c r="R22" s="3" t="str">
        <f>IF(OR(G22="12R",G22="12L"),_xlfn.XLOOKUP(C22,Tabla42[ADEP],Tabla42[SID 12R],""),IF(OR(G22="30L",G22="30R"),_xlfn.XLOOKUP(C22,Tabla42[ADEP],Tabla42[SID 30L],""),""))</f>
        <v>UDGUV</v>
      </c>
      <c r="S22" s="3">
        <f t="shared" si="0"/>
        <v>3</v>
      </c>
      <c r="T22" s="3" t="str">
        <f>_xlfn.XLOOKUP(C22,Tabla42[ADEP],Tabla42[Sector],"")</f>
        <v>Sector 2</v>
      </c>
    </row>
    <row r="23" spans="1:20" x14ac:dyDescent="0.2">
      <c r="A23" s="23" t="s">
        <v>75</v>
      </c>
      <c r="B23" s="23" t="s">
        <v>18</v>
      </c>
      <c r="C23" s="23" t="s">
        <v>19</v>
      </c>
      <c r="D23" s="23" t="s">
        <v>60</v>
      </c>
      <c r="E23" s="23" t="s">
        <v>641</v>
      </c>
      <c r="F23" s="24">
        <v>46308.16070601852</v>
      </c>
      <c r="G23" s="23" t="s">
        <v>623</v>
      </c>
      <c r="H23" s="23" t="s">
        <v>4397</v>
      </c>
      <c r="I23" s="23">
        <v>340</v>
      </c>
      <c r="J23" s="23" t="s">
        <v>22</v>
      </c>
      <c r="K23" s="23" t="s">
        <v>23</v>
      </c>
      <c r="L23" s="23">
        <v>865</v>
      </c>
      <c r="M23" s="23" t="s">
        <v>676</v>
      </c>
      <c r="N23" s="24">
        <v>46308.204699074071</v>
      </c>
      <c r="O23" s="23">
        <v>340</v>
      </c>
      <c r="P23" s="23" t="s">
        <v>25</v>
      </c>
      <c r="Q23" s="23">
        <v>190</v>
      </c>
      <c r="R23" s="3" t="str">
        <f>IF(OR(G23="12R",G23="12L"),_xlfn.XLOOKUP(C23,Tabla42[ADEP],Tabla42[SID 12R],""),IF(OR(G23="30L",G23="30R"),_xlfn.XLOOKUP(C23,Tabla42[ADEP],Tabla42[SID 30L],""),""))</f>
        <v>UDGUV</v>
      </c>
      <c r="S23" s="3">
        <f t="shared" si="0"/>
        <v>3</v>
      </c>
      <c r="T23" s="3" t="str">
        <f>_xlfn.XLOOKUP(C23,Tabla42[ADEP],Tabla42[Sector],"")</f>
        <v>Sector 2</v>
      </c>
    </row>
    <row r="24" spans="1:20" x14ac:dyDescent="0.2">
      <c r="A24" s="23" t="s">
        <v>86</v>
      </c>
      <c r="B24" s="23" t="s">
        <v>18</v>
      </c>
      <c r="C24" s="23" t="s">
        <v>42</v>
      </c>
      <c r="D24" s="23" t="s">
        <v>20</v>
      </c>
      <c r="E24" s="23" t="s">
        <v>1005</v>
      </c>
      <c r="F24" s="24">
        <v>46308.184583333335</v>
      </c>
      <c r="G24" s="23" t="s">
        <v>623</v>
      </c>
      <c r="H24" s="23" t="s">
        <v>4114</v>
      </c>
      <c r="I24" s="23">
        <v>340</v>
      </c>
      <c r="J24" s="23" t="s">
        <v>22</v>
      </c>
      <c r="K24" s="23" t="s">
        <v>23</v>
      </c>
      <c r="L24" s="23">
        <v>861</v>
      </c>
      <c r="M24" s="23" t="s">
        <v>45</v>
      </c>
      <c r="N24" s="24">
        <v>46308.229062500002</v>
      </c>
      <c r="O24" s="23">
        <v>340</v>
      </c>
      <c r="P24" s="23" t="s">
        <v>25</v>
      </c>
      <c r="Q24" s="23">
        <v>190</v>
      </c>
      <c r="R24" s="3" t="str">
        <f>IF(OR(G24="12R",G24="12L"),_xlfn.XLOOKUP(C24,Tabla42[ADEP],Tabla42[SID 12R],""),IF(OR(G24="30L",G24="30R"),_xlfn.XLOOKUP(C24,Tabla42[ADEP],Tabla42[SID 30L],""),""))</f>
        <v>UDGUV</v>
      </c>
      <c r="S24" s="3">
        <f t="shared" si="0"/>
        <v>4</v>
      </c>
      <c r="T24" s="3" t="str">
        <f>_xlfn.XLOOKUP(C24,Tabla42[ADEP],Tabla42[Sector],"")</f>
        <v>Sector 2</v>
      </c>
    </row>
    <row r="25" spans="1:20" x14ac:dyDescent="0.2">
      <c r="A25" s="23" t="s">
        <v>26</v>
      </c>
      <c r="B25" s="23" t="s">
        <v>18</v>
      </c>
      <c r="C25" s="23" t="s">
        <v>27</v>
      </c>
      <c r="D25" s="23" t="s">
        <v>28</v>
      </c>
      <c r="E25" s="23" t="s">
        <v>4398</v>
      </c>
      <c r="F25" s="24">
        <v>46308.216157407405</v>
      </c>
      <c r="G25" s="23" t="s">
        <v>623</v>
      </c>
      <c r="H25" s="23" t="s">
        <v>4399</v>
      </c>
      <c r="I25" s="23">
        <v>350</v>
      </c>
      <c r="J25" s="23" t="s">
        <v>22</v>
      </c>
      <c r="K25" s="23" t="s">
        <v>23</v>
      </c>
      <c r="L25" s="23">
        <v>355</v>
      </c>
      <c r="M25" s="23" t="s">
        <v>30</v>
      </c>
      <c r="N25" s="24">
        <v>46308.236793981479</v>
      </c>
      <c r="O25" s="23">
        <v>350</v>
      </c>
      <c r="P25" s="23" t="s">
        <v>25</v>
      </c>
      <c r="Q25" s="23">
        <v>40</v>
      </c>
      <c r="R25" s="3" t="str">
        <f>IF(OR(G25="12R",G25="12L"),_xlfn.XLOOKUP(C25,Tabla42[ADEP],Tabla42[SID 12R],""),IF(OR(G25="30L",G25="30R"),_xlfn.XLOOKUP(C25,Tabla42[ADEP],Tabla42[SID 30L],""),""))</f>
        <v>OMSUK</v>
      </c>
      <c r="S25" s="3">
        <f t="shared" si="0"/>
        <v>5</v>
      </c>
      <c r="T25" s="3" t="str">
        <f>_xlfn.XLOOKUP(C25,Tabla42[ADEP],Tabla42[Sector],"")</f>
        <v>Sector 3</v>
      </c>
    </row>
    <row r="26" spans="1:20" x14ac:dyDescent="0.2">
      <c r="A26" s="23" t="s">
        <v>2334</v>
      </c>
      <c r="B26" s="23" t="s">
        <v>18</v>
      </c>
      <c r="C26" s="23" t="s">
        <v>84</v>
      </c>
      <c r="D26" s="23" t="s">
        <v>85</v>
      </c>
      <c r="E26" s="23" t="s">
        <v>4400</v>
      </c>
      <c r="F26" s="24">
        <v>46308.30296296296</v>
      </c>
      <c r="G26" s="23" t="s">
        <v>623</v>
      </c>
      <c r="H26" s="23" t="s">
        <v>4401</v>
      </c>
      <c r="I26" s="23">
        <v>370</v>
      </c>
      <c r="J26" s="23" t="s">
        <v>22</v>
      </c>
      <c r="K26" s="23" t="s">
        <v>23</v>
      </c>
      <c r="L26" s="23">
        <v>136</v>
      </c>
      <c r="M26" s="23" t="s">
        <v>39</v>
      </c>
      <c r="N26" s="24">
        <v>46308.312835648147</v>
      </c>
      <c r="O26" s="23">
        <v>201</v>
      </c>
      <c r="P26" s="23" t="s">
        <v>40</v>
      </c>
      <c r="Q26" s="23">
        <v>190</v>
      </c>
      <c r="R26" s="3" t="str">
        <f>IF(OR(G26="12R",G26="12L"),_xlfn.XLOOKUP(C26,Tabla42[ADEP],Tabla42[SID 12R],""),IF(OR(G26="30L",G26="30R"),_xlfn.XLOOKUP(C26,Tabla42[ADEP],Tabla42[SID 30L],""),""))</f>
        <v>NUDAL</v>
      </c>
      <c r="S26" s="3">
        <f t="shared" si="0"/>
        <v>7</v>
      </c>
      <c r="T26" s="3" t="str">
        <f>_xlfn.XLOOKUP(C26,Tabla42[ADEP],Tabla42[Sector],"")</f>
        <v>Sector 3</v>
      </c>
    </row>
    <row r="27" spans="1:20" x14ac:dyDescent="0.2">
      <c r="A27" s="23" t="s">
        <v>90</v>
      </c>
      <c r="B27" s="23" t="s">
        <v>18</v>
      </c>
      <c r="C27" s="23" t="s">
        <v>42</v>
      </c>
      <c r="D27" s="23" t="s">
        <v>33</v>
      </c>
      <c r="E27" s="23" t="s">
        <v>4402</v>
      </c>
      <c r="F27" s="24">
        <v>46308.43922453704</v>
      </c>
      <c r="G27" s="23" t="s">
        <v>623</v>
      </c>
      <c r="H27" s="23" t="s">
        <v>4403</v>
      </c>
      <c r="I27" s="23">
        <v>360</v>
      </c>
      <c r="J27" s="23" t="s">
        <v>22</v>
      </c>
      <c r="K27" s="23" t="s">
        <v>23</v>
      </c>
      <c r="L27" s="23">
        <v>860</v>
      </c>
      <c r="M27" s="23" t="s">
        <v>45</v>
      </c>
      <c r="N27" s="24">
        <v>46308.483530092592</v>
      </c>
      <c r="O27" s="23">
        <v>360</v>
      </c>
      <c r="P27" s="23" t="s">
        <v>25</v>
      </c>
      <c r="Q27" s="23">
        <v>190</v>
      </c>
      <c r="R27" s="3" t="str">
        <f>IF(OR(G27="12R",G27="12L"),_xlfn.XLOOKUP(C27,Tabla42[ADEP],Tabla42[SID 12R],""),IF(OR(G27="30L",G27="30R"),_xlfn.XLOOKUP(C27,Tabla42[ADEP],Tabla42[SID 30L],""),""))</f>
        <v>UDGUV</v>
      </c>
      <c r="S27" s="3">
        <f t="shared" si="0"/>
        <v>10</v>
      </c>
      <c r="T27" s="3" t="str">
        <f>_xlfn.XLOOKUP(C27,Tabla42[ADEP],Tabla42[Sector],"")</f>
        <v>Sector 2</v>
      </c>
    </row>
    <row r="28" spans="1:20" x14ac:dyDescent="0.2">
      <c r="A28" s="23" t="s">
        <v>100</v>
      </c>
      <c r="B28" s="23" t="s">
        <v>18</v>
      </c>
      <c r="C28" s="23" t="s">
        <v>42</v>
      </c>
      <c r="D28" s="23" t="s">
        <v>20</v>
      </c>
      <c r="E28" s="23" t="s">
        <v>484</v>
      </c>
      <c r="F28" s="24">
        <v>46308.455833333333</v>
      </c>
      <c r="G28" s="23" t="s">
        <v>623</v>
      </c>
      <c r="H28" s="23" t="s">
        <v>4404</v>
      </c>
      <c r="I28" s="23">
        <v>360</v>
      </c>
      <c r="J28" s="23" t="s">
        <v>22</v>
      </c>
      <c r="K28" s="23" t="s">
        <v>23</v>
      </c>
      <c r="L28" s="23">
        <v>861</v>
      </c>
      <c r="M28" s="23" t="s">
        <v>45</v>
      </c>
      <c r="N28" s="24">
        <v>46308.499155092592</v>
      </c>
      <c r="O28" s="23">
        <v>360</v>
      </c>
      <c r="P28" s="23" t="s">
        <v>25</v>
      </c>
      <c r="Q28" s="23">
        <v>190</v>
      </c>
      <c r="R28" s="3" t="str">
        <f>IF(OR(G28="12R",G28="12L"),_xlfn.XLOOKUP(C28,Tabla42[ADEP],Tabla42[SID 12R],""),IF(OR(G28="30L",G28="30R"),_xlfn.XLOOKUP(C28,Tabla42[ADEP],Tabla42[SID 30L],""),""))</f>
        <v>UDGUV</v>
      </c>
      <c r="S28" s="3">
        <f t="shared" si="0"/>
        <v>10</v>
      </c>
      <c r="T28" s="3" t="str">
        <f>_xlfn.XLOOKUP(C28,Tabla42[ADEP],Tabla42[Sector],"")</f>
        <v>Sector 2</v>
      </c>
    </row>
    <row r="29" spans="1:20" x14ac:dyDescent="0.2">
      <c r="A29" s="23" t="s">
        <v>92</v>
      </c>
      <c r="B29" s="23" t="s">
        <v>18</v>
      </c>
      <c r="C29" s="23" t="s">
        <v>93</v>
      </c>
      <c r="D29" s="23" t="s">
        <v>20</v>
      </c>
      <c r="E29" s="23" t="s">
        <v>2024</v>
      </c>
      <c r="F29" s="24">
        <v>46308.460381944446</v>
      </c>
      <c r="G29" s="23" t="s">
        <v>623</v>
      </c>
      <c r="H29" s="23" t="s">
        <v>4405</v>
      </c>
      <c r="I29" s="23">
        <v>340</v>
      </c>
      <c r="J29" s="23" t="s">
        <v>22</v>
      </c>
      <c r="K29" s="23" t="s">
        <v>23</v>
      </c>
      <c r="L29" s="23">
        <v>877</v>
      </c>
      <c r="M29" s="23" t="s">
        <v>94</v>
      </c>
      <c r="N29" s="24">
        <v>46308.506851851853</v>
      </c>
      <c r="O29" s="23">
        <v>245</v>
      </c>
      <c r="P29" s="23" t="s">
        <v>25</v>
      </c>
      <c r="Q29" s="23">
        <v>190</v>
      </c>
      <c r="R29" s="3" t="str">
        <f>IF(OR(G29="12R",G29="12L"),_xlfn.XLOOKUP(C29,Tabla42[ADEP],Tabla42[SID 12R],""),IF(OR(G29="30L",G29="30R"),_xlfn.XLOOKUP(C29,Tabla42[ADEP],Tabla42[SID 30L],""),""))</f>
        <v>UDGUV</v>
      </c>
      <c r="S29" s="3">
        <f t="shared" si="0"/>
        <v>11</v>
      </c>
      <c r="T29" s="3" t="str">
        <f>_xlfn.XLOOKUP(C29,Tabla42[ADEP],Tabla42[Sector],"")</f>
        <v>Sector 2</v>
      </c>
    </row>
    <row r="30" spans="1:20" x14ac:dyDescent="0.2">
      <c r="A30" s="23" t="s">
        <v>98</v>
      </c>
      <c r="B30" s="23" t="s">
        <v>18</v>
      </c>
      <c r="C30" s="23" t="s">
        <v>42</v>
      </c>
      <c r="D30" s="23" t="s">
        <v>43</v>
      </c>
      <c r="E30" s="23" t="s">
        <v>496</v>
      </c>
      <c r="F30" s="24">
        <v>46308.472060185188</v>
      </c>
      <c r="G30" s="23" t="s">
        <v>623</v>
      </c>
      <c r="H30" s="23" t="s">
        <v>4406</v>
      </c>
      <c r="I30" s="23">
        <v>360</v>
      </c>
      <c r="J30" s="23" t="s">
        <v>22</v>
      </c>
      <c r="K30" s="23" t="s">
        <v>23</v>
      </c>
      <c r="L30" s="23">
        <v>861</v>
      </c>
      <c r="M30" s="23" t="s">
        <v>45</v>
      </c>
      <c r="N30" s="24">
        <v>46308.51730324074</v>
      </c>
      <c r="O30" s="23">
        <v>360</v>
      </c>
      <c r="P30" s="23" t="s">
        <v>25</v>
      </c>
      <c r="Q30" s="23">
        <v>190</v>
      </c>
      <c r="R30" s="3" t="str">
        <f>IF(OR(G30="12R",G30="12L"),_xlfn.XLOOKUP(C30,Tabla42[ADEP],Tabla42[SID 12R],""),IF(OR(G30="30L",G30="30R"),_xlfn.XLOOKUP(C30,Tabla42[ADEP],Tabla42[SID 30L],""),""))</f>
        <v>UDGUV</v>
      </c>
      <c r="S30" s="3">
        <f t="shared" si="0"/>
        <v>11</v>
      </c>
      <c r="T30" s="3" t="str">
        <f>_xlfn.XLOOKUP(C30,Tabla42[ADEP],Tabla42[Sector],"")</f>
        <v>Sector 2</v>
      </c>
    </row>
    <row r="31" spans="1:20" x14ac:dyDescent="0.2">
      <c r="A31" s="23" t="s">
        <v>95</v>
      </c>
      <c r="B31" s="23" t="s">
        <v>18</v>
      </c>
      <c r="C31" s="23" t="s">
        <v>96</v>
      </c>
      <c r="D31" s="23" t="s">
        <v>53</v>
      </c>
      <c r="E31" s="23" t="s">
        <v>393</v>
      </c>
      <c r="F31" s="24">
        <v>46308.474490740744</v>
      </c>
      <c r="G31" s="23" t="s">
        <v>623</v>
      </c>
      <c r="H31" s="23" t="s">
        <v>4117</v>
      </c>
      <c r="I31" s="23">
        <v>360</v>
      </c>
      <c r="J31" s="23" t="s">
        <v>22</v>
      </c>
      <c r="K31" s="23" t="s">
        <v>23</v>
      </c>
      <c r="L31" s="23">
        <v>861</v>
      </c>
      <c r="M31" s="23" t="s">
        <v>45</v>
      </c>
      <c r="N31" s="24">
        <v>46308.519004629627</v>
      </c>
      <c r="O31" s="23">
        <v>360</v>
      </c>
      <c r="P31" s="23" t="s">
        <v>25</v>
      </c>
      <c r="Q31" s="23">
        <v>190</v>
      </c>
      <c r="R31" s="3" t="str">
        <f>IF(OR(G31="12R",G31="12L"),_xlfn.XLOOKUP(C31,Tabla42[ADEP],Tabla42[SID 12R],""),IF(OR(G31="30L",G31="30R"),_xlfn.XLOOKUP(C31,Tabla42[ADEP],Tabla42[SID 30L],""),""))</f>
        <v>UDGUV</v>
      </c>
      <c r="S31" s="3">
        <f t="shared" si="0"/>
        <v>11</v>
      </c>
      <c r="T31" s="3" t="str">
        <f>_xlfn.XLOOKUP(C31,Tabla42[ADEP],Tabla42[Sector],"")</f>
        <v>Sector 2</v>
      </c>
    </row>
    <row r="32" spans="1:20" x14ac:dyDescent="0.2">
      <c r="A32" s="23" t="s">
        <v>101</v>
      </c>
      <c r="B32" s="23" t="s">
        <v>18</v>
      </c>
      <c r="C32" s="23" t="s">
        <v>102</v>
      </c>
      <c r="D32" s="23" t="s">
        <v>53</v>
      </c>
      <c r="E32" s="23" t="s">
        <v>106</v>
      </c>
      <c r="F32" s="24">
        <v>46308.490289351852</v>
      </c>
      <c r="G32" s="23" t="s">
        <v>623</v>
      </c>
      <c r="H32" s="23" t="s">
        <v>4407</v>
      </c>
      <c r="I32" s="23">
        <v>290</v>
      </c>
      <c r="J32" s="23" t="s">
        <v>22</v>
      </c>
      <c r="K32" s="23" t="s">
        <v>23</v>
      </c>
      <c r="L32" s="23">
        <v>132</v>
      </c>
      <c r="M32" s="23" t="s">
        <v>39</v>
      </c>
      <c r="N32" s="24">
        <v>46308.499594907407</v>
      </c>
      <c r="O32" s="23">
        <v>288</v>
      </c>
      <c r="P32" s="23" t="s">
        <v>25</v>
      </c>
      <c r="Q32" s="23">
        <v>190</v>
      </c>
      <c r="R32" s="3" t="str">
        <f>IF(OR(G32="12R",G32="12L"),_xlfn.XLOOKUP(C32,Tabla42[ADEP],Tabla42[SID 12R],""),IF(OR(G32="30L",G32="30R"),_xlfn.XLOOKUP(C32,Tabla42[ADEP],Tabla42[SID 30L],""),""))</f>
        <v>NUDAL</v>
      </c>
      <c r="S32" s="3">
        <f t="shared" si="0"/>
        <v>11</v>
      </c>
      <c r="T32" s="3" t="str">
        <f>_xlfn.XLOOKUP(C32,Tabla42[ADEP],Tabla42[Sector],"")</f>
        <v>Sector 3</v>
      </c>
    </row>
    <row r="33" spans="1:20" x14ac:dyDescent="0.2">
      <c r="A33" s="23" t="s">
        <v>108</v>
      </c>
      <c r="B33" s="23" t="s">
        <v>18</v>
      </c>
      <c r="C33" s="23" t="s">
        <v>109</v>
      </c>
      <c r="D33" s="23" t="s">
        <v>122</v>
      </c>
      <c r="E33" s="23" t="s">
        <v>3531</v>
      </c>
      <c r="F33" s="24">
        <v>46308.500069444446</v>
      </c>
      <c r="G33" s="23" t="s">
        <v>623</v>
      </c>
      <c r="H33" s="23" t="s">
        <v>4408</v>
      </c>
      <c r="I33" s="23">
        <v>330</v>
      </c>
      <c r="J33" s="23" t="s">
        <v>22</v>
      </c>
      <c r="K33" s="23" t="s">
        <v>23</v>
      </c>
      <c r="L33" s="23">
        <v>150</v>
      </c>
      <c r="M33" s="23" t="s">
        <v>111</v>
      </c>
      <c r="N33" s="24">
        <v>46308.510150462964</v>
      </c>
      <c r="O33" s="23">
        <v>283</v>
      </c>
      <c r="P33" s="23" t="s">
        <v>25</v>
      </c>
      <c r="Q33" s="23">
        <v>190</v>
      </c>
      <c r="R33" s="3" t="str">
        <f>IF(OR(G33="12R",G33="12L"),_xlfn.XLOOKUP(C33,Tabla42[ADEP],Tabla42[SID 12R],""),IF(OR(G33="30L",G33="30R"),_xlfn.XLOOKUP(C33,Tabla42[ADEP],Tabla42[SID 30L],""),""))</f>
        <v>TAKUX</v>
      </c>
      <c r="S33" s="3">
        <f t="shared" si="0"/>
        <v>12</v>
      </c>
      <c r="T33" s="3" t="str">
        <f>_xlfn.XLOOKUP(C33,Tabla42[ADEP],Tabla42[Sector],"")</f>
        <v>Sector 7</v>
      </c>
    </row>
    <row r="34" spans="1:20" x14ac:dyDescent="0.2">
      <c r="A34" s="23" t="s">
        <v>112</v>
      </c>
      <c r="B34" s="23" t="s">
        <v>18</v>
      </c>
      <c r="C34" s="23" t="s">
        <v>113</v>
      </c>
      <c r="D34" s="23" t="s">
        <v>60</v>
      </c>
      <c r="E34" s="23" t="s">
        <v>529</v>
      </c>
      <c r="F34" s="24">
        <v>46308.505381944444</v>
      </c>
      <c r="G34" s="23" t="s">
        <v>623</v>
      </c>
      <c r="H34" s="23" t="s">
        <v>4409</v>
      </c>
      <c r="I34" s="23">
        <v>360</v>
      </c>
      <c r="J34" s="23" t="s">
        <v>22</v>
      </c>
      <c r="K34" s="23" t="s">
        <v>23</v>
      </c>
      <c r="L34" s="23">
        <v>866</v>
      </c>
      <c r="M34" s="23" t="s">
        <v>35</v>
      </c>
      <c r="N34" s="24">
        <v>46308.54965277778</v>
      </c>
      <c r="O34" s="23">
        <v>360</v>
      </c>
      <c r="P34" s="23" t="s">
        <v>25</v>
      </c>
      <c r="Q34" s="23">
        <v>190</v>
      </c>
      <c r="R34" s="3" t="str">
        <f>IF(OR(G34="12R",G34="12L"),_xlfn.XLOOKUP(C34,Tabla42[ADEP],Tabla42[SID 12R],""),IF(OR(G34="30L",G34="30R"),_xlfn.XLOOKUP(C34,Tabla42[ADEP],Tabla42[SID 30L],""),""))</f>
        <v>UDGUV</v>
      </c>
      <c r="S34" s="3">
        <f t="shared" si="0"/>
        <v>12</v>
      </c>
      <c r="T34" s="3" t="str">
        <f>_xlfn.XLOOKUP(C34,Tabla42[ADEP],Tabla42[Sector],"")</f>
        <v>Sector 2</v>
      </c>
    </row>
    <row r="35" spans="1:20" x14ac:dyDescent="0.2">
      <c r="A35" s="23" t="s">
        <v>107</v>
      </c>
      <c r="B35" s="23" t="s">
        <v>18</v>
      </c>
      <c r="C35" s="23" t="s">
        <v>42</v>
      </c>
      <c r="D35" s="23" t="s">
        <v>43</v>
      </c>
      <c r="E35" s="23" t="s">
        <v>2727</v>
      </c>
      <c r="F35" s="24">
        <v>46308.506921296299</v>
      </c>
      <c r="G35" s="23" t="s">
        <v>623</v>
      </c>
      <c r="H35" s="23" t="s">
        <v>4410</v>
      </c>
      <c r="I35" s="23">
        <v>360</v>
      </c>
      <c r="J35" s="23" t="s">
        <v>22</v>
      </c>
      <c r="K35" s="23" t="s">
        <v>23</v>
      </c>
      <c r="L35" s="23">
        <v>861</v>
      </c>
      <c r="M35" s="23" t="s">
        <v>45</v>
      </c>
      <c r="N35" s="24">
        <v>46308.551365740743</v>
      </c>
      <c r="O35" s="23">
        <v>360</v>
      </c>
      <c r="P35" s="23" t="s">
        <v>25</v>
      </c>
      <c r="Q35" s="23">
        <v>190</v>
      </c>
      <c r="R35" s="3" t="str">
        <f>IF(OR(G35="12R",G35="12L"),_xlfn.XLOOKUP(C35,Tabla42[ADEP],Tabla42[SID 12R],""),IF(OR(G35="30L",G35="30R"),_xlfn.XLOOKUP(C35,Tabla42[ADEP],Tabla42[SID 30L],""),""))</f>
        <v>UDGUV</v>
      </c>
      <c r="S35" s="3">
        <f t="shared" si="0"/>
        <v>12</v>
      </c>
      <c r="T35" s="3" t="str">
        <f>_xlfn.XLOOKUP(C35,Tabla42[ADEP],Tabla42[Sector],"")</f>
        <v>Sector 2</v>
      </c>
    </row>
    <row r="36" spans="1:20" x14ac:dyDescent="0.2">
      <c r="A36" s="23" t="s">
        <v>105</v>
      </c>
      <c r="B36" s="23" t="s">
        <v>18</v>
      </c>
      <c r="C36" s="23" t="s">
        <v>32</v>
      </c>
      <c r="D36" s="23" t="s">
        <v>33</v>
      </c>
      <c r="E36" s="23" t="s">
        <v>368</v>
      </c>
      <c r="F36" s="24">
        <v>46308.517013888886</v>
      </c>
      <c r="G36" s="23" t="s">
        <v>623</v>
      </c>
      <c r="H36" s="23" t="s">
        <v>4411</v>
      </c>
      <c r="I36" s="23">
        <v>380</v>
      </c>
      <c r="J36" s="23" t="s">
        <v>22</v>
      </c>
      <c r="K36" s="23" t="s">
        <v>23</v>
      </c>
      <c r="L36" s="23">
        <v>866</v>
      </c>
      <c r="M36" s="23" t="s">
        <v>35</v>
      </c>
      <c r="N36" s="24">
        <v>46308.560636574075</v>
      </c>
      <c r="O36" s="23">
        <v>380</v>
      </c>
      <c r="P36" s="23" t="s">
        <v>25</v>
      </c>
      <c r="Q36" s="23">
        <v>190</v>
      </c>
      <c r="R36" s="3" t="str">
        <f>IF(OR(G36="12R",G36="12L"),_xlfn.XLOOKUP(C36,Tabla42[ADEP],Tabla42[SID 12R],""),IF(OR(G36="30L",G36="30R"),_xlfn.XLOOKUP(C36,Tabla42[ADEP],Tabla42[SID 30L],""),""))</f>
        <v>UDGUV</v>
      </c>
      <c r="S36" s="3">
        <f t="shared" si="0"/>
        <v>12</v>
      </c>
      <c r="T36" s="3" t="str">
        <f>_xlfn.XLOOKUP(C36,Tabla42[ADEP],Tabla42[Sector],"")</f>
        <v>Sector 2</v>
      </c>
    </row>
    <row r="37" spans="1:20" x14ac:dyDescent="0.2">
      <c r="A37" s="23" t="s">
        <v>2381</v>
      </c>
      <c r="B37" s="23" t="s">
        <v>18</v>
      </c>
      <c r="C37" s="23" t="s">
        <v>121</v>
      </c>
      <c r="D37" s="23" t="s">
        <v>122</v>
      </c>
      <c r="E37" s="23" t="s">
        <v>4412</v>
      </c>
      <c r="F37" s="24">
        <v>46308.518819444442</v>
      </c>
      <c r="G37" s="23" t="s">
        <v>623</v>
      </c>
      <c r="H37" s="23" t="s">
        <v>4413</v>
      </c>
      <c r="I37" s="23">
        <v>360</v>
      </c>
      <c r="J37" s="23" t="s">
        <v>22</v>
      </c>
      <c r="K37" s="23" t="s">
        <v>23</v>
      </c>
      <c r="L37" s="23">
        <v>548</v>
      </c>
      <c r="M37" s="23" t="s">
        <v>123</v>
      </c>
      <c r="N37" s="24">
        <v>46308.547280092593</v>
      </c>
      <c r="O37" s="23">
        <v>360</v>
      </c>
      <c r="P37" s="23" t="s">
        <v>25</v>
      </c>
      <c r="Q37" s="23">
        <v>40</v>
      </c>
      <c r="R37" s="3" t="str">
        <f>IF(OR(G37="12R",G37="12L"),_xlfn.XLOOKUP(C37,Tabla42[ADEP],Tabla42[SID 12R],""),IF(OR(G37="30L",G37="30R"),_xlfn.XLOOKUP(C37,Tabla42[ADEP],Tabla42[SID 30L],""),""))</f>
        <v>ENEBA</v>
      </c>
      <c r="S37" s="3">
        <f t="shared" si="0"/>
        <v>12</v>
      </c>
      <c r="T37" s="3" t="str">
        <f>_xlfn.XLOOKUP(C37,Tabla42[ADEP],Tabla42[Sector],"")</f>
        <v>Sector 3</v>
      </c>
    </row>
    <row r="38" spans="1:20" x14ac:dyDescent="0.2">
      <c r="A38" s="23" t="s">
        <v>115</v>
      </c>
      <c r="B38" s="23" t="s">
        <v>18</v>
      </c>
      <c r="C38" s="23" t="s">
        <v>116</v>
      </c>
      <c r="D38" s="23" t="s">
        <v>117</v>
      </c>
      <c r="E38" s="23" t="s">
        <v>3257</v>
      </c>
      <c r="F38" s="24">
        <v>46308.540659722225</v>
      </c>
      <c r="G38" s="23" t="s">
        <v>623</v>
      </c>
      <c r="H38" s="23" t="s">
        <v>4414</v>
      </c>
      <c r="I38" s="23">
        <v>340</v>
      </c>
      <c r="J38" s="23" t="s">
        <v>22</v>
      </c>
      <c r="K38" s="23" t="s">
        <v>23</v>
      </c>
      <c r="L38" s="23">
        <v>528</v>
      </c>
      <c r="M38" s="23" t="s">
        <v>123</v>
      </c>
      <c r="N38" s="24">
        <v>46308.568912037037</v>
      </c>
      <c r="O38" s="23">
        <v>340</v>
      </c>
      <c r="P38" s="23" t="s">
        <v>25</v>
      </c>
      <c r="Q38" s="23">
        <v>40</v>
      </c>
      <c r="R38" s="3" t="str">
        <f>IF(OR(G38="12R",G38="12L"),_xlfn.XLOOKUP(C38,Tabla42[ADEP],Tabla42[SID 12R],""),IF(OR(G38="30L",G38="30R"),_xlfn.XLOOKUP(C38,Tabla42[ADEP],Tabla42[SID 30L],""),""))</f>
        <v>ENEBA</v>
      </c>
      <c r="S38" s="3">
        <f t="shared" si="0"/>
        <v>12</v>
      </c>
      <c r="T38" s="3" t="str">
        <f>_xlfn.XLOOKUP(C38,Tabla42[ADEP],Tabla42[Sector],"")</f>
        <v>Sector 3</v>
      </c>
    </row>
    <row r="39" spans="1:20" x14ac:dyDescent="0.2">
      <c r="A39" s="23" t="s">
        <v>125</v>
      </c>
      <c r="B39" s="23" t="s">
        <v>18</v>
      </c>
      <c r="C39" s="23" t="s">
        <v>126</v>
      </c>
      <c r="D39" s="23" t="s">
        <v>122</v>
      </c>
      <c r="E39" s="23" t="s">
        <v>3850</v>
      </c>
      <c r="F39" s="24">
        <v>46308.545914351853</v>
      </c>
      <c r="G39" s="23" t="s">
        <v>21</v>
      </c>
      <c r="H39" s="23" t="s">
        <v>4415</v>
      </c>
      <c r="I39" s="23">
        <v>370</v>
      </c>
      <c r="J39" s="23" t="s">
        <v>22</v>
      </c>
      <c r="K39" s="23" t="s">
        <v>23</v>
      </c>
      <c r="L39" s="23">
        <v>359</v>
      </c>
      <c r="M39" s="23" t="s">
        <v>30</v>
      </c>
      <c r="N39" s="24">
        <v>46308.566527777781</v>
      </c>
      <c r="O39" s="23">
        <v>370</v>
      </c>
      <c r="P39" s="23" t="s">
        <v>25</v>
      </c>
      <c r="Q39" s="23">
        <v>40</v>
      </c>
      <c r="R39" s="3" t="str">
        <f>IF(OR(G39="12R",G39="12L"),_xlfn.XLOOKUP(C39,Tabla42[ADEP],Tabla42[SID 12R],""),IF(OR(G39="30L",G39="30R"),_xlfn.XLOOKUP(C39,Tabla42[ADEP],Tabla42[SID 30L],""),""))</f>
        <v>ENEBA</v>
      </c>
      <c r="S39" s="3">
        <f t="shared" si="0"/>
        <v>13</v>
      </c>
      <c r="T39" s="3" t="str">
        <f>_xlfn.XLOOKUP(C39,Tabla42[ADEP],Tabla42[Sector],"")</f>
        <v>Sector 3</v>
      </c>
    </row>
    <row r="40" spans="1:20" x14ac:dyDescent="0.2">
      <c r="A40" s="23" t="s">
        <v>119</v>
      </c>
      <c r="B40" s="23" t="s">
        <v>18</v>
      </c>
      <c r="C40" s="23" t="s">
        <v>42</v>
      </c>
      <c r="D40" s="23" t="s">
        <v>43</v>
      </c>
      <c r="E40" s="23" t="s">
        <v>470</v>
      </c>
      <c r="F40" s="24">
        <v>46308.549537037034</v>
      </c>
      <c r="G40" s="23" t="s">
        <v>21</v>
      </c>
      <c r="H40" s="23" t="s">
        <v>343</v>
      </c>
      <c r="I40" s="23">
        <v>360</v>
      </c>
      <c r="J40" s="23" t="s">
        <v>22</v>
      </c>
      <c r="K40" s="23" t="s">
        <v>23</v>
      </c>
      <c r="L40" s="23">
        <v>859</v>
      </c>
      <c r="M40" s="23" t="s">
        <v>45</v>
      </c>
      <c r="N40" s="24">
        <v>46308.594004629631</v>
      </c>
      <c r="O40" s="23">
        <v>360</v>
      </c>
      <c r="P40" s="23" t="s">
        <v>25</v>
      </c>
      <c r="Q40" s="23">
        <v>190</v>
      </c>
      <c r="R40" s="3" t="str">
        <f>IF(OR(G40="12R",G40="12L"),_xlfn.XLOOKUP(C40,Tabla42[ADEP],Tabla42[SID 12R],""),IF(OR(G40="30L",G40="30R"),_xlfn.XLOOKUP(C40,Tabla42[ADEP],Tabla42[SID 30L],""),""))</f>
        <v>UDGUV</v>
      </c>
      <c r="S40" s="3">
        <f t="shared" si="0"/>
        <v>13</v>
      </c>
      <c r="T40" s="3" t="str">
        <f>_xlfn.XLOOKUP(C40,Tabla42[ADEP],Tabla42[Sector],"")</f>
        <v>Sector 2</v>
      </c>
    </row>
    <row r="41" spans="1:20" x14ac:dyDescent="0.2">
      <c r="A41" s="23" t="s">
        <v>4416</v>
      </c>
      <c r="B41" s="23" t="s">
        <v>18</v>
      </c>
      <c r="C41" s="23" t="s">
        <v>65</v>
      </c>
      <c r="D41" s="23" t="s">
        <v>458</v>
      </c>
      <c r="E41" s="23"/>
      <c r="F41" s="24">
        <v>46308.55505787037</v>
      </c>
      <c r="G41" s="23" t="s">
        <v>21</v>
      </c>
      <c r="H41" s="23" t="s">
        <v>4417</v>
      </c>
      <c r="I41" s="23">
        <v>65</v>
      </c>
      <c r="J41" s="23" t="s">
        <v>130</v>
      </c>
      <c r="K41" s="23" t="s">
        <v>50</v>
      </c>
      <c r="L41" s="23">
        <v>313</v>
      </c>
      <c r="M41" s="23" t="s">
        <v>65</v>
      </c>
      <c r="N41" s="24">
        <v>46308.600555555553</v>
      </c>
      <c r="O41" s="23">
        <v>0</v>
      </c>
      <c r="P41" s="23" t="s">
        <v>129</v>
      </c>
      <c r="Q41" s="23">
        <v>15</v>
      </c>
      <c r="R41" s="3" t="str">
        <f>IF(OR(G41="12R",G41="12L"),_xlfn.XLOOKUP(C41,Tabla42[ADEP],Tabla42[SID 12R],""),IF(OR(G41="30L",G41="30R"),_xlfn.XLOOKUP(C41,Tabla42[ADEP],Tabla42[SID 30L],""),""))</f>
        <v>UDGUV</v>
      </c>
      <c r="S41" s="3">
        <f t="shared" si="0"/>
        <v>13</v>
      </c>
      <c r="T41" s="3" t="str">
        <f>_xlfn.XLOOKUP(C41,Tabla42[ADEP],Tabla42[Sector],"")</f>
        <v>Sector 2</v>
      </c>
    </row>
    <row r="42" spans="1:20" x14ac:dyDescent="0.2">
      <c r="A42" s="23" t="s">
        <v>127</v>
      </c>
      <c r="B42" s="23" t="s">
        <v>18</v>
      </c>
      <c r="C42" s="23" t="s">
        <v>128</v>
      </c>
      <c r="D42" s="23" t="s">
        <v>43</v>
      </c>
      <c r="E42" s="23" t="s">
        <v>3941</v>
      </c>
      <c r="F42" s="24">
        <v>46308.580104166664</v>
      </c>
      <c r="G42" s="23" t="s">
        <v>21</v>
      </c>
      <c r="H42" s="23" t="s">
        <v>4418</v>
      </c>
      <c r="I42" s="23">
        <v>330</v>
      </c>
      <c r="J42" s="23" t="s">
        <v>22</v>
      </c>
      <c r="K42" s="23" t="s">
        <v>23</v>
      </c>
      <c r="L42" s="23">
        <v>361</v>
      </c>
      <c r="M42" s="23" t="s">
        <v>30</v>
      </c>
      <c r="N42" s="24">
        <v>46308.60119212963</v>
      </c>
      <c r="O42" s="23">
        <v>330</v>
      </c>
      <c r="P42" s="23" t="s">
        <v>25</v>
      </c>
      <c r="Q42" s="23">
        <v>40</v>
      </c>
      <c r="R42" s="3" t="str">
        <f>IF(OR(G42="12R",G42="12L"),_xlfn.XLOOKUP(C42,Tabla42[ADEP],Tabla42[SID 12R],""),IF(OR(G42="30L",G42="30R"),_xlfn.XLOOKUP(C42,Tabla42[ADEP],Tabla42[SID 30L],""),""))</f>
        <v>OMSUK</v>
      </c>
      <c r="S42" s="3">
        <f t="shared" si="0"/>
        <v>13</v>
      </c>
      <c r="T42" s="3" t="str">
        <f>_xlfn.XLOOKUP(C42,Tabla42[ADEP],Tabla42[Sector],"")</f>
        <v>Sector 3</v>
      </c>
    </row>
    <row r="43" spans="1:20" x14ac:dyDescent="0.2">
      <c r="A43" s="23" t="s">
        <v>131</v>
      </c>
      <c r="B43" s="23" t="s">
        <v>18</v>
      </c>
      <c r="C43" s="23" t="s">
        <v>42</v>
      </c>
      <c r="D43" s="23" t="s">
        <v>43</v>
      </c>
      <c r="E43" s="23" t="s">
        <v>269</v>
      </c>
      <c r="F43" s="24">
        <v>46308.601354166669</v>
      </c>
      <c r="G43" s="23" t="s">
        <v>21</v>
      </c>
      <c r="H43" s="23" t="s">
        <v>4419</v>
      </c>
      <c r="I43" s="23">
        <v>360</v>
      </c>
      <c r="J43" s="23" t="s">
        <v>22</v>
      </c>
      <c r="K43" s="23" t="s">
        <v>23</v>
      </c>
      <c r="L43" s="23">
        <v>859</v>
      </c>
      <c r="M43" s="23" t="s">
        <v>45</v>
      </c>
      <c r="N43" s="24">
        <v>46308.645543981482</v>
      </c>
      <c r="O43" s="23">
        <v>360</v>
      </c>
      <c r="P43" s="23" t="s">
        <v>25</v>
      </c>
      <c r="Q43" s="23">
        <v>190</v>
      </c>
      <c r="R43" s="3" t="str">
        <f>IF(OR(G43="12R",G43="12L"),_xlfn.XLOOKUP(C43,Tabla42[ADEP],Tabla42[SID 12R],""),IF(OR(G43="30L",G43="30R"),_xlfn.XLOOKUP(C43,Tabla42[ADEP],Tabla42[SID 30L],""),""))</f>
        <v>UDGUV</v>
      </c>
      <c r="S43" s="3">
        <f t="shared" si="0"/>
        <v>14</v>
      </c>
      <c r="T43" s="3" t="str">
        <f>_xlfn.XLOOKUP(C43,Tabla42[ADEP],Tabla42[Sector],"")</f>
        <v>Sector 2</v>
      </c>
    </row>
    <row r="44" spans="1:20" x14ac:dyDescent="0.2">
      <c r="A44" s="23" t="s">
        <v>2076</v>
      </c>
      <c r="B44" s="23" t="s">
        <v>18</v>
      </c>
      <c r="C44" s="23" t="s">
        <v>18</v>
      </c>
      <c r="D44" s="23" t="s">
        <v>2077</v>
      </c>
      <c r="E44" s="23"/>
      <c r="F44" s="24">
        <v>46308.604259259257</v>
      </c>
      <c r="G44" s="23" t="s">
        <v>21</v>
      </c>
      <c r="H44" s="23" t="s">
        <v>4420</v>
      </c>
      <c r="I44" s="23">
        <v>15</v>
      </c>
      <c r="J44" s="23" t="s">
        <v>130</v>
      </c>
      <c r="K44" s="23" t="s">
        <v>50</v>
      </c>
      <c r="L44" s="23">
        <v>154</v>
      </c>
      <c r="M44" s="23" t="s">
        <v>18</v>
      </c>
      <c r="N44" s="24">
        <v>46308.614398148151</v>
      </c>
      <c r="O44" s="23">
        <v>0</v>
      </c>
      <c r="P44" s="23" t="s">
        <v>129</v>
      </c>
      <c r="Q44" s="23">
        <v>15</v>
      </c>
      <c r="R44" s="3" t="str">
        <f>IF(OR(G44="12R",G44="12L"),_xlfn.XLOOKUP(C44,Tabla42[ADEP],Tabla42[SID 12R],""),IF(OR(G44="30L",G44="30R"),_xlfn.XLOOKUP(C44,Tabla42[ADEP],Tabla42[SID 30L],""),""))</f>
        <v/>
      </c>
      <c r="S44" s="3">
        <f t="shared" si="0"/>
        <v>14</v>
      </c>
      <c r="T44" s="3" t="str">
        <f>_xlfn.XLOOKUP(C44,Tabla42[ADEP],Tabla42[Sector],"")</f>
        <v/>
      </c>
    </row>
    <row r="45" spans="1:20" x14ac:dyDescent="0.2">
      <c r="A45" s="23" t="s">
        <v>4421</v>
      </c>
      <c r="B45" s="23" t="s">
        <v>18</v>
      </c>
      <c r="C45" s="23" t="s">
        <v>371</v>
      </c>
      <c r="D45" s="23" t="s">
        <v>3789</v>
      </c>
      <c r="E45" s="23"/>
      <c r="F45" s="24">
        <v>46308.609722222223</v>
      </c>
      <c r="G45" s="23" t="s">
        <v>21</v>
      </c>
      <c r="H45" s="23" t="s">
        <v>155</v>
      </c>
      <c r="I45" s="23">
        <v>10</v>
      </c>
      <c r="J45" s="23" t="s">
        <v>130</v>
      </c>
      <c r="K45" s="23" t="s">
        <v>50</v>
      </c>
      <c r="L45" s="23">
        <v>69</v>
      </c>
      <c r="M45" s="23" t="s">
        <v>371</v>
      </c>
      <c r="N45" s="24">
        <v>46308.624432870369</v>
      </c>
      <c r="O45" s="23">
        <v>0</v>
      </c>
      <c r="P45" s="23" t="s">
        <v>129</v>
      </c>
      <c r="Q45" s="23">
        <v>10</v>
      </c>
      <c r="R45" s="3" t="str">
        <f>IF(OR(G45="12R",G45="12L"),_xlfn.XLOOKUP(C45,Tabla42[ADEP],Tabla42[SID 12R],""),IF(OR(G45="30L",G45="30R"),_xlfn.XLOOKUP(C45,Tabla42[ADEP],Tabla42[SID 30L],""),""))</f>
        <v/>
      </c>
      <c r="S45" s="3">
        <f t="shared" si="0"/>
        <v>14</v>
      </c>
      <c r="T45" s="3" t="str">
        <f>_xlfn.XLOOKUP(C45,Tabla42[ADEP],Tabla42[Sector],"")</f>
        <v/>
      </c>
    </row>
    <row r="46" spans="1:20" x14ac:dyDescent="0.2">
      <c r="A46" s="23" t="s">
        <v>135</v>
      </c>
      <c r="B46" s="23" t="s">
        <v>18</v>
      </c>
      <c r="C46" s="23" t="s">
        <v>32</v>
      </c>
      <c r="D46" s="23" t="s">
        <v>53</v>
      </c>
      <c r="E46" s="23" t="s">
        <v>734</v>
      </c>
      <c r="F46" s="24">
        <v>46308.63082175926</v>
      </c>
      <c r="G46" s="23" t="s">
        <v>21</v>
      </c>
      <c r="H46" s="23" t="s">
        <v>4422</v>
      </c>
      <c r="I46" s="23">
        <v>380</v>
      </c>
      <c r="J46" s="23" t="s">
        <v>22</v>
      </c>
      <c r="K46" s="23" t="s">
        <v>23</v>
      </c>
      <c r="L46" s="23">
        <v>867</v>
      </c>
      <c r="M46" s="23" t="s">
        <v>35</v>
      </c>
      <c r="N46" s="24">
        <v>46308.673854166664</v>
      </c>
      <c r="O46" s="23">
        <v>380</v>
      </c>
      <c r="P46" s="23" t="s">
        <v>25</v>
      </c>
      <c r="Q46" s="23">
        <v>190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23" t="s">
        <v>3540</v>
      </c>
      <c r="B47" s="23" t="s">
        <v>18</v>
      </c>
      <c r="C47" s="23" t="s">
        <v>49</v>
      </c>
      <c r="D47" s="23" t="s">
        <v>33</v>
      </c>
      <c r="E47" s="23" t="s">
        <v>532</v>
      </c>
      <c r="F47" s="24">
        <v>46308.646886574075</v>
      </c>
      <c r="G47" s="23" t="s">
        <v>21</v>
      </c>
      <c r="H47" s="23" t="s">
        <v>4423</v>
      </c>
      <c r="I47" s="23">
        <v>360</v>
      </c>
      <c r="J47" s="23" t="s">
        <v>22</v>
      </c>
      <c r="K47" s="23" t="s">
        <v>23</v>
      </c>
      <c r="L47" s="23">
        <v>859</v>
      </c>
      <c r="M47" s="23" t="s">
        <v>45</v>
      </c>
      <c r="N47" s="24">
        <v>46308.69054398148</v>
      </c>
      <c r="O47" s="23">
        <v>360</v>
      </c>
      <c r="P47" s="23" t="s">
        <v>25</v>
      </c>
      <c r="Q47" s="23">
        <v>190</v>
      </c>
      <c r="R47" s="3" t="str">
        <f>IF(OR(G47="12R",G47="12L"),_xlfn.XLOOKUP(C47,Tabla42[ADEP],Tabla42[SID 12R],""),IF(OR(G47="30L",G47="30R"),_xlfn.XLOOKUP(C47,Tabla42[ADEP],Tabla42[SID 30L],""),""))</f>
        <v>UDGUV</v>
      </c>
      <c r="S47" s="3">
        <f t="shared" si="0"/>
        <v>15</v>
      </c>
      <c r="T47" s="3" t="str">
        <f>_xlfn.XLOOKUP(C47,Tabla42[ADEP],Tabla42[Sector],"")</f>
        <v>Sector 2</v>
      </c>
    </row>
    <row r="48" spans="1:20" x14ac:dyDescent="0.2">
      <c r="A48" s="23" t="s">
        <v>142</v>
      </c>
      <c r="B48" s="23" t="s">
        <v>18</v>
      </c>
      <c r="C48" s="23" t="s">
        <v>42</v>
      </c>
      <c r="D48" s="23" t="s">
        <v>20</v>
      </c>
      <c r="E48" s="23" t="s">
        <v>3806</v>
      </c>
      <c r="F48" s="24">
        <v>46308.648761574077</v>
      </c>
      <c r="G48" s="23" t="s">
        <v>21</v>
      </c>
      <c r="H48" s="23" t="s">
        <v>71</v>
      </c>
      <c r="I48" s="23">
        <v>360</v>
      </c>
      <c r="J48" s="23" t="s">
        <v>22</v>
      </c>
      <c r="K48" s="23" t="s">
        <v>23</v>
      </c>
      <c r="L48" s="23">
        <v>859</v>
      </c>
      <c r="M48" s="23" t="s">
        <v>45</v>
      </c>
      <c r="N48" s="24">
        <v>46308.693229166667</v>
      </c>
      <c r="O48" s="23">
        <v>360</v>
      </c>
      <c r="P48" s="23" t="s">
        <v>25</v>
      </c>
      <c r="Q48" s="23">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23" t="s">
        <v>151</v>
      </c>
      <c r="B49" s="23" t="s">
        <v>18</v>
      </c>
      <c r="C49" s="23" t="s">
        <v>96</v>
      </c>
      <c r="D49" s="23" t="s">
        <v>122</v>
      </c>
      <c r="E49" s="23" t="s">
        <v>1008</v>
      </c>
      <c r="F49" s="24">
        <v>46308.652951388889</v>
      </c>
      <c r="G49" s="23" t="s">
        <v>21</v>
      </c>
      <c r="H49" s="23" t="s">
        <v>4424</v>
      </c>
      <c r="I49" s="23">
        <v>380</v>
      </c>
      <c r="J49" s="23" t="s">
        <v>22</v>
      </c>
      <c r="K49" s="23" t="s">
        <v>23</v>
      </c>
      <c r="L49" s="23">
        <v>859</v>
      </c>
      <c r="M49" s="23" t="s">
        <v>45</v>
      </c>
      <c r="N49" s="24">
        <v>46308.696701388886</v>
      </c>
      <c r="O49" s="23">
        <v>380</v>
      </c>
      <c r="P49" s="23" t="s">
        <v>25</v>
      </c>
      <c r="Q49" s="23">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23" t="s">
        <v>2984</v>
      </c>
      <c r="B50" s="23" t="s">
        <v>18</v>
      </c>
      <c r="C50" s="23" t="s">
        <v>188</v>
      </c>
      <c r="D50" s="23" t="s">
        <v>20</v>
      </c>
      <c r="E50" s="23" t="s">
        <v>3562</v>
      </c>
      <c r="F50" s="24">
        <v>46308.657592592594</v>
      </c>
      <c r="G50" s="23" t="s">
        <v>21</v>
      </c>
      <c r="H50" s="23" t="s">
        <v>4425</v>
      </c>
      <c r="I50" s="23">
        <v>360</v>
      </c>
      <c r="J50" s="23" t="s">
        <v>22</v>
      </c>
      <c r="K50" s="23" t="s">
        <v>23</v>
      </c>
      <c r="L50" s="23">
        <v>438</v>
      </c>
      <c r="M50" s="23" t="s">
        <v>189</v>
      </c>
      <c r="N50" s="24">
        <v>46308.682685185187</v>
      </c>
      <c r="O50" s="23">
        <v>360</v>
      </c>
      <c r="P50" s="23" t="s">
        <v>25</v>
      </c>
      <c r="Q50" s="23">
        <v>40</v>
      </c>
      <c r="R50" s="3" t="str">
        <f>IF(OR(G50="12R",G50="12L"),_xlfn.XLOOKUP(C50,Tabla42[ADEP],Tabla42[SID 12R],""),IF(OR(G50="30L",G50="30R"),_xlfn.XLOOKUP(C50,Tabla42[ADEP],Tabla42[SID 30L],""),""))</f>
        <v>ENEBA</v>
      </c>
      <c r="S50" s="3">
        <f t="shared" si="0"/>
        <v>15</v>
      </c>
      <c r="T50" s="3" t="str">
        <f>_xlfn.XLOOKUP(C50,Tabla42[ADEP],Tabla42[Sector],"")</f>
        <v>Sector 3</v>
      </c>
    </row>
    <row r="51" spans="1:20" x14ac:dyDescent="0.2">
      <c r="A51" s="23" t="s">
        <v>143</v>
      </c>
      <c r="B51" s="23" t="s">
        <v>18</v>
      </c>
      <c r="C51" s="23" t="s">
        <v>32</v>
      </c>
      <c r="D51" s="23" t="s">
        <v>60</v>
      </c>
      <c r="E51" s="23" t="s">
        <v>383</v>
      </c>
      <c r="F51" s="24">
        <v>46308.660300925927</v>
      </c>
      <c r="G51" s="23" t="s">
        <v>21</v>
      </c>
      <c r="H51" s="23" t="s">
        <v>4426</v>
      </c>
      <c r="I51" s="23">
        <v>360</v>
      </c>
      <c r="J51" s="23" t="s">
        <v>22</v>
      </c>
      <c r="K51" s="23" t="s">
        <v>23</v>
      </c>
      <c r="L51" s="23">
        <v>867</v>
      </c>
      <c r="M51" s="23" t="s">
        <v>35</v>
      </c>
      <c r="N51" s="24">
        <v>46308.704560185186</v>
      </c>
      <c r="O51" s="23">
        <v>360</v>
      </c>
      <c r="P51" s="23" t="s">
        <v>25</v>
      </c>
      <c r="Q51" s="23">
        <v>190</v>
      </c>
      <c r="R51" s="3" t="str">
        <f>IF(OR(G51="12R",G51="12L"),_xlfn.XLOOKUP(C51,Tabla42[ADEP],Tabla42[SID 12R],""),IF(OR(G51="30L",G51="30R"),_xlfn.XLOOKUP(C51,Tabla42[ADEP],Tabla42[SID 30L],""),""))</f>
        <v>UDGUV</v>
      </c>
      <c r="S51" s="3">
        <f t="shared" si="0"/>
        <v>15</v>
      </c>
      <c r="T51" s="3" t="str">
        <f>_xlfn.XLOOKUP(C51,Tabla42[ADEP],Tabla42[Sector],"")</f>
        <v>Sector 2</v>
      </c>
    </row>
    <row r="52" spans="1:20" x14ac:dyDescent="0.2">
      <c r="A52" s="23" t="s">
        <v>148</v>
      </c>
      <c r="B52" s="23" t="s">
        <v>18</v>
      </c>
      <c r="C52" s="23" t="s">
        <v>42</v>
      </c>
      <c r="D52" s="23" t="s">
        <v>53</v>
      </c>
      <c r="E52" s="23" t="s">
        <v>812</v>
      </c>
      <c r="F52" s="24">
        <v>46308.661666666667</v>
      </c>
      <c r="G52" s="23" t="s">
        <v>21</v>
      </c>
      <c r="H52" s="23" t="s">
        <v>4427</v>
      </c>
      <c r="I52" s="23">
        <v>380</v>
      </c>
      <c r="J52" s="23" t="s">
        <v>22</v>
      </c>
      <c r="K52" s="23" t="s">
        <v>23</v>
      </c>
      <c r="L52" s="23">
        <v>859</v>
      </c>
      <c r="M52" s="23" t="s">
        <v>45</v>
      </c>
      <c r="N52" s="24">
        <v>46308.706446759257</v>
      </c>
      <c r="O52" s="23">
        <v>380</v>
      </c>
      <c r="P52" s="23" t="s">
        <v>25</v>
      </c>
      <c r="Q52" s="23">
        <v>190</v>
      </c>
      <c r="R52" s="3" t="str">
        <f>IF(OR(G52="12R",G52="12L"),_xlfn.XLOOKUP(C52,Tabla42[ADEP],Tabla42[SID 12R],""),IF(OR(G52="30L",G52="30R"),_xlfn.XLOOKUP(C52,Tabla42[ADEP],Tabla42[SID 30L],""),""))</f>
        <v>UDGUV</v>
      </c>
      <c r="S52" s="3">
        <f t="shared" si="0"/>
        <v>15</v>
      </c>
      <c r="T52" s="3" t="str">
        <f>_xlfn.XLOOKUP(C52,Tabla42[ADEP],Tabla42[Sector],"")</f>
        <v>Sector 2</v>
      </c>
    </row>
    <row r="53" spans="1:20" x14ac:dyDescent="0.2">
      <c r="A53" s="23" t="s">
        <v>364</v>
      </c>
      <c r="B53" s="23" t="s">
        <v>18</v>
      </c>
      <c r="C53" s="23" t="s">
        <v>27</v>
      </c>
      <c r="D53" s="23" t="s">
        <v>28</v>
      </c>
      <c r="E53" s="23" t="s">
        <v>4428</v>
      </c>
      <c r="F53" s="24">
        <v>46308.663055555553</v>
      </c>
      <c r="G53" s="23" t="s">
        <v>21</v>
      </c>
      <c r="H53" s="23" t="s">
        <v>4429</v>
      </c>
      <c r="I53" s="23">
        <v>340</v>
      </c>
      <c r="J53" s="23" t="s">
        <v>22</v>
      </c>
      <c r="K53" s="23" t="s">
        <v>23</v>
      </c>
      <c r="L53" s="23">
        <v>441</v>
      </c>
      <c r="M53" s="23" t="s">
        <v>189</v>
      </c>
      <c r="N53" s="24">
        <v>46308.688055555554</v>
      </c>
      <c r="O53" s="23">
        <v>340</v>
      </c>
      <c r="P53" s="23" t="s">
        <v>25</v>
      </c>
      <c r="Q53" s="23">
        <v>40</v>
      </c>
      <c r="R53" s="3" t="str">
        <f>IF(OR(G53="12R",G53="12L"),_xlfn.XLOOKUP(C53,Tabla42[ADEP],Tabla42[SID 12R],""),IF(OR(G53="30L",G53="30R"),_xlfn.XLOOKUP(C53,Tabla42[ADEP],Tabla42[SID 30L],""),""))</f>
        <v>OMSUK</v>
      </c>
      <c r="S53" s="3">
        <f t="shared" si="0"/>
        <v>15</v>
      </c>
      <c r="T53" s="3" t="str">
        <f>_xlfn.XLOOKUP(C53,Tabla42[ADEP],Tabla42[Sector],"")</f>
        <v>Sector 3</v>
      </c>
    </row>
    <row r="54" spans="1:20" x14ac:dyDescent="0.2">
      <c r="A54" s="23" t="s">
        <v>208</v>
      </c>
      <c r="B54" s="23" t="s">
        <v>18</v>
      </c>
      <c r="C54" s="23" t="s">
        <v>209</v>
      </c>
      <c r="D54" s="23" t="s">
        <v>122</v>
      </c>
      <c r="E54" s="23" t="s">
        <v>1365</v>
      </c>
      <c r="F54" s="24">
        <v>46308.66678240741</v>
      </c>
      <c r="G54" s="23" t="s">
        <v>21</v>
      </c>
      <c r="H54" s="23" t="s">
        <v>4430</v>
      </c>
      <c r="I54" s="23">
        <v>380</v>
      </c>
      <c r="J54" s="23" t="s">
        <v>22</v>
      </c>
      <c r="K54" s="23" t="s">
        <v>23</v>
      </c>
      <c r="L54" s="23">
        <v>514</v>
      </c>
      <c r="M54" s="23" t="s">
        <v>4431</v>
      </c>
      <c r="N54" s="24">
        <v>46308.693749999999</v>
      </c>
      <c r="O54" s="23">
        <v>380</v>
      </c>
      <c r="P54" s="23" t="s">
        <v>25</v>
      </c>
      <c r="Q54" s="23">
        <v>40</v>
      </c>
      <c r="R54" s="3" t="str">
        <f>IF(OR(G54="12R",G54="12L"),_xlfn.XLOOKUP(C54,Tabla42[ADEP],Tabla42[SID 12R],""),IF(OR(G54="30L",G54="30R"),_xlfn.XLOOKUP(C54,Tabla42[ADEP],Tabla42[SID 30L],""),""))</f>
        <v>ENEBA</v>
      </c>
      <c r="S54" s="3">
        <f t="shared" si="0"/>
        <v>16</v>
      </c>
      <c r="T54" s="3" t="str">
        <f>_xlfn.XLOOKUP(C54,Tabla42[ADEP],Tabla42[Sector],"")</f>
        <v>Sector 3</v>
      </c>
    </row>
    <row r="55" spans="1:20" x14ac:dyDescent="0.2">
      <c r="A55" s="23" t="s">
        <v>2076</v>
      </c>
      <c r="B55" s="23" t="s">
        <v>18</v>
      </c>
      <c r="C55" s="23" t="s">
        <v>18</v>
      </c>
      <c r="D55" s="23" t="s">
        <v>2077</v>
      </c>
      <c r="E55" s="23"/>
      <c r="F55" s="24">
        <v>46308.668310185189</v>
      </c>
      <c r="G55" s="23" t="s">
        <v>21</v>
      </c>
      <c r="H55" s="23" t="s">
        <v>2078</v>
      </c>
      <c r="I55" s="23">
        <v>15</v>
      </c>
      <c r="J55" s="23" t="s">
        <v>130</v>
      </c>
      <c r="K55" s="23" t="s">
        <v>50</v>
      </c>
      <c r="L55" s="23">
        <v>114</v>
      </c>
      <c r="M55" s="23" t="s">
        <v>18</v>
      </c>
      <c r="N55" s="24">
        <v>46308.705868055556</v>
      </c>
      <c r="O55" s="23">
        <v>0</v>
      </c>
      <c r="P55" s="23" t="s">
        <v>129</v>
      </c>
      <c r="Q55" s="23">
        <v>15</v>
      </c>
      <c r="R55" s="3" t="str">
        <f>IF(OR(G55="12R",G55="12L"),_xlfn.XLOOKUP(C55,Tabla42[ADEP],Tabla42[SID 12R],""),IF(OR(G55="30L",G55="30R"),_xlfn.XLOOKUP(C55,Tabla42[ADEP],Tabla42[SID 30L],""),""))</f>
        <v/>
      </c>
      <c r="S55" s="3">
        <f t="shared" si="0"/>
        <v>16</v>
      </c>
      <c r="T55" s="3" t="str">
        <f>_xlfn.XLOOKUP(C55,Tabla42[ADEP],Tabla42[Sector],"")</f>
        <v/>
      </c>
    </row>
    <row r="56" spans="1:20" x14ac:dyDescent="0.2">
      <c r="A56" s="23" t="s">
        <v>2095</v>
      </c>
      <c r="B56" s="23" t="s">
        <v>18</v>
      </c>
      <c r="C56" s="23" t="s">
        <v>121</v>
      </c>
      <c r="D56" s="23" t="s">
        <v>122</v>
      </c>
      <c r="E56" s="23" t="s">
        <v>4432</v>
      </c>
      <c r="F56" s="24">
        <v>46308.670254629629</v>
      </c>
      <c r="G56" s="23" t="s">
        <v>21</v>
      </c>
      <c r="H56" s="23" t="s">
        <v>4433</v>
      </c>
      <c r="I56" s="23">
        <v>360</v>
      </c>
      <c r="J56" s="23" t="s">
        <v>22</v>
      </c>
      <c r="K56" s="23" t="s">
        <v>23</v>
      </c>
      <c r="L56" s="23">
        <v>566</v>
      </c>
      <c r="M56" s="23" t="s">
        <v>123</v>
      </c>
      <c r="N56" s="24">
        <v>46308.69939814815</v>
      </c>
      <c r="O56" s="23">
        <v>360</v>
      </c>
      <c r="P56" s="23" t="s">
        <v>25</v>
      </c>
      <c r="Q56" s="23">
        <v>40</v>
      </c>
      <c r="R56" s="3" t="str">
        <f>IF(OR(G56="12R",G56="12L"),_xlfn.XLOOKUP(C56,Tabla42[ADEP],Tabla42[SID 12R],""),IF(OR(G56="30L",G56="30R"),_xlfn.XLOOKUP(C56,Tabla42[ADEP],Tabla42[SID 30L],""),""))</f>
        <v>ENEBA</v>
      </c>
      <c r="S56" s="3">
        <f t="shared" si="0"/>
        <v>16</v>
      </c>
      <c r="T56" s="3" t="str">
        <f>_xlfn.XLOOKUP(C56,Tabla42[ADEP],Tabla42[Sector],"")</f>
        <v>Sector 3</v>
      </c>
    </row>
    <row r="57" spans="1:20" x14ac:dyDescent="0.2">
      <c r="A57" s="23" t="s">
        <v>168</v>
      </c>
      <c r="B57" s="23" t="s">
        <v>18</v>
      </c>
      <c r="C57" s="23" t="s">
        <v>96</v>
      </c>
      <c r="D57" s="23" t="s">
        <v>33</v>
      </c>
      <c r="E57" s="23" t="s">
        <v>456</v>
      </c>
      <c r="F57" s="24">
        <v>46308.674849537034</v>
      </c>
      <c r="G57" s="23" t="s">
        <v>21</v>
      </c>
      <c r="H57" s="23" t="s">
        <v>366</v>
      </c>
      <c r="I57" s="23">
        <v>360</v>
      </c>
      <c r="J57" s="23" t="s">
        <v>22</v>
      </c>
      <c r="K57" s="23" t="s">
        <v>23</v>
      </c>
      <c r="L57" s="23">
        <v>859</v>
      </c>
      <c r="M57" s="23" t="s">
        <v>45</v>
      </c>
      <c r="N57" s="24">
        <v>46308.718391203707</v>
      </c>
      <c r="O57" s="23">
        <v>360</v>
      </c>
      <c r="P57" s="23" t="s">
        <v>25</v>
      </c>
      <c r="Q57" s="23">
        <v>190</v>
      </c>
      <c r="R57" s="3" t="str">
        <f>IF(OR(G57="12R",G57="12L"),_xlfn.XLOOKUP(C57,Tabla42[ADEP],Tabla42[SID 12R],""),IF(OR(G57="30L",G57="30R"),_xlfn.XLOOKUP(C57,Tabla42[ADEP],Tabla42[SID 30L],""),""))</f>
        <v>UDGUV</v>
      </c>
      <c r="S57" s="3">
        <f t="shared" si="0"/>
        <v>16</v>
      </c>
      <c r="T57" s="3" t="str">
        <f>_xlfn.XLOOKUP(C57,Tabla42[ADEP],Tabla42[Sector],"")</f>
        <v>Sector 2</v>
      </c>
    </row>
    <row r="58" spans="1:20" x14ac:dyDescent="0.2">
      <c r="A58" s="23" t="s">
        <v>161</v>
      </c>
      <c r="B58" s="23" t="s">
        <v>18</v>
      </c>
      <c r="C58" s="23" t="s">
        <v>27</v>
      </c>
      <c r="D58" s="23" t="s">
        <v>60</v>
      </c>
      <c r="E58" s="23" t="s">
        <v>803</v>
      </c>
      <c r="F58" s="24">
        <v>46308.676030092596</v>
      </c>
      <c r="G58" s="23" t="s">
        <v>21</v>
      </c>
      <c r="H58" s="23" t="s">
        <v>4434</v>
      </c>
      <c r="I58" s="23">
        <v>340</v>
      </c>
      <c r="J58" s="23" t="s">
        <v>22</v>
      </c>
      <c r="K58" s="23" t="s">
        <v>23</v>
      </c>
      <c r="L58" s="23">
        <v>383</v>
      </c>
      <c r="M58" s="23" t="s">
        <v>250</v>
      </c>
      <c r="N58" s="24">
        <v>46308.699178240742</v>
      </c>
      <c r="O58" s="23">
        <v>340</v>
      </c>
      <c r="P58" s="23" t="s">
        <v>25</v>
      </c>
      <c r="Q58" s="23">
        <v>40</v>
      </c>
      <c r="R58" s="3" t="str">
        <f>IF(OR(G58="12R",G58="12L"),_xlfn.XLOOKUP(C58,Tabla42[ADEP],Tabla42[SID 12R],""),IF(OR(G58="30L",G58="30R"),_xlfn.XLOOKUP(C58,Tabla42[ADEP],Tabla42[SID 30L],""),""))</f>
        <v>OMSUK</v>
      </c>
      <c r="S58" s="3">
        <f t="shared" si="0"/>
        <v>16</v>
      </c>
      <c r="T58" s="3" t="str">
        <f>_xlfn.XLOOKUP(C58,Tabla42[ADEP],Tabla42[Sector],"")</f>
        <v>Sector 3</v>
      </c>
    </row>
    <row r="59" spans="1:20" x14ac:dyDescent="0.2">
      <c r="A59" s="23" t="s">
        <v>145</v>
      </c>
      <c r="B59" s="23" t="s">
        <v>18</v>
      </c>
      <c r="C59" s="23" t="s">
        <v>19</v>
      </c>
      <c r="D59" s="23" t="s">
        <v>33</v>
      </c>
      <c r="E59" s="23" t="s">
        <v>677</v>
      </c>
      <c r="F59" s="24">
        <v>46308.677881944444</v>
      </c>
      <c r="G59" s="23" t="s">
        <v>21</v>
      </c>
      <c r="H59" s="23" t="s">
        <v>4435</v>
      </c>
      <c r="I59" s="23">
        <v>380</v>
      </c>
      <c r="J59" s="23" t="s">
        <v>22</v>
      </c>
      <c r="K59" s="23" t="s">
        <v>23</v>
      </c>
      <c r="L59" s="23">
        <v>860</v>
      </c>
      <c r="M59" s="23" t="s">
        <v>24</v>
      </c>
      <c r="N59" s="24">
        <v>46308.722824074073</v>
      </c>
      <c r="O59" s="23">
        <v>380</v>
      </c>
      <c r="P59" s="23" t="s">
        <v>25</v>
      </c>
      <c r="Q59" s="23">
        <v>190</v>
      </c>
      <c r="R59" s="3" t="str">
        <f>IF(OR(G59="12R",G59="12L"),_xlfn.XLOOKUP(C59,Tabla42[ADEP],Tabla42[SID 12R],""),IF(OR(G59="30L",G59="30R"),_xlfn.XLOOKUP(C59,Tabla42[ADEP],Tabla42[SID 30L],""),""))</f>
        <v>UDGUV</v>
      </c>
      <c r="S59" s="3">
        <f t="shared" si="0"/>
        <v>16</v>
      </c>
      <c r="T59" s="3" t="str">
        <f>_xlfn.XLOOKUP(C59,Tabla42[ADEP],Tabla42[Sector],"")</f>
        <v>Sector 2</v>
      </c>
    </row>
    <row r="60" spans="1:20" x14ac:dyDescent="0.2">
      <c r="A60" s="23" t="s">
        <v>163</v>
      </c>
      <c r="B60" s="23" t="s">
        <v>18</v>
      </c>
      <c r="C60" s="23" t="s">
        <v>164</v>
      </c>
      <c r="D60" s="23" t="s">
        <v>43</v>
      </c>
      <c r="E60" s="23" t="s">
        <v>4436</v>
      </c>
      <c r="F60" s="24">
        <v>46308.681250000001</v>
      </c>
      <c r="G60" s="23" t="s">
        <v>21</v>
      </c>
      <c r="H60" s="23" t="s">
        <v>4437</v>
      </c>
      <c r="I60" s="23">
        <v>290</v>
      </c>
      <c r="J60" s="23" t="s">
        <v>22</v>
      </c>
      <c r="K60" s="23" t="s">
        <v>23</v>
      </c>
      <c r="L60" s="23">
        <v>367</v>
      </c>
      <c r="M60" s="23" t="s">
        <v>30</v>
      </c>
      <c r="N60" s="24">
        <v>46308.702025462961</v>
      </c>
      <c r="O60" s="23">
        <v>290</v>
      </c>
      <c r="P60" s="23" t="s">
        <v>25</v>
      </c>
      <c r="Q60" s="23">
        <v>40</v>
      </c>
      <c r="R60" s="3" t="str">
        <f>IF(OR(G60="12R",G60="12L"),_xlfn.XLOOKUP(C60,Tabla42[ADEP],Tabla42[SID 12R],""),IF(OR(G60="30L",G60="30R"),_xlfn.XLOOKUP(C60,Tabla42[ADEP],Tabla42[SID 30L],""),""))</f>
        <v>OMSUK</v>
      </c>
      <c r="S60" s="3">
        <f t="shared" si="0"/>
        <v>16</v>
      </c>
      <c r="T60" s="3" t="str">
        <f>_xlfn.XLOOKUP(C60,Tabla42[ADEP],Tabla42[Sector],"")</f>
        <v>Sector 3</v>
      </c>
    </row>
    <row r="61" spans="1:20" x14ac:dyDescent="0.2">
      <c r="A61" s="23" t="s">
        <v>156</v>
      </c>
      <c r="B61" s="23" t="s">
        <v>18</v>
      </c>
      <c r="C61" s="23" t="s">
        <v>109</v>
      </c>
      <c r="D61" s="23" t="s">
        <v>122</v>
      </c>
      <c r="E61" s="23" t="s">
        <v>1339</v>
      </c>
      <c r="F61" s="24">
        <v>46308.682974537034</v>
      </c>
      <c r="G61" s="23" t="s">
        <v>21</v>
      </c>
      <c r="H61" s="23" t="s">
        <v>4438</v>
      </c>
      <c r="I61" s="23">
        <v>350</v>
      </c>
      <c r="J61" s="23" t="s">
        <v>22</v>
      </c>
      <c r="K61" s="23" t="s">
        <v>23</v>
      </c>
      <c r="L61" s="23">
        <v>151</v>
      </c>
      <c r="M61" s="23" t="s">
        <v>111</v>
      </c>
      <c r="N61" s="24">
        <v>46308.692812499998</v>
      </c>
      <c r="O61" s="23">
        <v>266</v>
      </c>
      <c r="P61" s="23" t="s">
        <v>25</v>
      </c>
      <c r="Q61" s="23">
        <v>190</v>
      </c>
      <c r="R61" s="3" t="str">
        <f>IF(OR(G61="12R",G61="12L"),_xlfn.XLOOKUP(C61,Tabla42[ADEP],Tabla42[SID 12R],""),IF(OR(G61="30L",G61="30R"),_xlfn.XLOOKUP(C61,Tabla42[ADEP],Tabla42[SID 30L],""),""))</f>
        <v>TAKUX</v>
      </c>
      <c r="S61" s="3">
        <f t="shared" si="0"/>
        <v>16</v>
      </c>
      <c r="T61" s="3" t="str">
        <f>_xlfn.XLOOKUP(C61,Tabla42[ADEP],Tabla42[Sector],"")</f>
        <v>Sector 7</v>
      </c>
    </row>
    <row r="62" spans="1:20" x14ac:dyDescent="0.2">
      <c r="A62" s="23" t="s">
        <v>165</v>
      </c>
      <c r="B62" s="23" t="s">
        <v>18</v>
      </c>
      <c r="C62" s="23" t="s">
        <v>166</v>
      </c>
      <c r="D62" s="23" t="s">
        <v>20</v>
      </c>
      <c r="E62" s="23" t="s">
        <v>2024</v>
      </c>
      <c r="F62" s="24">
        <v>46308.684004629627</v>
      </c>
      <c r="G62" s="23" t="s">
        <v>21</v>
      </c>
      <c r="H62" s="23" t="s">
        <v>4439</v>
      </c>
      <c r="I62" s="23">
        <v>340</v>
      </c>
      <c r="J62" s="23" t="s">
        <v>22</v>
      </c>
      <c r="K62" s="23" t="s">
        <v>23</v>
      </c>
      <c r="L62" s="23">
        <v>866</v>
      </c>
      <c r="M62" s="23" t="s">
        <v>167</v>
      </c>
      <c r="N62" s="24">
        <v>46308.728738425925</v>
      </c>
      <c r="O62" s="23">
        <v>340</v>
      </c>
      <c r="P62" s="23" t="s">
        <v>25</v>
      </c>
      <c r="Q62" s="23">
        <v>190</v>
      </c>
      <c r="R62" s="3" t="str">
        <f>IF(OR(G62="12R",G62="12L"),_xlfn.XLOOKUP(C62,Tabla42[ADEP],Tabla42[SID 12R],""),IF(OR(G62="30L",G62="30R"),_xlfn.XLOOKUP(C62,Tabla42[ADEP],Tabla42[SID 30L],""),""))</f>
        <v>UDGUV</v>
      </c>
      <c r="S62" s="3">
        <f t="shared" si="0"/>
        <v>16</v>
      </c>
      <c r="T62" s="3" t="str">
        <f>_xlfn.XLOOKUP(C62,Tabla42[ADEP],Tabla42[Sector],"")</f>
        <v>Sector 2</v>
      </c>
    </row>
    <row r="63" spans="1:20" x14ac:dyDescent="0.2">
      <c r="A63" s="23" t="s">
        <v>2216</v>
      </c>
      <c r="B63" s="23" t="s">
        <v>18</v>
      </c>
      <c r="C63" s="23" t="s">
        <v>212</v>
      </c>
      <c r="D63" s="23" t="s">
        <v>124</v>
      </c>
      <c r="E63" s="23"/>
      <c r="F63" s="24">
        <v>46308.68613425926</v>
      </c>
      <c r="G63" s="23" t="s">
        <v>21</v>
      </c>
      <c r="H63" s="23" t="s">
        <v>4440</v>
      </c>
      <c r="I63" s="23">
        <v>350</v>
      </c>
      <c r="J63" s="23" t="s">
        <v>22</v>
      </c>
      <c r="K63" s="23" t="s">
        <v>50</v>
      </c>
      <c r="L63" s="23">
        <v>151</v>
      </c>
      <c r="M63" s="23" t="s">
        <v>111</v>
      </c>
      <c r="N63" s="24">
        <v>46308.697500000002</v>
      </c>
      <c r="O63" s="23">
        <v>221</v>
      </c>
      <c r="P63" s="23" t="s">
        <v>25</v>
      </c>
      <c r="Q63" s="23">
        <v>30</v>
      </c>
      <c r="R63" s="3" t="str">
        <f>IF(OR(G63="12R",G63="12L"),_xlfn.XLOOKUP(C63,Tabla42[ADEP],Tabla42[SID 12R],""),IF(OR(G63="30L",G63="30R"),_xlfn.XLOOKUP(C63,Tabla42[ADEP],Tabla42[SID 30L],""),""))</f>
        <v>TAKUX</v>
      </c>
      <c r="S63" s="3">
        <f t="shared" si="0"/>
        <v>16</v>
      </c>
      <c r="T63" s="3" t="str">
        <f>_xlfn.XLOOKUP(C63,Tabla42[ADEP],Tabla42[Sector],"")</f>
        <v>Sector 7</v>
      </c>
    </row>
    <row r="64" spans="1:20" x14ac:dyDescent="0.2">
      <c r="A64" s="23" t="s">
        <v>159</v>
      </c>
      <c r="B64" s="23" t="s">
        <v>18</v>
      </c>
      <c r="C64" s="23" t="s">
        <v>160</v>
      </c>
      <c r="D64" s="23" t="s">
        <v>53</v>
      </c>
      <c r="E64" s="23" t="s">
        <v>3414</v>
      </c>
      <c r="F64" s="24">
        <v>46308.687754629631</v>
      </c>
      <c r="G64" s="23" t="s">
        <v>21</v>
      </c>
      <c r="H64" s="23" t="s">
        <v>4441</v>
      </c>
      <c r="I64" s="23">
        <v>380</v>
      </c>
      <c r="J64" s="23" t="s">
        <v>22</v>
      </c>
      <c r="K64" s="23" t="s">
        <v>23</v>
      </c>
      <c r="L64" s="23">
        <v>331</v>
      </c>
      <c r="M64" s="23" t="s">
        <v>2433</v>
      </c>
      <c r="N64" s="24">
        <v>46308.706886574073</v>
      </c>
      <c r="O64" s="23">
        <v>380</v>
      </c>
      <c r="P64" s="23" t="s">
        <v>25</v>
      </c>
      <c r="Q64" s="23">
        <v>190</v>
      </c>
      <c r="R64" s="3" t="str">
        <f>IF(OR(G64="12R",G64="12L"),_xlfn.XLOOKUP(C64,Tabla42[ADEP],Tabla42[SID 12R],""),IF(OR(G64="30L",G64="30R"),_xlfn.XLOOKUP(C64,Tabla42[ADEP],Tabla42[SID 30L],""),""))</f>
        <v>CZM</v>
      </c>
      <c r="S64" s="3">
        <f t="shared" si="0"/>
        <v>16</v>
      </c>
      <c r="T64" s="3" t="str">
        <f>_xlfn.XLOOKUP(C64,Tabla42[ADEP],Tabla42[Sector],"")</f>
        <v>Sector 7</v>
      </c>
    </row>
    <row r="65" spans="1:20" x14ac:dyDescent="0.2">
      <c r="A65" s="23" t="s">
        <v>152</v>
      </c>
      <c r="B65" s="23" t="s">
        <v>18</v>
      </c>
      <c r="C65" s="23" t="s">
        <v>153</v>
      </c>
      <c r="D65" s="23" t="s">
        <v>33</v>
      </c>
      <c r="E65" s="23" t="s">
        <v>147</v>
      </c>
      <c r="F65" s="24">
        <v>46308.690324074072</v>
      </c>
      <c r="G65" s="23" t="s">
        <v>21</v>
      </c>
      <c r="H65" s="23" t="s">
        <v>4442</v>
      </c>
      <c r="I65" s="23">
        <v>360</v>
      </c>
      <c r="J65" s="23" t="s">
        <v>22</v>
      </c>
      <c r="K65" s="23" t="s">
        <v>23</v>
      </c>
      <c r="L65" s="23">
        <v>868</v>
      </c>
      <c r="M65" s="23" t="s">
        <v>35</v>
      </c>
      <c r="N65" s="24">
        <v>46308.733344907407</v>
      </c>
      <c r="O65" s="23">
        <v>340</v>
      </c>
      <c r="P65" s="23" t="s">
        <v>25</v>
      </c>
      <c r="Q65" s="23">
        <v>190</v>
      </c>
      <c r="R65" s="3" t="str">
        <f>IF(OR(G65="12R",G65="12L"),_xlfn.XLOOKUP(C65,Tabla42[ADEP],Tabla42[SID 12R],""),IF(OR(G65="30L",G65="30R"),_xlfn.XLOOKUP(C65,Tabla42[ADEP],Tabla42[SID 30L],""),""))</f>
        <v>UDGUV</v>
      </c>
      <c r="S65" s="3">
        <f t="shared" si="0"/>
        <v>16</v>
      </c>
      <c r="T65" s="3" t="str">
        <f>_xlfn.XLOOKUP(C65,Tabla42[ADEP],Tabla42[Sector],"")</f>
        <v>Sector 2</v>
      </c>
    </row>
    <row r="66" spans="1:20" x14ac:dyDescent="0.2">
      <c r="A66" s="23" t="s">
        <v>176</v>
      </c>
      <c r="B66" s="23" t="s">
        <v>18</v>
      </c>
      <c r="C66" s="23" t="s">
        <v>19</v>
      </c>
      <c r="D66" s="23" t="s">
        <v>60</v>
      </c>
      <c r="E66" s="23" t="s">
        <v>690</v>
      </c>
      <c r="F66" s="24">
        <v>46308.697465277779</v>
      </c>
      <c r="G66" s="23" t="s">
        <v>21</v>
      </c>
      <c r="H66" s="23" t="s">
        <v>4443</v>
      </c>
      <c r="I66" s="23">
        <v>340</v>
      </c>
      <c r="J66" s="23" t="s">
        <v>22</v>
      </c>
      <c r="K66" s="23" t="s">
        <v>23</v>
      </c>
      <c r="L66" s="23">
        <v>869</v>
      </c>
      <c r="M66" s="23" t="s">
        <v>167</v>
      </c>
      <c r="N66" s="24">
        <v>46308.741932870369</v>
      </c>
      <c r="O66" s="23">
        <v>340</v>
      </c>
      <c r="P66" s="23" t="s">
        <v>25</v>
      </c>
      <c r="Q66" s="23">
        <v>190</v>
      </c>
      <c r="R66" s="3" t="str">
        <f>IF(OR(G66="12R",G66="12L"),_xlfn.XLOOKUP(C66,Tabla42[ADEP],Tabla42[SID 12R],""),IF(OR(G66="30L",G66="30R"),_xlfn.XLOOKUP(C66,Tabla42[ADEP],Tabla42[SID 30L],""),""))</f>
        <v>UDGUV</v>
      </c>
      <c r="S66" s="3">
        <f t="shared" si="0"/>
        <v>16</v>
      </c>
      <c r="T66" s="3" t="str">
        <f>_xlfn.XLOOKUP(C66,Tabla42[ADEP],Tabla42[Sector],"")</f>
        <v>Sector 2</v>
      </c>
    </row>
    <row r="67" spans="1:20" x14ac:dyDescent="0.2">
      <c r="A67" s="23" t="s">
        <v>523</v>
      </c>
      <c r="B67" s="23" t="s">
        <v>18</v>
      </c>
      <c r="C67" s="23" t="s">
        <v>109</v>
      </c>
      <c r="D67" s="23" t="s">
        <v>28</v>
      </c>
      <c r="E67" s="23" t="s">
        <v>1013</v>
      </c>
      <c r="F67" s="24">
        <v>46308.69866898148</v>
      </c>
      <c r="G67" s="23" t="s">
        <v>21</v>
      </c>
      <c r="H67" s="23" t="s">
        <v>4444</v>
      </c>
      <c r="I67" s="23">
        <v>350</v>
      </c>
      <c r="J67" s="23" t="s">
        <v>22</v>
      </c>
      <c r="K67" s="23" t="s">
        <v>23</v>
      </c>
      <c r="L67" s="23">
        <v>153</v>
      </c>
      <c r="M67" s="23" t="s">
        <v>111</v>
      </c>
      <c r="N67" s="24">
        <v>46308.709039351852</v>
      </c>
      <c r="O67" s="23">
        <v>270</v>
      </c>
      <c r="P67" s="23" t="s">
        <v>25</v>
      </c>
      <c r="Q67" s="23">
        <v>190</v>
      </c>
      <c r="R67" s="3" t="str">
        <f>IF(OR(G67="12R",G67="12L"),_xlfn.XLOOKUP(C67,Tabla42[ADEP],Tabla42[SID 12R],""),IF(OR(G67="30L",G67="30R"),_xlfn.XLOOKUP(C67,Tabla42[ADEP],Tabla42[SID 30L],""),""))</f>
        <v>TAKUX</v>
      </c>
      <c r="S67" s="3">
        <f t="shared" ref="S67:S130" si="1">HOUR(F67)</f>
        <v>16</v>
      </c>
      <c r="T67" s="3" t="str">
        <f>_xlfn.XLOOKUP(C67,Tabla42[ADEP],Tabla42[Sector],"")</f>
        <v>Sector 7</v>
      </c>
    </row>
    <row r="68" spans="1:20" x14ac:dyDescent="0.2">
      <c r="A68" s="23" t="s">
        <v>181</v>
      </c>
      <c r="B68" s="23" t="s">
        <v>18</v>
      </c>
      <c r="C68" s="23" t="s">
        <v>42</v>
      </c>
      <c r="D68" s="23" t="s">
        <v>28</v>
      </c>
      <c r="E68" s="23" t="s">
        <v>4445</v>
      </c>
      <c r="F68" s="24">
        <v>46308.699687499997</v>
      </c>
      <c r="G68" s="23" t="s">
        <v>21</v>
      </c>
      <c r="H68" s="23" t="s">
        <v>4446</v>
      </c>
      <c r="I68" s="23">
        <v>360</v>
      </c>
      <c r="J68" s="23" t="s">
        <v>22</v>
      </c>
      <c r="K68" s="23" t="s">
        <v>23</v>
      </c>
      <c r="L68" s="23">
        <v>859</v>
      </c>
      <c r="M68" s="23" t="s">
        <v>45</v>
      </c>
      <c r="N68" s="24">
        <v>46308.744131944448</v>
      </c>
      <c r="O68" s="23">
        <v>360</v>
      </c>
      <c r="P68" s="23" t="s">
        <v>25</v>
      </c>
      <c r="Q68" s="23">
        <v>190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23" t="s">
        <v>173</v>
      </c>
      <c r="B69" s="23" t="s">
        <v>18</v>
      </c>
      <c r="C69" s="23" t="s">
        <v>18</v>
      </c>
      <c r="D69" s="23" t="s">
        <v>174</v>
      </c>
      <c r="E69" s="23"/>
      <c r="F69" s="24">
        <v>46308.701388888891</v>
      </c>
      <c r="G69" s="23" t="s">
        <v>21</v>
      </c>
      <c r="H69" s="23" t="s">
        <v>2078</v>
      </c>
      <c r="I69" s="23">
        <v>15</v>
      </c>
      <c r="J69" s="23" t="s">
        <v>130</v>
      </c>
      <c r="K69" s="23" t="s">
        <v>50</v>
      </c>
      <c r="L69" s="23">
        <v>140</v>
      </c>
      <c r="M69" s="23" t="s">
        <v>18</v>
      </c>
      <c r="N69" s="24">
        <v>46308.745034722226</v>
      </c>
      <c r="O69" s="23">
        <v>0</v>
      </c>
      <c r="P69" s="23" t="s">
        <v>129</v>
      </c>
      <c r="Q69" s="23">
        <v>15</v>
      </c>
      <c r="R69" s="3" t="str">
        <f>IF(OR(G69="12R",G69="12L"),_xlfn.XLOOKUP(C69,Tabla42[ADEP],Tabla42[SID 12R],""),IF(OR(G69="30L",G69="30R"),_xlfn.XLOOKUP(C69,Tabla42[ADEP],Tabla42[SID 30L],""),""))</f>
        <v/>
      </c>
      <c r="S69" s="3">
        <f t="shared" si="1"/>
        <v>16</v>
      </c>
      <c r="T69" s="3" t="str">
        <f>_xlfn.XLOOKUP(C69,Tabla42[ADEP],Tabla42[Sector],"")</f>
        <v/>
      </c>
    </row>
    <row r="70" spans="1:20" x14ac:dyDescent="0.2">
      <c r="A70" s="23" t="s">
        <v>180</v>
      </c>
      <c r="B70" s="23" t="s">
        <v>18</v>
      </c>
      <c r="C70" s="23" t="s">
        <v>133</v>
      </c>
      <c r="D70" s="23" t="s">
        <v>60</v>
      </c>
      <c r="E70" s="23" t="s">
        <v>2144</v>
      </c>
      <c r="F70" s="24">
        <v>46308.70480324074</v>
      </c>
      <c r="G70" s="23" t="s">
        <v>21</v>
      </c>
      <c r="H70" s="23" t="s">
        <v>4447</v>
      </c>
      <c r="I70" s="23">
        <v>330</v>
      </c>
      <c r="J70" s="23" t="s">
        <v>22</v>
      </c>
      <c r="K70" s="23" t="s">
        <v>23</v>
      </c>
      <c r="L70" s="23">
        <v>359</v>
      </c>
      <c r="M70" s="23" t="s">
        <v>30</v>
      </c>
      <c r="N70" s="24">
        <v>46308.726365740738</v>
      </c>
      <c r="O70" s="23">
        <v>330</v>
      </c>
      <c r="P70" s="23" t="s">
        <v>25</v>
      </c>
      <c r="Q70" s="23">
        <v>40</v>
      </c>
      <c r="R70" s="3" t="str">
        <f>IF(OR(G70="12R",G70="12L"),_xlfn.XLOOKUP(C70,Tabla42[ADEP],Tabla42[SID 12R],""),IF(OR(G70="30L",G70="30R"),_xlfn.XLOOKUP(C70,Tabla42[ADEP],Tabla42[SID 30L],""),""))</f>
        <v>OMSUK</v>
      </c>
      <c r="S70" s="3">
        <f t="shared" si="1"/>
        <v>16</v>
      </c>
      <c r="T70" s="3" t="str">
        <f>_xlfn.XLOOKUP(C70,Tabla42[ADEP],Tabla42[Sector],"")</f>
        <v>Sector 3</v>
      </c>
    </row>
    <row r="71" spans="1:20" x14ac:dyDescent="0.2">
      <c r="A71" s="23" t="s">
        <v>177</v>
      </c>
      <c r="B71" s="23" t="s">
        <v>18</v>
      </c>
      <c r="C71" s="23" t="s">
        <v>109</v>
      </c>
      <c r="D71" s="23" t="s">
        <v>122</v>
      </c>
      <c r="E71" s="23" t="s">
        <v>4448</v>
      </c>
      <c r="F71" s="24">
        <v>46308.707650462966</v>
      </c>
      <c r="G71" s="23" t="s">
        <v>21</v>
      </c>
      <c r="H71" s="23" t="s">
        <v>4449</v>
      </c>
      <c r="I71" s="23">
        <v>350</v>
      </c>
      <c r="J71" s="23" t="s">
        <v>22</v>
      </c>
      <c r="K71" s="23" t="s">
        <v>23</v>
      </c>
      <c r="L71" s="23">
        <v>149</v>
      </c>
      <c r="M71" s="23" t="s">
        <v>111</v>
      </c>
      <c r="N71" s="24">
        <v>46308.717615740738</v>
      </c>
      <c r="O71" s="23">
        <v>269</v>
      </c>
      <c r="P71" s="23" t="s">
        <v>25</v>
      </c>
      <c r="Q71" s="23">
        <v>190</v>
      </c>
      <c r="R71" s="3" t="str">
        <f>IF(OR(G71="12R",G71="12L"),_xlfn.XLOOKUP(C71,Tabla42[ADEP],Tabla42[SID 12R],""),IF(OR(G71="30L",G71="30R"),_xlfn.XLOOKUP(C71,Tabla42[ADEP],Tabla42[SID 30L],""),""))</f>
        <v>TAKUX</v>
      </c>
      <c r="S71" s="3">
        <f t="shared" si="1"/>
        <v>16</v>
      </c>
      <c r="T71" s="3" t="str">
        <f>_xlfn.XLOOKUP(C71,Tabla42[ADEP],Tabla42[Sector],"")</f>
        <v>Sector 7</v>
      </c>
    </row>
    <row r="72" spans="1:20" x14ac:dyDescent="0.2">
      <c r="A72" s="23" t="s">
        <v>178</v>
      </c>
      <c r="B72" s="23" t="s">
        <v>18</v>
      </c>
      <c r="C72" s="23" t="s">
        <v>179</v>
      </c>
      <c r="D72" s="23" t="s">
        <v>53</v>
      </c>
      <c r="E72" s="23" t="s">
        <v>106</v>
      </c>
      <c r="F72" s="24">
        <v>46308.711215277777</v>
      </c>
      <c r="G72" s="23" t="s">
        <v>21</v>
      </c>
      <c r="H72" s="23" t="s">
        <v>4450</v>
      </c>
      <c r="I72" s="23">
        <v>380</v>
      </c>
      <c r="J72" s="23" t="s">
        <v>22</v>
      </c>
      <c r="K72" s="23" t="s">
        <v>23</v>
      </c>
      <c r="L72" s="23">
        <v>823</v>
      </c>
      <c r="M72" s="23" t="s">
        <v>179</v>
      </c>
      <c r="N72" s="24">
        <v>46308.756238425929</v>
      </c>
      <c r="O72" s="23">
        <v>15</v>
      </c>
      <c r="P72" s="23" t="s">
        <v>25</v>
      </c>
      <c r="Q72" s="23">
        <v>190</v>
      </c>
      <c r="R72" s="3" t="str">
        <f>IF(OR(G72="12R",G72="12L"),_xlfn.XLOOKUP(C72,Tabla42[ADEP],Tabla42[SID 12R],""),IF(OR(G72="30L",G72="30R"),_xlfn.XLOOKUP(C72,Tabla42[ADEP],Tabla42[SID 30L],""),""))</f>
        <v>UDGUV</v>
      </c>
      <c r="S72" s="3">
        <f t="shared" si="1"/>
        <v>17</v>
      </c>
      <c r="T72" s="3" t="str">
        <f>_xlfn.XLOOKUP(C72,Tabla42[ADEP],Tabla42[Sector],"")</f>
        <v>Sector 2</v>
      </c>
    </row>
    <row r="73" spans="1:20" x14ac:dyDescent="0.2">
      <c r="A73" s="23" t="s">
        <v>187</v>
      </c>
      <c r="B73" s="23" t="s">
        <v>18</v>
      </c>
      <c r="C73" s="23" t="s">
        <v>188</v>
      </c>
      <c r="D73" s="23" t="s">
        <v>117</v>
      </c>
      <c r="E73" s="23" t="s">
        <v>4451</v>
      </c>
      <c r="F73" s="24">
        <v>46308.719456018516</v>
      </c>
      <c r="G73" s="23" t="s">
        <v>21</v>
      </c>
      <c r="H73" s="23" t="s">
        <v>4452</v>
      </c>
      <c r="I73" s="23">
        <v>320</v>
      </c>
      <c r="J73" s="23" t="s">
        <v>22</v>
      </c>
      <c r="K73" s="23" t="s">
        <v>23</v>
      </c>
      <c r="L73" s="23">
        <v>437</v>
      </c>
      <c r="M73" s="23" t="s">
        <v>189</v>
      </c>
      <c r="N73" s="24">
        <v>46308.743263888886</v>
      </c>
      <c r="O73" s="23">
        <v>340</v>
      </c>
      <c r="P73" s="23" t="s">
        <v>25</v>
      </c>
      <c r="Q73" s="23">
        <v>40</v>
      </c>
      <c r="R73" s="3" t="str">
        <f>IF(OR(G73="12R",G73="12L"),_xlfn.XLOOKUP(C73,Tabla42[ADEP],Tabla42[SID 12R],""),IF(OR(G73="30L",G73="30R"),_xlfn.XLOOKUP(C73,Tabla42[ADEP],Tabla42[SID 30L],""),""))</f>
        <v>ENEBA</v>
      </c>
      <c r="S73" s="3">
        <f t="shared" si="1"/>
        <v>17</v>
      </c>
      <c r="T73" s="3" t="str">
        <f>_xlfn.XLOOKUP(C73,Tabla42[ADEP],Tabla42[Sector],"")</f>
        <v>Sector 3</v>
      </c>
    </row>
    <row r="74" spans="1:20" x14ac:dyDescent="0.2">
      <c r="A74" s="23" t="s">
        <v>183</v>
      </c>
      <c r="B74" s="23" t="s">
        <v>18</v>
      </c>
      <c r="C74" s="23" t="s">
        <v>184</v>
      </c>
      <c r="D74" s="23" t="s">
        <v>60</v>
      </c>
      <c r="E74" s="23" t="s">
        <v>4453</v>
      </c>
      <c r="F74" s="24">
        <v>46308.721145833333</v>
      </c>
      <c r="G74" s="23" t="s">
        <v>21</v>
      </c>
      <c r="H74" s="23" t="s">
        <v>4454</v>
      </c>
      <c r="I74" s="23">
        <v>330</v>
      </c>
      <c r="J74" s="23" t="s">
        <v>22</v>
      </c>
      <c r="K74" s="23" t="s">
        <v>23</v>
      </c>
      <c r="L74" s="23">
        <v>356</v>
      </c>
      <c r="M74" s="23" t="s">
        <v>30</v>
      </c>
      <c r="N74" s="24">
        <v>46308.742071759261</v>
      </c>
      <c r="O74" s="23">
        <v>330</v>
      </c>
      <c r="P74" s="23" t="s">
        <v>25</v>
      </c>
      <c r="Q74" s="23">
        <v>40</v>
      </c>
      <c r="R74" s="3" t="str">
        <f>IF(OR(G74="12R",G74="12L"),_xlfn.XLOOKUP(C74,Tabla42[ADEP],Tabla42[SID 12R],""),IF(OR(G74="30L",G74="30R"),_xlfn.XLOOKUP(C74,Tabla42[ADEP],Tabla42[SID 30L],""),""))</f>
        <v>OMSUK</v>
      </c>
      <c r="S74" s="3">
        <f t="shared" si="1"/>
        <v>17</v>
      </c>
      <c r="T74" s="3" t="str">
        <f>_xlfn.XLOOKUP(C74,Tabla42[ADEP],Tabla42[Sector],"")</f>
        <v>Sector 3</v>
      </c>
    </row>
    <row r="75" spans="1:20" x14ac:dyDescent="0.2">
      <c r="A75" s="23" t="s">
        <v>3027</v>
      </c>
      <c r="B75" s="23" t="s">
        <v>18</v>
      </c>
      <c r="C75" s="23" t="s">
        <v>190</v>
      </c>
      <c r="D75" s="23" t="s">
        <v>33</v>
      </c>
      <c r="E75" s="23" t="s">
        <v>4455</v>
      </c>
      <c r="F75" s="24">
        <v>46308.724328703705</v>
      </c>
      <c r="G75" s="23" t="s">
        <v>21</v>
      </c>
      <c r="H75" s="23" t="s">
        <v>4456</v>
      </c>
      <c r="I75" s="23">
        <v>310</v>
      </c>
      <c r="J75" s="23" t="s">
        <v>22</v>
      </c>
      <c r="K75" s="23" t="s">
        <v>23</v>
      </c>
      <c r="L75" s="23">
        <v>351</v>
      </c>
      <c r="M75" s="23" t="s">
        <v>30</v>
      </c>
      <c r="N75" s="24">
        <v>46308.743796296294</v>
      </c>
      <c r="O75" s="23">
        <v>310</v>
      </c>
      <c r="P75" s="23" t="s">
        <v>25</v>
      </c>
      <c r="Q75" s="23">
        <v>40</v>
      </c>
      <c r="R75" s="3" t="str">
        <f>IF(OR(G75="12R",G75="12L"),_xlfn.XLOOKUP(C75,Tabla42[ADEP],Tabla42[SID 12R],""),IF(OR(G75="30L",G75="30R"),_xlfn.XLOOKUP(C75,Tabla42[ADEP],Tabla42[SID 30L],""),""))</f>
        <v>NUDAL</v>
      </c>
      <c r="S75" s="3">
        <f t="shared" si="1"/>
        <v>17</v>
      </c>
      <c r="T75" s="3" t="str">
        <f>_xlfn.XLOOKUP(C75,Tabla42[ADEP],Tabla42[Sector],"")</f>
        <v>Sector 3</v>
      </c>
    </row>
    <row r="76" spans="1:20" x14ac:dyDescent="0.2">
      <c r="A76" s="23" t="s">
        <v>495</v>
      </c>
      <c r="B76" s="23" t="s">
        <v>18</v>
      </c>
      <c r="C76" s="23" t="s">
        <v>371</v>
      </c>
      <c r="D76" s="23" t="s">
        <v>458</v>
      </c>
      <c r="E76" s="23"/>
      <c r="F76" s="24">
        <v>46308.726851851854</v>
      </c>
      <c r="G76" s="23" t="s">
        <v>21</v>
      </c>
      <c r="H76" s="23" t="s">
        <v>155</v>
      </c>
      <c r="I76" s="23">
        <v>15</v>
      </c>
      <c r="J76" s="23" t="s">
        <v>130</v>
      </c>
      <c r="K76" s="23" t="s">
        <v>50</v>
      </c>
      <c r="L76" s="23">
        <v>69</v>
      </c>
      <c r="M76" s="23" t="s">
        <v>371</v>
      </c>
      <c r="N76" s="24">
        <v>46308.738530092596</v>
      </c>
      <c r="O76" s="23">
        <v>0</v>
      </c>
      <c r="P76" s="23" t="s">
        <v>129</v>
      </c>
      <c r="Q76" s="23">
        <v>15</v>
      </c>
      <c r="R76" s="3" t="str">
        <f>IF(OR(G76="12R",G76="12L"),_xlfn.XLOOKUP(C76,Tabla42[ADEP],Tabla42[SID 12R],""),IF(OR(G76="30L",G76="30R"),_xlfn.XLOOKUP(C76,Tabla42[ADEP],Tabla42[SID 30L],""),""))</f>
        <v/>
      </c>
      <c r="S76" s="3">
        <f t="shared" si="1"/>
        <v>17</v>
      </c>
      <c r="T76" s="3" t="str">
        <f>_xlfn.XLOOKUP(C76,Tabla42[ADEP],Tabla42[Sector],"")</f>
        <v/>
      </c>
    </row>
    <row r="77" spans="1:20" x14ac:dyDescent="0.2">
      <c r="A77" s="23" t="s">
        <v>186</v>
      </c>
      <c r="B77" s="23" t="s">
        <v>18</v>
      </c>
      <c r="C77" s="23" t="s">
        <v>121</v>
      </c>
      <c r="D77" s="23" t="s">
        <v>20</v>
      </c>
      <c r="E77" s="23" t="s">
        <v>4232</v>
      </c>
      <c r="F77" s="24">
        <v>46308.738726851851</v>
      </c>
      <c r="G77" s="23" t="s">
        <v>21</v>
      </c>
      <c r="H77" s="23" t="s">
        <v>4457</v>
      </c>
      <c r="I77" s="23">
        <v>360</v>
      </c>
      <c r="J77" s="23" t="s">
        <v>22</v>
      </c>
      <c r="K77" s="23" t="s">
        <v>23</v>
      </c>
      <c r="L77" s="23">
        <v>524</v>
      </c>
      <c r="M77" s="23" t="s">
        <v>123</v>
      </c>
      <c r="N77" s="24">
        <v>46308.768043981479</v>
      </c>
      <c r="O77" s="23">
        <v>340</v>
      </c>
      <c r="P77" s="23" t="s">
        <v>25</v>
      </c>
      <c r="Q77" s="23">
        <v>40</v>
      </c>
      <c r="R77" s="3" t="str">
        <f>IF(OR(G77="12R",G77="12L"),_xlfn.XLOOKUP(C77,Tabla42[ADEP],Tabla42[SID 12R],""),IF(OR(G77="30L",G77="30R"),_xlfn.XLOOKUP(C77,Tabla42[ADEP],Tabla42[SID 30L],""),""))</f>
        <v>ENEBA</v>
      </c>
      <c r="S77" s="3">
        <f t="shared" si="1"/>
        <v>17</v>
      </c>
      <c r="T77" s="3" t="str">
        <f>_xlfn.XLOOKUP(C77,Tabla42[ADEP],Tabla42[Sector],"")</f>
        <v>Sector 3</v>
      </c>
    </row>
    <row r="78" spans="1:20" x14ac:dyDescent="0.2">
      <c r="A78" s="23" t="s">
        <v>203</v>
      </c>
      <c r="B78" s="23" t="s">
        <v>18</v>
      </c>
      <c r="C78" s="23" t="s">
        <v>204</v>
      </c>
      <c r="D78" s="23" t="s">
        <v>33</v>
      </c>
      <c r="E78" s="23" t="s">
        <v>4458</v>
      </c>
      <c r="F78" s="24">
        <v>46308.740914351853</v>
      </c>
      <c r="G78" s="23" t="s">
        <v>21</v>
      </c>
      <c r="H78" s="23" t="s">
        <v>4459</v>
      </c>
      <c r="I78" s="23">
        <v>350</v>
      </c>
      <c r="J78" s="23" t="s">
        <v>22</v>
      </c>
      <c r="K78" s="23" t="s">
        <v>23</v>
      </c>
      <c r="L78" s="23">
        <v>151</v>
      </c>
      <c r="M78" s="23" t="s">
        <v>111</v>
      </c>
      <c r="N78" s="24">
        <v>46308.751180555555</v>
      </c>
      <c r="O78" s="23">
        <v>242</v>
      </c>
      <c r="P78" s="23" t="s">
        <v>25</v>
      </c>
      <c r="Q78" s="23">
        <v>190</v>
      </c>
      <c r="R78" s="3" t="str">
        <f>IF(OR(G78="12R",G78="12L"),_xlfn.XLOOKUP(C78,Tabla42[ADEP],Tabla42[SID 12R],""),IF(OR(G78="30L",G78="30R"),_xlfn.XLOOKUP(C78,Tabla42[ADEP],Tabla42[SID 30L],""),""))</f>
        <v>TAKUX</v>
      </c>
      <c r="S78" s="3">
        <f t="shared" si="1"/>
        <v>17</v>
      </c>
      <c r="T78" s="3" t="str">
        <f>_xlfn.XLOOKUP(C78,Tabla42[ADEP],Tabla42[Sector],"")</f>
        <v>Sector 7</v>
      </c>
    </row>
    <row r="79" spans="1:20" x14ac:dyDescent="0.2">
      <c r="A79" s="23" t="s">
        <v>4460</v>
      </c>
      <c r="B79" s="23" t="s">
        <v>18</v>
      </c>
      <c r="C79" s="23" t="s">
        <v>49</v>
      </c>
      <c r="D79" s="23" t="s">
        <v>4461</v>
      </c>
      <c r="E79" s="23"/>
      <c r="F79" s="24">
        <v>46308.742222222223</v>
      </c>
      <c r="G79" s="23" t="s">
        <v>21</v>
      </c>
      <c r="H79" s="23" t="s">
        <v>4462</v>
      </c>
      <c r="I79" s="23">
        <v>450</v>
      </c>
      <c r="J79" s="23" t="s">
        <v>22</v>
      </c>
      <c r="K79" s="23" t="s">
        <v>50</v>
      </c>
      <c r="L79" s="23">
        <v>859</v>
      </c>
      <c r="M79" s="23" t="s">
        <v>45</v>
      </c>
      <c r="N79" s="24">
        <v>46308.787106481483</v>
      </c>
      <c r="O79" s="23">
        <v>450</v>
      </c>
      <c r="P79" s="23" t="s">
        <v>25</v>
      </c>
      <c r="Q79" s="23">
        <v>30</v>
      </c>
      <c r="R79" s="3" t="str">
        <f>IF(OR(G79="12R",G79="12L"),_xlfn.XLOOKUP(C79,Tabla42[ADEP],Tabla42[SID 12R],""),IF(OR(G79="30L",G79="30R"),_xlfn.XLOOKUP(C79,Tabla42[ADEP],Tabla42[SID 30L],""),""))</f>
        <v>UDGUV</v>
      </c>
      <c r="S79" s="3">
        <f t="shared" si="1"/>
        <v>17</v>
      </c>
      <c r="T79" s="3" t="str">
        <f>_xlfn.XLOOKUP(C79,Tabla42[ADEP],Tabla42[Sector],"")</f>
        <v>Sector 2</v>
      </c>
    </row>
    <row r="80" spans="1:20" x14ac:dyDescent="0.2">
      <c r="A80" s="23" t="s">
        <v>244</v>
      </c>
      <c r="B80" s="23" t="s">
        <v>18</v>
      </c>
      <c r="C80" s="23" t="s">
        <v>126</v>
      </c>
      <c r="D80" s="23" t="s">
        <v>60</v>
      </c>
      <c r="E80" s="23" t="s">
        <v>4463</v>
      </c>
      <c r="F80" s="24">
        <v>46308.743263888886</v>
      </c>
      <c r="G80" s="23" t="s">
        <v>21</v>
      </c>
      <c r="H80" s="23" t="s">
        <v>4464</v>
      </c>
      <c r="I80" s="23">
        <v>350</v>
      </c>
      <c r="J80" s="23" t="s">
        <v>22</v>
      </c>
      <c r="K80" s="23" t="s">
        <v>23</v>
      </c>
      <c r="L80" s="23">
        <v>351</v>
      </c>
      <c r="M80" s="23" t="s">
        <v>30</v>
      </c>
      <c r="N80" s="24">
        <v>46308.764155092591</v>
      </c>
      <c r="O80" s="23">
        <v>350</v>
      </c>
      <c r="P80" s="23" t="s">
        <v>25</v>
      </c>
      <c r="Q80" s="23">
        <v>40</v>
      </c>
      <c r="R80" s="3" t="str">
        <f>IF(OR(G80="12R",G80="12L"),_xlfn.XLOOKUP(C80,Tabla42[ADEP],Tabla42[SID 12R],""),IF(OR(G80="30L",G80="30R"),_xlfn.XLOOKUP(C80,Tabla42[ADEP],Tabla42[SID 30L],""),""))</f>
        <v>ENEBA</v>
      </c>
      <c r="S80" s="3">
        <f t="shared" si="1"/>
        <v>17</v>
      </c>
      <c r="T80" s="3" t="str">
        <f>_xlfn.XLOOKUP(C80,Tabla42[ADEP],Tabla42[Sector],"")</f>
        <v>Sector 3</v>
      </c>
    </row>
    <row r="81" spans="1:20" x14ac:dyDescent="0.2">
      <c r="A81" s="23" t="s">
        <v>192</v>
      </c>
      <c r="B81" s="23" t="s">
        <v>18</v>
      </c>
      <c r="C81" s="23" t="s">
        <v>193</v>
      </c>
      <c r="D81" s="23" t="s">
        <v>60</v>
      </c>
      <c r="E81" s="23" t="s">
        <v>4465</v>
      </c>
      <c r="F81" s="24">
        <v>46308.744513888887</v>
      </c>
      <c r="G81" s="23" t="s">
        <v>21</v>
      </c>
      <c r="H81" s="23" t="s">
        <v>4466</v>
      </c>
      <c r="I81" s="23">
        <v>330</v>
      </c>
      <c r="J81" s="23" t="s">
        <v>22</v>
      </c>
      <c r="K81" s="23" t="s">
        <v>23</v>
      </c>
      <c r="L81" s="23">
        <v>136</v>
      </c>
      <c r="M81" s="23" t="s">
        <v>39</v>
      </c>
      <c r="N81" s="24">
        <v>46308.754444444443</v>
      </c>
      <c r="O81" s="23">
        <v>195</v>
      </c>
      <c r="P81" s="23" t="s">
        <v>25</v>
      </c>
      <c r="Q81" s="23">
        <v>190</v>
      </c>
      <c r="R81" s="3" t="str">
        <f>IF(OR(G81="12R",G81="12L"),_xlfn.XLOOKUP(C81,Tabla42[ADEP],Tabla42[SID 12R],""),IF(OR(G81="30L",G81="30R"),_xlfn.XLOOKUP(C81,Tabla42[ADEP],Tabla42[SID 30L],""),""))</f>
        <v>ENEBA</v>
      </c>
      <c r="S81" s="3">
        <f t="shared" si="1"/>
        <v>17</v>
      </c>
      <c r="T81" s="3" t="str">
        <f>_xlfn.XLOOKUP(C81,Tabla42[ADEP],Tabla42[Sector],"")</f>
        <v>Sector 3</v>
      </c>
    </row>
    <row r="82" spans="1:20" x14ac:dyDescent="0.2">
      <c r="A82" s="23" t="s">
        <v>205</v>
      </c>
      <c r="B82" s="23" t="s">
        <v>18</v>
      </c>
      <c r="C82" s="23" t="s">
        <v>206</v>
      </c>
      <c r="D82" s="23" t="s">
        <v>53</v>
      </c>
      <c r="E82" s="23" t="s">
        <v>393</v>
      </c>
      <c r="F82" s="24">
        <v>46308.745995370373</v>
      </c>
      <c r="G82" s="23" t="s">
        <v>21</v>
      </c>
      <c r="H82" s="23" t="s">
        <v>1167</v>
      </c>
      <c r="I82" s="23">
        <v>380</v>
      </c>
      <c r="J82" s="23" t="s">
        <v>22</v>
      </c>
      <c r="K82" s="23" t="s">
        <v>23</v>
      </c>
      <c r="L82" s="23">
        <v>859</v>
      </c>
      <c r="M82" s="23" t="s">
        <v>45</v>
      </c>
      <c r="N82" s="24">
        <v>46308.790532407409</v>
      </c>
      <c r="O82" s="23">
        <v>380</v>
      </c>
      <c r="P82" s="23" t="s">
        <v>25</v>
      </c>
      <c r="Q82" s="23">
        <v>190</v>
      </c>
      <c r="R82" s="3" t="str">
        <f>IF(OR(G82="12R",G82="12L"),_xlfn.XLOOKUP(C82,Tabla42[ADEP],Tabla42[SID 12R],""),IF(OR(G82="30L",G82="30R"),_xlfn.XLOOKUP(C82,Tabla42[ADEP],Tabla42[SID 30L],""),""))</f>
        <v>UDGUV</v>
      </c>
      <c r="S82" s="3">
        <f t="shared" si="1"/>
        <v>17</v>
      </c>
      <c r="T82" s="3" t="str">
        <f>_xlfn.XLOOKUP(C82,Tabla42[ADEP],Tabla42[Sector],"")</f>
        <v>Sector 2</v>
      </c>
    </row>
    <row r="83" spans="1:20" x14ac:dyDescent="0.2">
      <c r="A83" s="23" t="s">
        <v>213</v>
      </c>
      <c r="B83" s="23" t="s">
        <v>18</v>
      </c>
      <c r="C83" s="23" t="s">
        <v>19</v>
      </c>
      <c r="D83" s="23" t="s">
        <v>33</v>
      </c>
      <c r="E83" s="23" t="s">
        <v>4467</v>
      </c>
      <c r="F83" s="24">
        <v>46308.747384259259</v>
      </c>
      <c r="G83" s="23" t="s">
        <v>21</v>
      </c>
      <c r="H83" s="23" t="s">
        <v>4468</v>
      </c>
      <c r="I83" s="23">
        <v>300</v>
      </c>
      <c r="J83" s="23" t="s">
        <v>22</v>
      </c>
      <c r="K83" s="23" t="s">
        <v>23</v>
      </c>
      <c r="L83" s="23">
        <v>866</v>
      </c>
      <c r="M83" s="23" t="s">
        <v>167</v>
      </c>
      <c r="N83" s="24">
        <v>46308.791574074072</v>
      </c>
      <c r="O83" s="23">
        <v>300</v>
      </c>
      <c r="P83" s="23" t="s">
        <v>25</v>
      </c>
      <c r="Q83" s="23">
        <v>190</v>
      </c>
      <c r="R83" s="3" t="str">
        <f>IF(OR(G83="12R",G83="12L"),_xlfn.XLOOKUP(C83,Tabla42[ADEP],Tabla42[SID 12R],""),IF(OR(G83="30L",G83="30R"),_xlfn.XLOOKUP(C83,Tabla42[ADEP],Tabla42[SID 30L],""),""))</f>
        <v>UDGUV</v>
      </c>
      <c r="S83" s="3">
        <f t="shared" si="1"/>
        <v>17</v>
      </c>
      <c r="T83" s="3" t="str">
        <f>_xlfn.XLOOKUP(C83,Tabla42[ADEP],Tabla42[Sector],"")</f>
        <v>Sector 2</v>
      </c>
    </row>
    <row r="84" spans="1:20" x14ac:dyDescent="0.2">
      <c r="A84" s="23" t="s">
        <v>284</v>
      </c>
      <c r="B84" s="23" t="s">
        <v>18</v>
      </c>
      <c r="C84" s="23" t="s">
        <v>137</v>
      </c>
      <c r="D84" s="23" t="s">
        <v>20</v>
      </c>
      <c r="E84" s="23" t="s">
        <v>4469</v>
      </c>
      <c r="F84" s="24">
        <v>46308.748287037037</v>
      </c>
      <c r="G84" s="23" t="s">
        <v>21</v>
      </c>
      <c r="H84" s="23" t="s">
        <v>4470</v>
      </c>
      <c r="I84" s="23">
        <v>330</v>
      </c>
      <c r="J84" s="23" t="s">
        <v>22</v>
      </c>
      <c r="K84" s="23" t="s">
        <v>23</v>
      </c>
      <c r="L84" s="23">
        <v>136</v>
      </c>
      <c r="M84" s="23" t="s">
        <v>39</v>
      </c>
      <c r="N84" s="24">
        <v>46308.757164351853</v>
      </c>
      <c r="O84" s="23">
        <v>226</v>
      </c>
      <c r="P84" s="23" t="s">
        <v>25</v>
      </c>
      <c r="Q84" s="23">
        <v>190</v>
      </c>
      <c r="R84" s="3" t="str">
        <f>IF(OR(G84="12R",G84="12L"),_xlfn.XLOOKUP(C84,Tabla42[ADEP],Tabla42[SID 12R],""),IF(OR(G84="30L",G84="30R"),_xlfn.XLOOKUP(C84,Tabla42[ADEP],Tabla42[SID 30L],""),""))</f>
        <v>NUDAL</v>
      </c>
      <c r="S84" s="3">
        <f t="shared" si="1"/>
        <v>17</v>
      </c>
      <c r="T84" s="3" t="str">
        <f>_xlfn.XLOOKUP(C84,Tabla42[ADEP],Tabla42[Sector],"")</f>
        <v>Sector 3</v>
      </c>
    </row>
    <row r="85" spans="1:20" x14ac:dyDescent="0.2">
      <c r="A85" s="23" t="s">
        <v>221</v>
      </c>
      <c r="B85" s="23" t="s">
        <v>18</v>
      </c>
      <c r="C85" s="23" t="s">
        <v>42</v>
      </c>
      <c r="D85" s="23" t="s">
        <v>122</v>
      </c>
      <c r="E85" s="23" t="s">
        <v>1040</v>
      </c>
      <c r="F85" s="24">
        <v>46308.749467592592</v>
      </c>
      <c r="G85" s="23" t="s">
        <v>21</v>
      </c>
      <c r="H85" s="23" t="s">
        <v>4471</v>
      </c>
      <c r="I85" s="23">
        <v>380</v>
      </c>
      <c r="J85" s="23" t="s">
        <v>22</v>
      </c>
      <c r="K85" s="23" t="s">
        <v>23</v>
      </c>
      <c r="L85" s="23">
        <v>859</v>
      </c>
      <c r="M85" s="23" t="s">
        <v>45</v>
      </c>
      <c r="N85" s="24">
        <v>46308.793194444443</v>
      </c>
      <c r="O85" s="23">
        <v>380</v>
      </c>
      <c r="P85" s="23" t="s">
        <v>25</v>
      </c>
      <c r="Q85" s="23">
        <v>190</v>
      </c>
      <c r="R85" s="3" t="str">
        <f>IF(OR(G85="12R",G85="12L"),_xlfn.XLOOKUP(C85,Tabla42[ADEP],Tabla42[SID 12R],""),IF(OR(G85="30L",G85="30R"),_xlfn.XLOOKUP(C85,Tabla42[ADEP],Tabla42[SID 30L],""),""))</f>
        <v>UDGUV</v>
      </c>
      <c r="S85" s="3">
        <f t="shared" si="1"/>
        <v>17</v>
      </c>
      <c r="T85" s="3" t="str">
        <f>_xlfn.XLOOKUP(C85,Tabla42[ADEP],Tabla42[Sector],"")</f>
        <v>Sector 2</v>
      </c>
    </row>
    <row r="86" spans="1:20" x14ac:dyDescent="0.2">
      <c r="A86" s="23" t="s">
        <v>2990</v>
      </c>
      <c r="B86" s="23" t="s">
        <v>18</v>
      </c>
      <c r="C86" s="23" t="s">
        <v>444</v>
      </c>
      <c r="D86" s="23" t="s">
        <v>60</v>
      </c>
      <c r="E86" s="23" t="s">
        <v>4472</v>
      </c>
      <c r="F86" s="24">
        <v>46308.750219907408</v>
      </c>
      <c r="G86" s="23" t="s">
        <v>21</v>
      </c>
      <c r="H86" s="23" t="s">
        <v>4473</v>
      </c>
      <c r="I86" s="23">
        <v>360</v>
      </c>
      <c r="J86" s="23" t="s">
        <v>22</v>
      </c>
      <c r="K86" s="23" t="s">
        <v>23</v>
      </c>
      <c r="L86" s="23">
        <v>429</v>
      </c>
      <c r="M86" s="23" t="s">
        <v>189</v>
      </c>
      <c r="N86" s="24">
        <v>46308.774016203701</v>
      </c>
      <c r="O86" s="23">
        <v>360</v>
      </c>
      <c r="P86" s="23" t="s">
        <v>25</v>
      </c>
      <c r="Q86" s="23">
        <v>40</v>
      </c>
      <c r="R86" s="3" t="str">
        <f>IF(OR(G86="12R",G86="12L"),_xlfn.XLOOKUP(C86,Tabla42[ADEP],Tabla42[SID 12R],""),IF(OR(G86="30L",G86="30R"),_xlfn.XLOOKUP(C86,Tabla42[ADEP],Tabla42[SID 30L],""),""))</f>
        <v>ENEBA</v>
      </c>
      <c r="S86" s="3">
        <f t="shared" si="1"/>
        <v>18</v>
      </c>
      <c r="T86" s="3" t="str">
        <f>_xlfn.XLOOKUP(C86,Tabla42[ADEP],Tabla42[Sector],"")</f>
        <v>Sector 3</v>
      </c>
    </row>
    <row r="87" spans="1:20" x14ac:dyDescent="0.2">
      <c r="A87" s="23" t="s">
        <v>216</v>
      </c>
      <c r="B87" s="23" t="s">
        <v>18</v>
      </c>
      <c r="C87" s="23" t="s">
        <v>32</v>
      </c>
      <c r="D87" s="23" t="s">
        <v>20</v>
      </c>
      <c r="E87" s="23" t="s">
        <v>3430</v>
      </c>
      <c r="F87" s="24">
        <v>46308.751319444447</v>
      </c>
      <c r="G87" s="23" t="s">
        <v>21</v>
      </c>
      <c r="H87" s="23" t="s">
        <v>4474</v>
      </c>
      <c r="I87" s="23">
        <v>360</v>
      </c>
      <c r="J87" s="23" t="s">
        <v>22</v>
      </c>
      <c r="K87" s="23" t="s">
        <v>23</v>
      </c>
      <c r="L87" s="23">
        <v>870</v>
      </c>
      <c r="M87" s="23" t="s">
        <v>35</v>
      </c>
      <c r="N87" s="24">
        <v>46308.795324074075</v>
      </c>
      <c r="O87" s="23">
        <v>360</v>
      </c>
      <c r="P87" s="23" t="s">
        <v>25</v>
      </c>
      <c r="Q87" s="23">
        <v>190</v>
      </c>
      <c r="R87" s="3" t="str">
        <f>IF(OR(G87="12R",G87="12L"),_xlfn.XLOOKUP(C87,Tabla42[ADEP],Tabla42[SID 12R],""),IF(OR(G87="30L",G87="30R"),_xlfn.XLOOKUP(C87,Tabla42[ADEP],Tabla42[SID 30L],""),""))</f>
        <v>UDGUV</v>
      </c>
      <c r="S87" s="3">
        <f t="shared" si="1"/>
        <v>18</v>
      </c>
      <c r="T87" s="3" t="str">
        <f>_xlfn.XLOOKUP(C87,Tabla42[ADEP],Tabla42[Sector],"")</f>
        <v>Sector 2</v>
      </c>
    </row>
    <row r="88" spans="1:20" x14ac:dyDescent="0.2">
      <c r="A88" s="23" t="s">
        <v>211</v>
      </c>
      <c r="B88" s="23" t="s">
        <v>18</v>
      </c>
      <c r="C88" s="23" t="s">
        <v>212</v>
      </c>
      <c r="D88" s="23" t="s">
        <v>53</v>
      </c>
      <c r="E88" s="23" t="s">
        <v>4219</v>
      </c>
      <c r="F88" s="24">
        <v>46308.752222222225</v>
      </c>
      <c r="G88" s="23" t="s">
        <v>21</v>
      </c>
      <c r="H88" s="23" t="s">
        <v>4475</v>
      </c>
      <c r="I88" s="23">
        <v>370</v>
      </c>
      <c r="J88" s="23" t="s">
        <v>22</v>
      </c>
      <c r="K88" s="23" t="s">
        <v>23</v>
      </c>
      <c r="L88" s="23">
        <v>149</v>
      </c>
      <c r="M88" s="23" t="s">
        <v>111</v>
      </c>
      <c r="N88" s="24">
        <v>46308.762476851851</v>
      </c>
      <c r="O88" s="23">
        <v>290</v>
      </c>
      <c r="P88" s="23" t="s">
        <v>25</v>
      </c>
      <c r="Q88" s="23">
        <v>190</v>
      </c>
      <c r="R88" s="3" t="str">
        <f>IF(OR(G88="12R",G88="12L"),_xlfn.XLOOKUP(C88,Tabla42[ADEP],Tabla42[SID 12R],""),IF(OR(G88="30L",G88="30R"),_xlfn.XLOOKUP(C88,Tabla42[ADEP],Tabla42[SID 30L],""),""))</f>
        <v>TAKUX</v>
      </c>
      <c r="S88" s="3">
        <f t="shared" si="1"/>
        <v>18</v>
      </c>
      <c r="T88" s="3" t="str">
        <f>_xlfn.XLOOKUP(C88,Tabla42[ADEP],Tabla42[Sector],"")</f>
        <v>Sector 7</v>
      </c>
    </row>
    <row r="89" spans="1:20" x14ac:dyDescent="0.2">
      <c r="A89" s="23" t="s">
        <v>218</v>
      </c>
      <c r="B89" s="23" t="s">
        <v>18</v>
      </c>
      <c r="C89" s="23" t="s">
        <v>219</v>
      </c>
      <c r="D89" s="23" t="s">
        <v>43</v>
      </c>
      <c r="E89" s="23" t="s">
        <v>788</v>
      </c>
      <c r="F89" s="24">
        <v>46308.753634259258</v>
      </c>
      <c r="G89" s="23" t="s">
        <v>21</v>
      </c>
      <c r="H89" s="23" t="s">
        <v>4476</v>
      </c>
      <c r="I89" s="23">
        <v>320</v>
      </c>
      <c r="J89" s="23" t="s">
        <v>22</v>
      </c>
      <c r="K89" s="23" t="s">
        <v>23</v>
      </c>
      <c r="L89" s="23">
        <v>871</v>
      </c>
      <c r="M89" s="23" t="s">
        <v>35</v>
      </c>
      <c r="N89" s="24">
        <v>46308.79824074074</v>
      </c>
      <c r="O89" s="23">
        <v>320</v>
      </c>
      <c r="P89" s="23" t="s">
        <v>25</v>
      </c>
      <c r="Q89" s="23">
        <v>190</v>
      </c>
      <c r="R89" s="3" t="str">
        <f>IF(OR(G89="12R",G89="12L"),_xlfn.XLOOKUP(C89,Tabla42[ADEP],Tabla42[SID 12R],""),IF(OR(G89="30L",G89="30R"),_xlfn.XLOOKUP(C89,Tabla42[ADEP],Tabla42[SID 30L],""),""))</f>
        <v>UDGUV</v>
      </c>
      <c r="S89" s="3">
        <f t="shared" si="1"/>
        <v>18</v>
      </c>
      <c r="T89" s="3" t="str">
        <f>_xlfn.XLOOKUP(C89,Tabla42[ADEP],Tabla42[Sector],"")</f>
        <v>Sector 2</v>
      </c>
    </row>
    <row r="90" spans="1:20" x14ac:dyDescent="0.2">
      <c r="A90" s="23" t="s">
        <v>2157</v>
      </c>
      <c r="B90" s="23" t="s">
        <v>18</v>
      </c>
      <c r="C90" s="23" t="s">
        <v>188</v>
      </c>
      <c r="D90" s="23" t="s">
        <v>60</v>
      </c>
      <c r="E90" s="23" t="s">
        <v>3452</v>
      </c>
      <c r="F90" s="24">
        <v>46308.754571759258</v>
      </c>
      <c r="G90" s="23" t="s">
        <v>21</v>
      </c>
      <c r="H90" s="23" t="s">
        <v>4477</v>
      </c>
      <c r="I90" s="23">
        <v>340</v>
      </c>
      <c r="J90" s="23" t="s">
        <v>22</v>
      </c>
      <c r="K90" s="23" t="s">
        <v>23</v>
      </c>
      <c r="L90" s="23">
        <v>446</v>
      </c>
      <c r="M90" s="23" t="s">
        <v>189</v>
      </c>
      <c r="N90" s="24">
        <v>46308.779768518521</v>
      </c>
      <c r="O90" s="23">
        <v>340</v>
      </c>
      <c r="P90" s="23" t="s">
        <v>25</v>
      </c>
      <c r="Q90" s="23">
        <v>40</v>
      </c>
      <c r="R90" s="3" t="str">
        <f>IF(OR(G90="12R",G90="12L"),_xlfn.XLOOKUP(C90,Tabla42[ADEP],Tabla42[SID 12R],""),IF(OR(G90="30L",G90="30R"),_xlfn.XLOOKUP(C90,Tabla42[ADEP],Tabla42[SID 30L],""),""))</f>
        <v>ENEBA</v>
      </c>
      <c r="S90" s="3">
        <f t="shared" si="1"/>
        <v>18</v>
      </c>
      <c r="T90" s="3" t="str">
        <f>_xlfn.XLOOKUP(C90,Tabla42[ADEP],Tabla42[Sector],"")</f>
        <v>Sector 3</v>
      </c>
    </row>
    <row r="91" spans="1:20" x14ac:dyDescent="0.2">
      <c r="A91" s="23" t="s">
        <v>358</v>
      </c>
      <c r="B91" s="23" t="s">
        <v>18</v>
      </c>
      <c r="C91" s="23" t="s">
        <v>359</v>
      </c>
      <c r="D91" s="23" t="s">
        <v>33</v>
      </c>
      <c r="E91" s="23" t="s">
        <v>4310</v>
      </c>
      <c r="F91" s="24">
        <v>46308.758738425924</v>
      </c>
      <c r="G91" s="23" t="s">
        <v>21</v>
      </c>
      <c r="H91" s="23" t="s">
        <v>4478</v>
      </c>
      <c r="I91" s="23">
        <v>370</v>
      </c>
      <c r="J91" s="23" t="s">
        <v>22</v>
      </c>
      <c r="K91" s="23" t="s">
        <v>23</v>
      </c>
      <c r="L91" s="23">
        <v>359</v>
      </c>
      <c r="M91" s="23" t="s">
        <v>30</v>
      </c>
      <c r="N91" s="24">
        <v>46308.778657407405</v>
      </c>
      <c r="O91" s="23">
        <v>370</v>
      </c>
      <c r="P91" s="23" t="s">
        <v>25</v>
      </c>
      <c r="Q91" s="23">
        <v>40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23" t="s">
        <v>202</v>
      </c>
      <c r="B92" s="23" t="s">
        <v>18</v>
      </c>
      <c r="C92" s="23" t="s">
        <v>32</v>
      </c>
      <c r="D92" s="23" t="s">
        <v>33</v>
      </c>
      <c r="E92" s="23" t="s">
        <v>360</v>
      </c>
      <c r="F92" s="24">
        <v>46308.76090277778</v>
      </c>
      <c r="G92" s="23" t="s">
        <v>21</v>
      </c>
      <c r="H92" s="23" t="s">
        <v>4479</v>
      </c>
      <c r="I92" s="23">
        <v>380</v>
      </c>
      <c r="J92" s="23" t="s">
        <v>22</v>
      </c>
      <c r="K92" s="23" t="s">
        <v>23</v>
      </c>
      <c r="L92" s="23">
        <v>865</v>
      </c>
      <c r="M92" s="23" t="s">
        <v>35</v>
      </c>
      <c r="N92" s="24">
        <v>46308.804780092592</v>
      </c>
      <c r="O92" s="23">
        <v>380</v>
      </c>
      <c r="P92" s="23" t="s">
        <v>25</v>
      </c>
      <c r="Q92" s="23">
        <v>190</v>
      </c>
      <c r="R92" s="3" t="str">
        <f>IF(OR(G92="12R",G92="12L"),_xlfn.XLOOKUP(C92,Tabla42[ADEP],Tabla42[SID 12R],""),IF(OR(G92="30L",G92="30R"),_xlfn.XLOOKUP(C92,Tabla42[ADEP],Tabla42[SID 30L],""),""))</f>
        <v>UDGUV</v>
      </c>
      <c r="S92" s="3">
        <f t="shared" si="1"/>
        <v>18</v>
      </c>
      <c r="T92" s="3" t="str">
        <f>_xlfn.XLOOKUP(C92,Tabla42[ADEP],Tabla42[Sector],"")</f>
        <v>Sector 2</v>
      </c>
    </row>
    <row r="93" spans="1:20" x14ac:dyDescent="0.2">
      <c r="A93" s="23" t="s">
        <v>597</v>
      </c>
      <c r="B93" s="23" t="s">
        <v>18</v>
      </c>
      <c r="C93" s="23" t="s">
        <v>598</v>
      </c>
      <c r="D93" s="23" t="s">
        <v>28</v>
      </c>
      <c r="E93" s="23" t="s">
        <v>3581</v>
      </c>
      <c r="F93" s="24">
        <v>46308.762013888889</v>
      </c>
      <c r="G93" s="23" t="s">
        <v>21</v>
      </c>
      <c r="H93" s="23" t="s">
        <v>4480</v>
      </c>
      <c r="I93" s="23">
        <v>360</v>
      </c>
      <c r="J93" s="23" t="s">
        <v>22</v>
      </c>
      <c r="K93" s="23" t="s">
        <v>23</v>
      </c>
      <c r="L93" s="23">
        <v>433</v>
      </c>
      <c r="M93" s="23" t="s">
        <v>189</v>
      </c>
      <c r="N93" s="24">
        <v>46308.786238425928</v>
      </c>
      <c r="O93" s="23">
        <v>360</v>
      </c>
      <c r="P93" s="23" t="s">
        <v>25</v>
      </c>
      <c r="Q93" s="23">
        <v>40</v>
      </c>
      <c r="R93" s="3" t="str">
        <f>IF(OR(G93="12R",G93="12L"),_xlfn.XLOOKUP(C93,Tabla42[ADEP],Tabla42[SID 12R],""),IF(OR(G93="30L",G93="30R"),_xlfn.XLOOKUP(C93,Tabla42[ADEP],Tabla42[SID 30L],""),""))</f>
        <v>OMSUK</v>
      </c>
      <c r="S93" s="3">
        <f t="shared" si="1"/>
        <v>18</v>
      </c>
      <c r="T93" s="3" t="str">
        <f>_xlfn.XLOOKUP(C93,Tabla42[ADEP],Tabla42[Sector],"")</f>
        <v>Sector 3</v>
      </c>
    </row>
    <row r="94" spans="1:20" x14ac:dyDescent="0.2">
      <c r="A94" s="23" t="s">
        <v>217</v>
      </c>
      <c r="B94" s="23" t="s">
        <v>18</v>
      </c>
      <c r="C94" s="23" t="s">
        <v>158</v>
      </c>
      <c r="D94" s="23" t="s">
        <v>20</v>
      </c>
      <c r="E94" s="23" t="s">
        <v>4481</v>
      </c>
      <c r="F94" s="24">
        <v>46308.762939814813</v>
      </c>
      <c r="G94" s="23" t="s">
        <v>21</v>
      </c>
      <c r="H94" s="23" t="s">
        <v>4482</v>
      </c>
      <c r="I94" s="23">
        <v>310</v>
      </c>
      <c r="J94" s="23" t="s">
        <v>22</v>
      </c>
      <c r="K94" s="23" t="s">
        <v>23</v>
      </c>
      <c r="L94" s="23">
        <v>348</v>
      </c>
      <c r="M94" s="23" t="s">
        <v>30</v>
      </c>
      <c r="N94" s="24">
        <v>46308.783159722225</v>
      </c>
      <c r="O94" s="23">
        <v>310</v>
      </c>
      <c r="P94" s="23" t="s">
        <v>25</v>
      </c>
      <c r="Q94" s="23">
        <v>40</v>
      </c>
      <c r="R94" s="3" t="str">
        <f>IF(OR(G94="12R",G94="12L"),_xlfn.XLOOKUP(C94,Tabla42[ADEP],Tabla42[SID 12R],""),IF(OR(G94="30L",G94="30R"),_xlfn.XLOOKUP(C94,Tabla42[ADEP],Tabla42[SID 30L],""),""))</f>
        <v>OMSUK</v>
      </c>
      <c r="S94" s="3">
        <f t="shared" si="1"/>
        <v>18</v>
      </c>
      <c r="T94" s="3" t="str">
        <f>_xlfn.XLOOKUP(C94,Tabla42[ADEP],Tabla42[Sector],"")</f>
        <v>Sector 3</v>
      </c>
    </row>
    <row r="95" spans="1:20" x14ac:dyDescent="0.2">
      <c r="A95" s="23" t="s">
        <v>2552</v>
      </c>
      <c r="B95" s="23" t="s">
        <v>18</v>
      </c>
      <c r="C95" s="23" t="s">
        <v>27</v>
      </c>
      <c r="D95" s="23" t="s">
        <v>60</v>
      </c>
      <c r="E95" s="23" t="s">
        <v>4483</v>
      </c>
      <c r="F95" s="24">
        <v>46308.764363425929</v>
      </c>
      <c r="G95" s="23" t="s">
        <v>21</v>
      </c>
      <c r="H95" s="23" t="s">
        <v>4484</v>
      </c>
      <c r="I95" s="23">
        <v>340</v>
      </c>
      <c r="J95" s="23" t="s">
        <v>22</v>
      </c>
      <c r="K95" s="23" t="s">
        <v>23</v>
      </c>
      <c r="L95" s="23">
        <v>437</v>
      </c>
      <c r="M95" s="23" t="s">
        <v>189</v>
      </c>
      <c r="N95" s="24">
        <v>46308.788449074076</v>
      </c>
      <c r="O95" s="23">
        <v>340</v>
      </c>
      <c r="P95" s="23" t="s">
        <v>25</v>
      </c>
      <c r="Q95" s="23">
        <v>40</v>
      </c>
      <c r="R95" s="3" t="str">
        <f>IF(OR(G95="12R",G95="12L"),_xlfn.XLOOKUP(C95,Tabla42[ADEP],Tabla42[SID 12R],""),IF(OR(G95="30L",G95="30R"),_xlfn.XLOOKUP(C95,Tabla42[ADEP],Tabla42[SID 30L],""),""))</f>
        <v>OMSUK</v>
      </c>
      <c r="S95" s="3">
        <f t="shared" si="1"/>
        <v>18</v>
      </c>
      <c r="T95" s="3" t="str">
        <f>_xlfn.XLOOKUP(C95,Tabla42[ADEP],Tabla42[Sector],"")</f>
        <v>Sector 3</v>
      </c>
    </row>
    <row r="96" spans="1:20" x14ac:dyDescent="0.2">
      <c r="A96" s="23" t="s">
        <v>227</v>
      </c>
      <c r="B96" s="23" t="s">
        <v>18</v>
      </c>
      <c r="C96" s="23" t="s">
        <v>133</v>
      </c>
      <c r="D96" s="23" t="s">
        <v>60</v>
      </c>
      <c r="E96" s="23" t="s">
        <v>347</v>
      </c>
      <c r="F96" s="24">
        <v>46308.765775462962</v>
      </c>
      <c r="G96" s="23" t="s">
        <v>21</v>
      </c>
      <c r="H96" s="23" t="s">
        <v>4485</v>
      </c>
      <c r="I96" s="23">
        <v>250</v>
      </c>
      <c r="J96" s="23" t="s">
        <v>22</v>
      </c>
      <c r="K96" s="23" t="s">
        <v>23</v>
      </c>
      <c r="L96" s="23">
        <v>360</v>
      </c>
      <c r="M96" s="23" t="s">
        <v>30</v>
      </c>
      <c r="N96" s="24">
        <v>46308.786574074074</v>
      </c>
      <c r="O96" s="23">
        <v>270</v>
      </c>
      <c r="P96" s="23" t="s">
        <v>25</v>
      </c>
      <c r="Q96" s="23">
        <v>40</v>
      </c>
      <c r="R96" s="3" t="str">
        <f>IF(OR(G96="12R",G96="12L"),_xlfn.XLOOKUP(C96,Tabla42[ADEP],Tabla42[SID 12R],""),IF(OR(G96="30L",G96="30R"),_xlfn.XLOOKUP(C96,Tabla42[ADEP],Tabla42[SID 30L],""),""))</f>
        <v>OMSUK</v>
      </c>
      <c r="S96" s="3">
        <f t="shared" si="1"/>
        <v>18</v>
      </c>
      <c r="T96" s="3" t="str">
        <f>_xlfn.XLOOKUP(C96,Tabla42[ADEP],Tabla42[Sector],"")</f>
        <v>Sector 3</v>
      </c>
    </row>
    <row r="97" spans="1:20" x14ac:dyDescent="0.2">
      <c r="A97" s="23" t="s">
        <v>246</v>
      </c>
      <c r="B97" s="23" t="s">
        <v>18</v>
      </c>
      <c r="C97" s="23" t="s">
        <v>209</v>
      </c>
      <c r="D97" s="23" t="s">
        <v>28</v>
      </c>
      <c r="E97" s="23" t="s">
        <v>4486</v>
      </c>
      <c r="F97" s="24">
        <v>46308.767291666663</v>
      </c>
      <c r="G97" s="23" t="s">
        <v>21</v>
      </c>
      <c r="H97" s="23" t="s">
        <v>4487</v>
      </c>
      <c r="I97" s="23">
        <v>360</v>
      </c>
      <c r="J97" s="23" t="s">
        <v>22</v>
      </c>
      <c r="K97" s="23" t="s">
        <v>23</v>
      </c>
      <c r="L97" s="23">
        <v>590</v>
      </c>
      <c r="M97" s="23" t="s">
        <v>123</v>
      </c>
      <c r="N97" s="24">
        <v>46308.797476851854</v>
      </c>
      <c r="O97" s="23">
        <v>360</v>
      </c>
      <c r="P97" s="23" t="s">
        <v>25</v>
      </c>
      <c r="Q97" s="23">
        <v>40</v>
      </c>
      <c r="R97" s="3" t="str">
        <f>IF(OR(G97="12R",G97="12L"),_xlfn.XLOOKUP(C97,Tabla42[ADEP],Tabla42[SID 12R],""),IF(OR(G97="30L",G97="30R"),_xlfn.XLOOKUP(C97,Tabla42[ADEP],Tabla42[SID 30L],""),""))</f>
        <v>ENEBA</v>
      </c>
      <c r="S97" s="3">
        <f t="shared" si="1"/>
        <v>18</v>
      </c>
      <c r="T97" s="3" t="str">
        <f>_xlfn.XLOOKUP(C97,Tabla42[ADEP],Tabla42[Sector],"")</f>
        <v>Sector 3</v>
      </c>
    </row>
    <row r="98" spans="1:20" x14ac:dyDescent="0.2">
      <c r="A98" s="23" t="s">
        <v>4488</v>
      </c>
      <c r="B98" s="23" t="s">
        <v>18</v>
      </c>
      <c r="C98" s="23" t="s">
        <v>4489</v>
      </c>
      <c r="D98" s="23" t="s">
        <v>4071</v>
      </c>
      <c r="E98" s="23"/>
      <c r="F98" s="24">
        <v>46308.768587962964</v>
      </c>
      <c r="G98" s="23" t="s">
        <v>21</v>
      </c>
      <c r="H98" s="23" t="s">
        <v>4490</v>
      </c>
      <c r="I98" s="23">
        <v>410</v>
      </c>
      <c r="J98" s="23" t="s">
        <v>22</v>
      </c>
      <c r="K98" s="23" t="s">
        <v>50</v>
      </c>
      <c r="L98" s="23">
        <v>365</v>
      </c>
      <c r="M98" s="23" t="s">
        <v>30</v>
      </c>
      <c r="N98" s="24">
        <v>46308.788981481484</v>
      </c>
      <c r="O98" s="23">
        <v>390</v>
      </c>
      <c r="P98" s="23" t="s">
        <v>25</v>
      </c>
      <c r="Q98" s="23">
        <v>40</v>
      </c>
      <c r="R98" s="3" t="str">
        <f>IF(OR(G98="12R",G98="12L"),_xlfn.XLOOKUP(C98,Tabla42[ADEP],Tabla42[SID 12R],""),IF(OR(G98="30L",G98="30R"),_xlfn.XLOOKUP(C98,Tabla42[ADEP],Tabla42[SID 30L],""),""))</f>
        <v/>
      </c>
      <c r="S98" s="3">
        <f t="shared" si="1"/>
        <v>18</v>
      </c>
      <c r="T98" s="3" t="str">
        <f>_xlfn.XLOOKUP(C98,Tabla42[ADEP],Tabla42[Sector],"")</f>
        <v/>
      </c>
    </row>
    <row r="99" spans="1:20" x14ac:dyDescent="0.2">
      <c r="A99" s="23" t="s">
        <v>228</v>
      </c>
      <c r="B99" s="23" t="s">
        <v>18</v>
      </c>
      <c r="C99" s="23" t="s">
        <v>27</v>
      </c>
      <c r="D99" s="23" t="s">
        <v>28</v>
      </c>
      <c r="E99" s="23" t="s">
        <v>3640</v>
      </c>
      <c r="F99" s="24">
        <v>46308.770486111112</v>
      </c>
      <c r="G99" s="23" t="s">
        <v>21</v>
      </c>
      <c r="H99" s="23" t="s">
        <v>4491</v>
      </c>
      <c r="I99" s="23">
        <v>360</v>
      </c>
      <c r="J99" s="23" t="s">
        <v>22</v>
      </c>
      <c r="K99" s="23" t="s">
        <v>23</v>
      </c>
      <c r="L99" s="23">
        <v>448</v>
      </c>
      <c r="M99" s="23" t="s">
        <v>189</v>
      </c>
      <c r="N99" s="24">
        <v>46308.79582175926</v>
      </c>
      <c r="O99" s="23">
        <v>360</v>
      </c>
      <c r="P99" s="23" t="s">
        <v>25</v>
      </c>
      <c r="Q99" s="23">
        <v>40</v>
      </c>
      <c r="R99" s="3" t="str">
        <f>IF(OR(G99="12R",G99="12L"),_xlfn.XLOOKUP(C99,Tabla42[ADEP],Tabla42[SID 12R],""),IF(OR(G99="30L",G99="30R"),_xlfn.XLOOKUP(C99,Tabla42[ADEP],Tabla42[SID 30L],""),""))</f>
        <v>OMSUK</v>
      </c>
      <c r="S99" s="3">
        <f t="shared" si="1"/>
        <v>18</v>
      </c>
      <c r="T99" s="3" t="str">
        <f>_xlfn.XLOOKUP(C99,Tabla42[ADEP],Tabla42[Sector],"")</f>
        <v>Sector 3</v>
      </c>
    </row>
    <row r="100" spans="1:20" x14ac:dyDescent="0.2">
      <c r="A100" s="23" t="s">
        <v>2495</v>
      </c>
      <c r="B100" s="23" t="s">
        <v>18</v>
      </c>
      <c r="C100" s="23" t="s">
        <v>559</v>
      </c>
      <c r="D100" s="23" t="s">
        <v>226</v>
      </c>
      <c r="E100" s="23" t="s">
        <v>4492</v>
      </c>
      <c r="F100" s="24">
        <v>46308.77202546296</v>
      </c>
      <c r="G100" s="23" t="s">
        <v>21</v>
      </c>
      <c r="H100" s="23" t="s">
        <v>4493</v>
      </c>
      <c r="I100" s="23">
        <v>370</v>
      </c>
      <c r="J100" s="23" t="s">
        <v>22</v>
      </c>
      <c r="K100" s="23" t="s">
        <v>23</v>
      </c>
      <c r="L100" s="23">
        <v>360</v>
      </c>
      <c r="M100" s="23" t="s">
        <v>30</v>
      </c>
      <c r="N100" s="24">
        <v>46308.793599537035</v>
      </c>
      <c r="O100" s="23">
        <v>370</v>
      </c>
      <c r="P100" s="23" t="s">
        <v>25</v>
      </c>
      <c r="Q100" s="23">
        <v>40</v>
      </c>
      <c r="R100" s="3" t="str">
        <f>IF(OR(G100="12R",G100="12L"),_xlfn.XLOOKUP(C100,Tabla42[ADEP],Tabla42[SID 12R],""),IF(OR(G100="30L",G100="30R"),_xlfn.XLOOKUP(C100,Tabla42[ADEP],Tabla42[SID 30L],""),""))</f>
        <v>OMSUK</v>
      </c>
      <c r="S100" s="3">
        <f t="shared" si="1"/>
        <v>18</v>
      </c>
      <c r="T100" s="3" t="str">
        <f>_xlfn.XLOOKUP(C100,Tabla42[ADEP],Tabla42[Sector],"")</f>
        <v>Sector 3</v>
      </c>
    </row>
    <row r="101" spans="1:20" x14ac:dyDescent="0.2">
      <c r="A101" s="23" t="s">
        <v>235</v>
      </c>
      <c r="B101" s="23" t="s">
        <v>18</v>
      </c>
      <c r="C101" s="23" t="s">
        <v>62</v>
      </c>
      <c r="D101" s="23" t="s">
        <v>53</v>
      </c>
      <c r="E101" s="23" t="s">
        <v>207</v>
      </c>
      <c r="F101" s="24">
        <v>46308.780590277776</v>
      </c>
      <c r="G101" s="23" t="s">
        <v>21</v>
      </c>
      <c r="H101" s="23" t="s">
        <v>4494</v>
      </c>
      <c r="I101" s="23">
        <v>380</v>
      </c>
      <c r="J101" s="23" t="s">
        <v>22</v>
      </c>
      <c r="K101" s="23" t="s">
        <v>23</v>
      </c>
      <c r="L101" s="23">
        <v>865</v>
      </c>
      <c r="M101" s="23" t="s">
        <v>2219</v>
      </c>
      <c r="N101" s="24">
        <v>46308.824212962965</v>
      </c>
      <c r="O101" s="23">
        <v>380</v>
      </c>
      <c r="P101" s="23" t="s">
        <v>25</v>
      </c>
      <c r="Q101" s="23">
        <v>190</v>
      </c>
      <c r="R101" s="3" t="str">
        <f>IF(OR(G101="12R",G101="12L"),_xlfn.XLOOKUP(C101,Tabla42[ADEP],Tabla42[SID 12R],""),IF(OR(G101="30L",G101="30R"),_xlfn.XLOOKUP(C101,Tabla42[ADEP],Tabla42[SID 30L],""),""))</f>
        <v>UDGUV</v>
      </c>
      <c r="S101" s="3">
        <f t="shared" si="1"/>
        <v>18</v>
      </c>
      <c r="T101" s="3" t="str">
        <f>_xlfn.XLOOKUP(C101,Tabla42[ADEP],Tabla42[Sector],"")</f>
        <v>Sector 2</v>
      </c>
    </row>
    <row r="102" spans="1:20" x14ac:dyDescent="0.2">
      <c r="A102" s="23" t="s">
        <v>2076</v>
      </c>
      <c r="B102" s="23" t="s">
        <v>18</v>
      </c>
      <c r="C102" s="23" t="s">
        <v>18</v>
      </c>
      <c r="D102" s="23" t="s">
        <v>2077</v>
      </c>
      <c r="E102" s="23"/>
      <c r="F102" s="24">
        <v>46308.782696759263</v>
      </c>
      <c r="G102" s="23" t="s">
        <v>21</v>
      </c>
      <c r="H102" s="23" t="s">
        <v>4495</v>
      </c>
      <c r="I102" s="23">
        <v>15</v>
      </c>
      <c r="J102" s="23" t="s">
        <v>130</v>
      </c>
      <c r="K102" s="23" t="s">
        <v>50</v>
      </c>
      <c r="L102" s="23">
        <v>122</v>
      </c>
      <c r="M102" s="23" t="s">
        <v>18</v>
      </c>
      <c r="N102" s="24">
        <v>46308.827488425923</v>
      </c>
      <c r="O102" s="23">
        <v>0</v>
      </c>
      <c r="P102" s="23" t="s">
        <v>129</v>
      </c>
      <c r="Q102" s="23">
        <v>15</v>
      </c>
      <c r="R102" s="3" t="str">
        <f>IF(OR(G102="12R",G102="12L"),_xlfn.XLOOKUP(C102,Tabla42[ADEP],Tabla42[SID 12R],""),IF(OR(G102="30L",G102="30R"),_xlfn.XLOOKUP(C102,Tabla42[ADEP],Tabla42[SID 30L],""),""))</f>
        <v/>
      </c>
      <c r="S102" s="3">
        <f t="shared" si="1"/>
        <v>18</v>
      </c>
      <c r="T102" s="3" t="str">
        <f>_xlfn.XLOOKUP(C102,Tabla42[ADEP],Tabla42[Sector],"")</f>
        <v/>
      </c>
    </row>
    <row r="103" spans="1:20" x14ac:dyDescent="0.2">
      <c r="A103" s="23" t="s">
        <v>443</v>
      </c>
      <c r="B103" s="23" t="s">
        <v>18</v>
      </c>
      <c r="C103" s="23" t="s">
        <v>444</v>
      </c>
      <c r="D103" s="23" t="s">
        <v>28</v>
      </c>
      <c r="E103" s="23" t="s">
        <v>983</v>
      </c>
      <c r="F103" s="24">
        <v>46308.784108796295</v>
      </c>
      <c r="G103" s="23" t="s">
        <v>21</v>
      </c>
      <c r="H103" s="23" t="s">
        <v>4496</v>
      </c>
      <c r="I103" s="23">
        <v>360</v>
      </c>
      <c r="J103" s="23" t="s">
        <v>22</v>
      </c>
      <c r="K103" s="23" t="s">
        <v>23</v>
      </c>
      <c r="L103" s="23">
        <v>437</v>
      </c>
      <c r="M103" s="23" t="s">
        <v>189</v>
      </c>
      <c r="N103" s="24">
        <v>46308.808171296296</v>
      </c>
      <c r="O103" s="23">
        <v>340</v>
      </c>
      <c r="P103" s="23" t="s">
        <v>25</v>
      </c>
      <c r="Q103" s="23">
        <v>40</v>
      </c>
      <c r="R103" s="3" t="str">
        <f>IF(OR(G103="12R",G103="12L"),_xlfn.XLOOKUP(C103,Tabla42[ADEP],Tabla42[SID 12R],""),IF(OR(G103="30L",G103="30R"),_xlfn.XLOOKUP(C103,Tabla42[ADEP],Tabla42[SID 30L],""),""))</f>
        <v>ENEBA</v>
      </c>
      <c r="S103" s="3">
        <f t="shared" si="1"/>
        <v>18</v>
      </c>
      <c r="T103" s="3" t="str">
        <f>_xlfn.XLOOKUP(C103,Tabla42[ADEP],Tabla42[Sector],"")</f>
        <v>Sector 3</v>
      </c>
    </row>
    <row r="104" spans="1:20" x14ac:dyDescent="0.2">
      <c r="A104" s="23" t="s">
        <v>2518</v>
      </c>
      <c r="B104" s="23" t="s">
        <v>18</v>
      </c>
      <c r="C104" s="23" t="s">
        <v>96</v>
      </c>
      <c r="D104" s="23" t="s">
        <v>33</v>
      </c>
      <c r="E104" s="23" t="s">
        <v>368</v>
      </c>
      <c r="F104" s="24">
        <v>46308.785104166665</v>
      </c>
      <c r="G104" s="23" t="s">
        <v>21</v>
      </c>
      <c r="H104" s="23" t="s">
        <v>4497</v>
      </c>
      <c r="I104" s="23">
        <v>360</v>
      </c>
      <c r="J104" s="23" t="s">
        <v>22</v>
      </c>
      <c r="K104" s="23" t="s">
        <v>23</v>
      </c>
      <c r="L104" s="23">
        <v>858</v>
      </c>
      <c r="M104" s="23" t="s">
        <v>45</v>
      </c>
      <c r="N104" s="24">
        <v>46308.829780092594</v>
      </c>
      <c r="O104" s="23">
        <v>360</v>
      </c>
      <c r="P104" s="23" t="s">
        <v>25</v>
      </c>
      <c r="Q104" s="23">
        <v>190</v>
      </c>
      <c r="R104" s="3" t="str">
        <f>IF(OR(G104="12R",G104="12L"),_xlfn.XLOOKUP(C104,Tabla42[ADEP],Tabla42[SID 12R],""),IF(OR(G104="30L",G104="30R"),_xlfn.XLOOKUP(C104,Tabla42[ADEP],Tabla42[SID 30L],""),""))</f>
        <v>UDGUV</v>
      </c>
      <c r="S104" s="3">
        <f t="shared" si="1"/>
        <v>18</v>
      </c>
      <c r="T104" s="3" t="str">
        <f>_xlfn.XLOOKUP(C104,Tabla42[ADEP],Tabla42[Sector],"")</f>
        <v>Sector 2</v>
      </c>
    </row>
    <row r="105" spans="1:20" x14ac:dyDescent="0.2">
      <c r="A105" s="23" t="s">
        <v>240</v>
      </c>
      <c r="B105" s="23" t="s">
        <v>18</v>
      </c>
      <c r="C105" s="23" t="s">
        <v>116</v>
      </c>
      <c r="D105" s="23" t="s">
        <v>117</v>
      </c>
      <c r="E105" s="23" t="s">
        <v>4498</v>
      </c>
      <c r="F105" s="24">
        <v>46308.78601851852</v>
      </c>
      <c r="G105" s="23" t="s">
        <v>21</v>
      </c>
      <c r="H105" s="23" t="s">
        <v>4499</v>
      </c>
      <c r="I105" s="23">
        <v>340</v>
      </c>
      <c r="J105" s="23" t="s">
        <v>22</v>
      </c>
      <c r="K105" s="23" t="s">
        <v>23</v>
      </c>
      <c r="L105" s="23">
        <v>554</v>
      </c>
      <c r="M105" s="23" t="s">
        <v>123</v>
      </c>
      <c r="N105" s="24">
        <v>46308.81490740741</v>
      </c>
      <c r="O105" s="23">
        <v>340</v>
      </c>
      <c r="P105" s="23" t="s">
        <v>25</v>
      </c>
      <c r="Q105" s="23">
        <v>40</v>
      </c>
      <c r="R105" s="3" t="str">
        <f>IF(OR(G105="12R",G105="12L"),_xlfn.XLOOKUP(C105,Tabla42[ADEP],Tabla42[SID 12R],""),IF(OR(G105="30L",G105="30R"),_xlfn.XLOOKUP(C105,Tabla42[ADEP],Tabla42[SID 30L],""),""))</f>
        <v>ENEBA</v>
      </c>
      <c r="S105" s="3">
        <f t="shared" si="1"/>
        <v>18</v>
      </c>
      <c r="T105" s="3" t="str">
        <f>_xlfn.XLOOKUP(C105,Tabla42[ADEP],Tabla42[Sector],"")</f>
        <v>Sector 3</v>
      </c>
    </row>
    <row r="106" spans="1:20" x14ac:dyDescent="0.2">
      <c r="A106" s="23" t="s">
        <v>237</v>
      </c>
      <c r="B106" s="23" t="s">
        <v>18</v>
      </c>
      <c r="C106" s="23" t="s">
        <v>116</v>
      </c>
      <c r="D106" s="23" t="s">
        <v>117</v>
      </c>
      <c r="E106" s="23" t="s">
        <v>4253</v>
      </c>
      <c r="F106" s="24">
        <v>46308.787569444445</v>
      </c>
      <c r="G106" s="23" t="s">
        <v>21</v>
      </c>
      <c r="H106" s="23" t="s">
        <v>4500</v>
      </c>
      <c r="I106" s="23">
        <v>320</v>
      </c>
      <c r="J106" s="23" t="s">
        <v>22</v>
      </c>
      <c r="K106" s="23" t="s">
        <v>23</v>
      </c>
      <c r="L106" s="23">
        <v>563</v>
      </c>
      <c r="M106" s="23" t="s">
        <v>123</v>
      </c>
      <c r="N106" s="24">
        <v>46308.816238425927</v>
      </c>
      <c r="O106" s="23">
        <v>320</v>
      </c>
      <c r="P106" s="23" t="s">
        <v>25</v>
      </c>
      <c r="Q106" s="23">
        <v>40</v>
      </c>
      <c r="R106" s="3" t="str">
        <f>IF(OR(G106="12R",G106="12L"),_xlfn.XLOOKUP(C106,Tabla42[ADEP],Tabla42[SID 12R],""),IF(OR(G106="30L",G106="30R"),_xlfn.XLOOKUP(C106,Tabla42[ADEP],Tabla42[SID 30L],""),""))</f>
        <v>ENEBA</v>
      </c>
      <c r="S106" s="3">
        <f t="shared" si="1"/>
        <v>18</v>
      </c>
      <c r="T106" s="3" t="str">
        <f>_xlfn.XLOOKUP(C106,Tabla42[ADEP],Tabla42[Sector],"")</f>
        <v>Sector 3</v>
      </c>
    </row>
    <row r="107" spans="1:20" x14ac:dyDescent="0.2">
      <c r="A107" s="23" t="s">
        <v>241</v>
      </c>
      <c r="B107" s="23" t="s">
        <v>18</v>
      </c>
      <c r="C107" s="23" t="s">
        <v>121</v>
      </c>
      <c r="D107" s="23" t="s">
        <v>60</v>
      </c>
      <c r="E107" s="23" t="s">
        <v>4501</v>
      </c>
      <c r="F107" s="24">
        <v>46308.789259259262</v>
      </c>
      <c r="G107" s="23" t="s">
        <v>21</v>
      </c>
      <c r="H107" s="23" t="s">
        <v>4502</v>
      </c>
      <c r="I107" s="23">
        <v>300</v>
      </c>
      <c r="J107" s="23" t="s">
        <v>22</v>
      </c>
      <c r="K107" s="23" t="s">
        <v>23</v>
      </c>
      <c r="L107" s="23">
        <v>581</v>
      </c>
      <c r="M107" s="23" t="s">
        <v>123</v>
      </c>
      <c r="N107" s="24">
        <v>46308.820300925923</v>
      </c>
      <c r="O107" s="23">
        <v>300</v>
      </c>
      <c r="P107" s="23" t="s">
        <v>25</v>
      </c>
      <c r="Q107" s="23">
        <v>40</v>
      </c>
      <c r="R107" s="3" t="str">
        <f>IF(OR(G107="12R",G107="12L"),_xlfn.XLOOKUP(C107,Tabla42[ADEP],Tabla42[SID 12R],""),IF(OR(G107="30L",G107="30R"),_xlfn.XLOOKUP(C107,Tabla42[ADEP],Tabla42[SID 30L],""),""))</f>
        <v>ENEBA</v>
      </c>
      <c r="S107" s="3">
        <f t="shared" si="1"/>
        <v>18</v>
      </c>
      <c r="T107" s="3" t="str">
        <f>_xlfn.XLOOKUP(C107,Tabla42[ADEP],Tabla42[Sector],"")</f>
        <v>Sector 3</v>
      </c>
    </row>
    <row r="108" spans="1:20" x14ac:dyDescent="0.2">
      <c r="A108" s="23" t="s">
        <v>173</v>
      </c>
      <c r="B108" s="23" t="s">
        <v>18</v>
      </c>
      <c r="C108" s="23" t="s">
        <v>154</v>
      </c>
      <c r="D108" s="23" t="s">
        <v>174</v>
      </c>
      <c r="E108" s="23"/>
      <c r="F108" s="24">
        <v>46308.791458333333</v>
      </c>
      <c r="G108" s="23" t="s">
        <v>21</v>
      </c>
      <c r="H108" s="23" t="s">
        <v>4503</v>
      </c>
      <c r="I108" s="23">
        <v>15</v>
      </c>
      <c r="J108" s="23" t="s">
        <v>130</v>
      </c>
      <c r="K108" s="23" t="s">
        <v>50</v>
      </c>
      <c r="L108" s="23">
        <v>61</v>
      </c>
      <c r="M108" s="23" t="s">
        <v>154</v>
      </c>
      <c r="N108" s="24">
        <v>46308.80945601852</v>
      </c>
      <c r="O108" s="23">
        <v>0</v>
      </c>
      <c r="P108" s="23" t="s">
        <v>129</v>
      </c>
      <c r="Q108" s="23">
        <v>15</v>
      </c>
      <c r="R108" s="3" t="str">
        <f>IF(OR(G108="12R",G108="12L"),_xlfn.XLOOKUP(C108,Tabla42[ADEP],Tabla42[SID 12R],""),IF(OR(G108="30L",G108="30R"),_xlfn.XLOOKUP(C108,Tabla42[ADEP],Tabla42[SID 30L],""),""))</f>
        <v>CZM</v>
      </c>
      <c r="S108" s="3">
        <f t="shared" si="1"/>
        <v>18</v>
      </c>
      <c r="T108" s="3" t="str">
        <f>_xlfn.XLOOKUP(C108,Tabla42[ADEP],Tabla42[Sector],"")</f>
        <v>Sector 7</v>
      </c>
    </row>
    <row r="109" spans="1:20" x14ac:dyDescent="0.2">
      <c r="A109" s="23" t="s">
        <v>245</v>
      </c>
      <c r="B109" s="23" t="s">
        <v>18</v>
      </c>
      <c r="C109" s="23" t="s">
        <v>109</v>
      </c>
      <c r="D109" s="23" t="s">
        <v>122</v>
      </c>
      <c r="E109" s="23" t="s">
        <v>1745</v>
      </c>
      <c r="F109" s="24">
        <v>46308.801400462966</v>
      </c>
      <c r="G109" s="23" t="s">
        <v>21</v>
      </c>
      <c r="H109" s="23" t="s">
        <v>4504</v>
      </c>
      <c r="I109" s="23">
        <v>350</v>
      </c>
      <c r="J109" s="23" t="s">
        <v>22</v>
      </c>
      <c r="K109" s="23" t="s">
        <v>23</v>
      </c>
      <c r="L109" s="23">
        <v>149</v>
      </c>
      <c r="M109" s="23" t="s">
        <v>111</v>
      </c>
      <c r="N109" s="24">
        <v>46308.811527777776</v>
      </c>
      <c r="O109" s="23">
        <v>283</v>
      </c>
      <c r="P109" s="23" t="s">
        <v>25</v>
      </c>
      <c r="Q109" s="23">
        <v>190</v>
      </c>
      <c r="R109" s="3" t="str">
        <f>IF(OR(G109="12R",G109="12L"),_xlfn.XLOOKUP(C109,Tabla42[ADEP],Tabla42[SID 12R],""),IF(OR(G109="30L",G109="30R"),_xlfn.XLOOKUP(C109,Tabla42[ADEP],Tabla42[SID 30L],""),""))</f>
        <v>TAKUX</v>
      </c>
      <c r="S109" s="3">
        <f t="shared" si="1"/>
        <v>19</v>
      </c>
      <c r="T109" s="3" t="str">
        <f>_xlfn.XLOOKUP(C109,Tabla42[ADEP],Tabla42[Sector],"")</f>
        <v>Sector 7</v>
      </c>
    </row>
    <row r="110" spans="1:20" x14ac:dyDescent="0.2">
      <c r="A110" s="23" t="s">
        <v>247</v>
      </c>
      <c r="B110" s="23" t="s">
        <v>18</v>
      </c>
      <c r="C110" s="23" t="s">
        <v>137</v>
      </c>
      <c r="D110" s="23" t="s">
        <v>122</v>
      </c>
      <c r="E110" s="23" t="s">
        <v>4505</v>
      </c>
      <c r="F110" s="24">
        <v>46308.802905092591</v>
      </c>
      <c r="G110" s="23" t="s">
        <v>21</v>
      </c>
      <c r="H110" s="23" t="s">
        <v>4506</v>
      </c>
      <c r="I110" s="23">
        <v>330</v>
      </c>
      <c r="J110" s="23" t="s">
        <v>22</v>
      </c>
      <c r="K110" s="23" t="s">
        <v>23</v>
      </c>
      <c r="L110" s="23">
        <v>135</v>
      </c>
      <c r="M110" s="23" t="s">
        <v>39</v>
      </c>
      <c r="N110" s="24">
        <v>46308.812418981484</v>
      </c>
      <c r="O110" s="23">
        <v>266</v>
      </c>
      <c r="P110" s="23" t="s">
        <v>25</v>
      </c>
      <c r="Q110" s="23">
        <v>190</v>
      </c>
      <c r="R110" s="3" t="str">
        <f>IF(OR(G110="12R",G110="12L"),_xlfn.XLOOKUP(C110,Tabla42[ADEP],Tabla42[SID 12R],""),IF(OR(G110="30L",G110="30R"),_xlfn.XLOOKUP(C110,Tabla42[ADEP],Tabla42[SID 30L],""),""))</f>
        <v>NUDAL</v>
      </c>
      <c r="S110" s="3">
        <f t="shared" si="1"/>
        <v>19</v>
      </c>
      <c r="T110" s="3" t="str">
        <f>_xlfn.XLOOKUP(C110,Tabla42[ADEP],Tabla42[Sector],"")</f>
        <v>Sector 3</v>
      </c>
    </row>
    <row r="111" spans="1:20" x14ac:dyDescent="0.2">
      <c r="A111" s="23" t="s">
        <v>600</v>
      </c>
      <c r="B111" s="23" t="s">
        <v>18</v>
      </c>
      <c r="C111" s="23" t="s">
        <v>293</v>
      </c>
      <c r="D111" s="23" t="s">
        <v>20</v>
      </c>
      <c r="E111" s="23" t="s">
        <v>4507</v>
      </c>
      <c r="F111" s="24">
        <v>46308.804062499999</v>
      </c>
      <c r="G111" s="23" t="s">
        <v>21</v>
      </c>
      <c r="H111" s="23" t="s">
        <v>4508</v>
      </c>
      <c r="I111" s="23">
        <v>340</v>
      </c>
      <c r="J111" s="23" t="s">
        <v>22</v>
      </c>
      <c r="K111" s="23" t="s">
        <v>23</v>
      </c>
      <c r="L111" s="23">
        <v>579</v>
      </c>
      <c r="M111" s="23" t="s">
        <v>123</v>
      </c>
      <c r="N111" s="24">
        <v>46308.834641203706</v>
      </c>
      <c r="O111" s="23">
        <v>340</v>
      </c>
      <c r="P111" s="23" t="s">
        <v>25</v>
      </c>
      <c r="Q111" s="23">
        <v>40</v>
      </c>
      <c r="R111" s="3" t="str">
        <f>IF(OR(G111="12R",G111="12L"),_xlfn.XLOOKUP(C111,Tabla42[ADEP],Tabla42[SID 12R],""),IF(OR(G111="30L",G111="30R"),_xlfn.XLOOKUP(C111,Tabla42[ADEP],Tabla42[SID 30L],""),""))</f>
        <v>UDGUV</v>
      </c>
      <c r="S111" s="3">
        <f t="shared" si="1"/>
        <v>19</v>
      </c>
      <c r="T111" s="3" t="str">
        <f>_xlfn.XLOOKUP(C111,Tabla42[ADEP],Tabla42[Sector],"")</f>
        <v>Sector 2</v>
      </c>
    </row>
    <row r="112" spans="1:20" x14ac:dyDescent="0.2">
      <c r="A112" s="23" t="s">
        <v>229</v>
      </c>
      <c r="B112" s="23" t="s">
        <v>18</v>
      </c>
      <c r="C112" s="23" t="s">
        <v>230</v>
      </c>
      <c r="D112" s="23" t="s">
        <v>231</v>
      </c>
      <c r="E112" s="23" t="s">
        <v>591</v>
      </c>
      <c r="F112" s="24">
        <v>46308.805104166669</v>
      </c>
      <c r="G112" s="23" t="s">
        <v>21</v>
      </c>
      <c r="H112" s="23" t="s">
        <v>4509</v>
      </c>
      <c r="I112" s="23">
        <v>100</v>
      </c>
      <c r="J112" s="23" t="s">
        <v>22</v>
      </c>
      <c r="K112" s="23" t="s">
        <v>23</v>
      </c>
      <c r="L112" s="23">
        <v>355</v>
      </c>
      <c r="M112" s="23" t="s">
        <v>230</v>
      </c>
      <c r="N112" s="24">
        <v>46308.868877314817</v>
      </c>
      <c r="O112" s="23">
        <v>0</v>
      </c>
      <c r="P112" s="23" t="s">
        <v>129</v>
      </c>
      <c r="Q112" s="23">
        <v>40</v>
      </c>
      <c r="R112" s="3" t="str">
        <f>IF(OR(G112="12R",G112="12L"),_xlfn.XLOOKUP(C112,Tabla42[ADEP],Tabla42[SID 12R],""),IF(OR(G112="30L",G112="30R"),_xlfn.XLOOKUP(C112,Tabla42[ADEP],Tabla42[SID 30L],""),""))</f>
        <v>CZM</v>
      </c>
      <c r="S112" s="3">
        <f t="shared" si="1"/>
        <v>19</v>
      </c>
      <c r="T112" s="3" t="str">
        <f>_xlfn.XLOOKUP(C112,Tabla42[ADEP],Tabla42[Sector],"")</f>
        <v>Sector 7</v>
      </c>
    </row>
    <row r="113" spans="1:20" x14ac:dyDescent="0.2">
      <c r="A113" s="23" t="s">
        <v>2528</v>
      </c>
      <c r="B113" s="23" t="s">
        <v>18</v>
      </c>
      <c r="C113" s="23" t="s">
        <v>242</v>
      </c>
      <c r="D113" s="23" t="s">
        <v>243</v>
      </c>
      <c r="E113" s="23" t="s">
        <v>2191</v>
      </c>
      <c r="F113" s="24">
        <v>46308.806481481479</v>
      </c>
      <c r="G113" s="23" t="s">
        <v>21</v>
      </c>
      <c r="H113" s="23" t="s">
        <v>4510</v>
      </c>
      <c r="I113" s="23">
        <v>350</v>
      </c>
      <c r="J113" s="23" t="s">
        <v>22</v>
      </c>
      <c r="K113" s="23" t="s">
        <v>23</v>
      </c>
      <c r="L113" s="23">
        <v>135</v>
      </c>
      <c r="M113" s="23" t="s">
        <v>39</v>
      </c>
      <c r="N113" s="24">
        <v>46308.815972222219</v>
      </c>
      <c r="O113" s="23">
        <v>215</v>
      </c>
      <c r="P113" s="23" t="s">
        <v>40</v>
      </c>
      <c r="Q113" s="23">
        <v>190</v>
      </c>
      <c r="R113" s="3" t="str">
        <f>IF(OR(G113="12R",G113="12L"),_xlfn.XLOOKUP(C113,Tabla42[ADEP],Tabla42[SID 12R],""),IF(OR(G113="30L",G113="30R"),_xlfn.XLOOKUP(C113,Tabla42[ADEP],Tabla42[SID 30L],""),""))</f>
        <v>NUDAL</v>
      </c>
      <c r="S113" s="3">
        <f t="shared" si="1"/>
        <v>19</v>
      </c>
      <c r="T113" s="3" t="str">
        <f>_xlfn.XLOOKUP(C113,Tabla42[ADEP],Tabla42[Sector],"")</f>
        <v>Sector 3</v>
      </c>
    </row>
    <row r="114" spans="1:20" x14ac:dyDescent="0.2">
      <c r="A114" s="23" t="s">
        <v>4511</v>
      </c>
      <c r="B114" s="23" t="s">
        <v>18</v>
      </c>
      <c r="C114" s="23" t="s">
        <v>32</v>
      </c>
      <c r="D114" s="23" t="s">
        <v>3068</v>
      </c>
      <c r="E114" s="23"/>
      <c r="F114" s="24">
        <v>46308.809351851851</v>
      </c>
      <c r="G114" s="23" t="s">
        <v>21</v>
      </c>
      <c r="H114" s="23" t="s">
        <v>4512</v>
      </c>
      <c r="I114" s="23">
        <v>430</v>
      </c>
      <c r="J114" s="23" t="s">
        <v>22</v>
      </c>
      <c r="K114" s="23" t="s">
        <v>50</v>
      </c>
      <c r="L114" s="23">
        <v>864</v>
      </c>
      <c r="M114" s="23" t="s">
        <v>35</v>
      </c>
      <c r="N114" s="24">
        <v>46308.855983796297</v>
      </c>
      <c r="O114" s="23">
        <v>430</v>
      </c>
      <c r="P114" s="23" t="s">
        <v>25</v>
      </c>
      <c r="Q114" s="23">
        <v>30</v>
      </c>
      <c r="R114" s="3" t="str">
        <f>IF(OR(G114="12R",G114="12L"),_xlfn.XLOOKUP(C114,Tabla42[ADEP],Tabla42[SID 12R],""),IF(OR(G114="30L",G114="30R"),_xlfn.XLOOKUP(C114,Tabla42[ADEP],Tabla42[SID 30L],""),""))</f>
        <v>UDGUV</v>
      </c>
      <c r="S114" s="3">
        <f t="shared" si="1"/>
        <v>19</v>
      </c>
      <c r="T114" s="3" t="str">
        <f>_xlfn.XLOOKUP(C114,Tabla42[ADEP],Tabla42[Sector],"")</f>
        <v>Sector 2</v>
      </c>
    </row>
    <row r="115" spans="1:20" x14ac:dyDescent="0.2">
      <c r="A115" s="23" t="s">
        <v>270</v>
      </c>
      <c r="B115" s="23" t="s">
        <v>18</v>
      </c>
      <c r="C115" s="23" t="s">
        <v>93</v>
      </c>
      <c r="D115" s="23" t="s">
        <v>60</v>
      </c>
      <c r="E115" s="23" t="s">
        <v>529</v>
      </c>
      <c r="F115" s="24">
        <v>46308.810787037037</v>
      </c>
      <c r="G115" s="23" t="s">
        <v>21</v>
      </c>
      <c r="H115" s="23" t="s">
        <v>4513</v>
      </c>
      <c r="I115" s="23">
        <v>340</v>
      </c>
      <c r="J115" s="23" t="s">
        <v>22</v>
      </c>
      <c r="K115" s="23" t="s">
        <v>23</v>
      </c>
      <c r="L115" s="23">
        <v>886</v>
      </c>
      <c r="M115" s="23" t="s">
        <v>2113</v>
      </c>
      <c r="N115" s="24">
        <v>46308.856620370374</v>
      </c>
      <c r="O115" s="23">
        <v>200</v>
      </c>
      <c r="P115" s="23" t="s">
        <v>25</v>
      </c>
      <c r="Q115" s="23">
        <v>190</v>
      </c>
      <c r="R115" s="3" t="str">
        <f>IF(OR(G115="12R",G115="12L"),_xlfn.XLOOKUP(C115,Tabla42[ADEP],Tabla42[SID 12R],""),IF(OR(G115="30L",G115="30R"),_xlfn.XLOOKUP(C115,Tabla42[ADEP],Tabla42[SID 30L],""),""))</f>
        <v>UDGUV</v>
      </c>
      <c r="S115" s="3">
        <f t="shared" si="1"/>
        <v>19</v>
      </c>
      <c r="T115" s="3" t="str">
        <f>_xlfn.XLOOKUP(C115,Tabla42[ADEP],Tabla42[Sector],"")</f>
        <v>Sector 2</v>
      </c>
    </row>
    <row r="116" spans="1:20" x14ac:dyDescent="0.2">
      <c r="A116" s="23" t="s">
        <v>253</v>
      </c>
      <c r="B116" s="23" t="s">
        <v>18</v>
      </c>
      <c r="C116" s="23" t="s">
        <v>254</v>
      </c>
      <c r="D116" s="23" t="s">
        <v>20</v>
      </c>
      <c r="E116" s="23" t="s">
        <v>2940</v>
      </c>
      <c r="F116" s="24">
        <v>46308.812476851854</v>
      </c>
      <c r="G116" s="23" t="s">
        <v>21</v>
      </c>
      <c r="H116" s="23" t="s">
        <v>4514</v>
      </c>
      <c r="I116" s="23">
        <v>360</v>
      </c>
      <c r="J116" s="23" t="s">
        <v>22</v>
      </c>
      <c r="K116" s="23" t="s">
        <v>23</v>
      </c>
      <c r="L116" s="23">
        <v>870</v>
      </c>
      <c r="M116" s="23" t="s">
        <v>35</v>
      </c>
      <c r="N116" s="24">
        <v>46308.85701388889</v>
      </c>
      <c r="O116" s="23">
        <v>360</v>
      </c>
      <c r="P116" s="23" t="s">
        <v>25</v>
      </c>
      <c r="Q116" s="23">
        <v>190</v>
      </c>
      <c r="R116" s="3" t="str">
        <f>IF(OR(G116="12R",G116="12L"),_xlfn.XLOOKUP(C116,Tabla42[ADEP],Tabla42[SID 12R],""),IF(OR(G116="30L",G116="30R"),_xlfn.XLOOKUP(C116,Tabla42[ADEP],Tabla42[SID 30L],""),""))</f>
        <v>UDGUV</v>
      </c>
      <c r="S116" s="3">
        <f t="shared" si="1"/>
        <v>19</v>
      </c>
      <c r="T116" s="3" t="str">
        <f>_xlfn.XLOOKUP(C116,Tabla42[ADEP],Tabla42[Sector],"")</f>
        <v>Sector 2</v>
      </c>
    </row>
    <row r="117" spans="1:20" x14ac:dyDescent="0.2">
      <c r="A117" s="23" t="s">
        <v>251</v>
      </c>
      <c r="B117" s="23" t="s">
        <v>18</v>
      </c>
      <c r="C117" s="23" t="s">
        <v>126</v>
      </c>
      <c r="D117" s="23" t="s">
        <v>60</v>
      </c>
      <c r="E117" s="23" t="s">
        <v>4515</v>
      </c>
      <c r="F117" s="24">
        <v>46308.816087962965</v>
      </c>
      <c r="G117" s="23" t="s">
        <v>21</v>
      </c>
      <c r="H117" s="23" t="s">
        <v>4516</v>
      </c>
      <c r="I117" s="23">
        <v>350</v>
      </c>
      <c r="J117" s="23" t="s">
        <v>22</v>
      </c>
      <c r="K117" s="23" t="s">
        <v>23</v>
      </c>
      <c r="L117" s="23">
        <v>359</v>
      </c>
      <c r="M117" s="23" t="s">
        <v>30</v>
      </c>
      <c r="N117" s="24">
        <v>46308.837118055555</v>
      </c>
      <c r="O117" s="23">
        <v>350</v>
      </c>
      <c r="P117" s="23" t="s">
        <v>25</v>
      </c>
      <c r="Q117" s="23">
        <v>40</v>
      </c>
      <c r="R117" s="3" t="str">
        <f>IF(OR(G117="12R",G117="12L"),_xlfn.XLOOKUP(C117,Tabla42[ADEP],Tabla42[SID 12R],""),IF(OR(G117="30L",G117="30R"),_xlfn.XLOOKUP(C117,Tabla42[ADEP],Tabla42[SID 30L],""),""))</f>
        <v>ENEBA</v>
      </c>
      <c r="S117" s="3">
        <f t="shared" si="1"/>
        <v>19</v>
      </c>
      <c r="T117" s="3" t="str">
        <f>_xlfn.XLOOKUP(C117,Tabla42[ADEP],Tabla42[Sector],"")</f>
        <v>Sector 3</v>
      </c>
    </row>
    <row r="118" spans="1:20" x14ac:dyDescent="0.2">
      <c r="A118" s="23" t="s">
        <v>261</v>
      </c>
      <c r="B118" s="23" t="s">
        <v>18</v>
      </c>
      <c r="C118" s="23" t="s">
        <v>158</v>
      </c>
      <c r="D118" s="23" t="s">
        <v>33</v>
      </c>
      <c r="E118" s="23" t="s">
        <v>725</v>
      </c>
      <c r="F118" s="24">
        <v>46308.81890046296</v>
      </c>
      <c r="G118" s="23" t="s">
        <v>21</v>
      </c>
      <c r="H118" s="23" t="s">
        <v>4517</v>
      </c>
      <c r="I118" s="23">
        <v>350</v>
      </c>
      <c r="J118" s="23" t="s">
        <v>22</v>
      </c>
      <c r="K118" s="23" t="s">
        <v>23</v>
      </c>
      <c r="L118" s="23">
        <v>362</v>
      </c>
      <c r="M118" s="23" t="s">
        <v>30</v>
      </c>
      <c r="N118" s="24">
        <v>46308.840011574073</v>
      </c>
      <c r="O118" s="23">
        <v>330</v>
      </c>
      <c r="P118" s="23" t="s">
        <v>25</v>
      </c>
      <c r="Q118" s="23">
        <v>40</v>
      </c>
      <c r="R118" s="3" t="str">
        <f>IF(OR(G118="12R",G118="12L"),_xlfn.XLOOKUP(C118,Tabla42[ADEP],Tabla42[SID 12R],""),IF(OR(G118="30L",G118="30R"),_xlfn.XLOOKUP(C118,Tabla42[ADEP],Tabla42[SID 30L],""),""))</f>
        <v>OMSUK</v>
      </c>
      <c r="S118" s="3">
        <f t="shared" si="1"/>
        <v>19</v>
      </c>
      <c r="T118" s="3" t="str">
        <f>_xlfn.XLOOKUP(C118,Tabla42[ADEP],Tabla42[Sector],"")</f>
        <v>Sector 3</v>
      </c>
    </row>
    <row r="119" spans="1:20" x14ac:dyDescent="0.2">
      <c r="A119" s="23" t="s">
        <v>259</v>
      </c>
      <c r="B119" s="23" t="s">
        <v>18</v>
      </c>
      <c r="C119" s="23" t="s">
        <v>32</v>
      </c>
      <c r="D119" s="23" t="s">
        <v>33</v>
      </c>
      <c r="E119" s="23" t="s">
        <v>4402</v>
      </c>
      <c r="F119" s="24">
        <v>46308.819918981484</v>
      </c>
      <c r="G119" s="23" t="s">
        <v>21</v>
      </c>
      <c r="H119" s="23" t="s">
        <v>4518</v>
      </c>
      <c r="I119" s="23">
        <v>360</v>
      </c>
      <c r="J119" s="23" t="s">
        <v>22</v>
      </c>
      <c r="K119" s="23" t="s">
        <v>23</v>
      </c>
      <c r="L119" s="23">
        <v>875</v>
      </c>
      <c r="M119" s="23" t="s">
        <v>35</v>
      </c>
      <c r="N119" s="24">
        <v>46308.865219907406</v>
      </c>
      <c r="O119" s="23">
        <v>360</v>
      </c>
      <c r="P119" s="23" t="s">
        <v>25</v>
      </c>
      <c r="Q119" s="23">
        <v>190</v>
      </c>
      <c r="R119" s="3" t="str">
        <f>IF(OR(G119="12R",G119="12L"),_xlfn.XLOOKUP(C119,Tabla42[ADEP],Tabla42[SID 12R],""),IF(OR(G119="30L",G119="30R"),_xlfn.XLOOKUP(C119,Tabla42[ADEP],Tabla42[SID 30L],""),""))</f>
        <v>UDGUV</v>
      </c>
      <c r="S119" s="3">
        <f t="shared" si="1"/>
        <v>19</v>
      </c>
      <c r="T119" s="3" t="str">
        <f>_xlfn.XLOOKUP(C119,Tabla42[ADEP],Tabla42[Sector],"")</f>
        <v>Sector 2</v>
      </c>
    </row>
    <row r="120" spans="1:20" x14ac:dyDescent="0.2">
      <c r="A120" s="23" t="s">
        <v>268</v>
      </c>
      <c r="B120" s="23" t="s">
        <v>18</v>
      </c>
      <c r="C120" s="23" t="s">
        <v>42</v>
      </c>
      <c r="D120" s="23" t="s">
        <v>43</v>
      </c>
      <c r="E120" s="23" t="s">
        <v>565</v>
      </c>
      <c r="F120" s="24">
        <v>46308.821412037039</v>
      </c>
      <c r="G120" s="23" t="s">
        <v>21</v>
      </c>
      <c r="H120" s="23" t="s">
        <v>4519</v>
      </c>
      <c r="I120" s="23">
        <v>360</v>
      </c>
      <c r="J120" s="23" t="s">
        <v>22</v>
      </c>
      <c r="K120" s="23" t="s">
        <v>23</v>
      </c>
      <c r="L120" s="23">
        <v>873</v>
      </c>
      <c r="M120" s="23" t="s">
        <v>45</v>
      </c>
      <c r="N120" s="24">
        <v>46308.865115740744</v>
      </c>
      <c r="O120" s="23">
        <v>360</v>
      </c>
      <c r="P120" s="23" t="s">
        <v>25</v>
      </c>
      <c r="Q120" s="23">
        <v>190</v>
      </c>
      <c r="R120" s="3" t="str">
        <f>IF(OR(G120="12R",G120="12L"),_xlfn.XLOOKUP(C120,Tabla42[ADEP],Tabla42[SID 12R],""),IF(OR(G120="30L",G120="30R"),_xlfn.XLOOKUP(C120,Tabla42[ADEP],Tabla42[SID 30L],""),""))</f>
        <v>UDGUV</v>
      </c>
      <c r="S120" s="3">
        <f t="shared" si="1"/>
        <v>19</v>
      </c>
      <c r="T120" s="3" t="str">
        <f>_xlfn.XLOOKUP(C120,Tabla42[ADEP],Tabla42[Sector],"")</f>
        <v>Sector 2</v>
      </c>
    </row>
    <row r="121" spans="1:20" x14ac:dyDescent="0.2">
      <c r="A121" s="23" t="s">
        <v>266</v>
      </c>
      <c r="B121" s="23" t="s">
        <v>18</v>
      </c>
      <c r="C121" s="23" t="s">
        <v>184</v>
      </c>
      <c r="D121" s="23" t="s">
        <v>60</v>
      </c>
      <c r="E121" s="23" t="s">
        <v>4520</v>
      </c>
      <c r="F121" s="24">
        <v>46308.822627314818</v>
      </c>
      <c r="G121" s="23" t="s">
        <v>21</v>
      </c>
      <c r="H121" s="23" t="s">
        <v>4521</v>
      </c>
      <c r="I121" s="23">
        <v>330</v>
      </c>
      <c r="J121" s="23" t="s">
        <v>22</v>
      </c>
      <c r="K121" s="23" t="s">
        <v>23</v>
      </c>
      <c r="L121" s="23">
        <v>352</v>
      </c>
      <c r="M121" s="23" t="s">
        <v>30</v>
      </c>
      <c r="N121" s="24">
        <v>46308.843194444446</v>
      </c>
      <c r="O121" s="23">
        <v>310</v>
      </c>
      <c r="P121" s="23" t="s">
        <v>25</v>
      </c>
      <c r="Q121" s="23">
        <v>40</v>
      </c>
      <c r="R121" s="3" t="str">
        <f>IF(OR(G121="12R",G121="12L"),_xlfn.XLOOKUP(C121,Tabla42[ADEP],Tabla42[SID 12R],""),IF(OR(G121="30L",G121="30R"),_xlfn.XLOOKUP(C121,Tabla42[ADEP],Tabla42[SID 30L],""),""))</f>
        <v>OMSUK</v>
      </c>
      <c r="S121" s="3">
        <f t="shared" si="1"/>
        <v>19</v>
      </c>
      <c r="T121" s="3" t="str">
        <f>_xlfn.XLOOKUP(C121,Tabla42[ADEP],Tabla42[Sector],"")</f>
        <v>Sector 3</v>
      </c>
    </row>
    <row r="122" spans="1:20" x14ac:dyDescent="0.2">
      <c r="A122" s="23" t="s">
        <v>264</v>
      </c>
      <c r="B122" s="23" t="s">
        <v>18</v>
      </c>
      <c r="C122" s="23" t="s">
        <v>265</v>
      </c>
      <c r="D122" s="23" t="s">
        <v>33</v>
      </c>
      <c r="E122" s="23" t="s">
        <v>4522</v>
      </c>
      <c r="F122" s="24">
        <v>46308.823773148149</v>
      </c>
      <c r="G122" s="23" t="s">
        <v>21</v>
      </c>
      <c r="H122" s="23" t="s">
        <v>4523</v>
      </c>
      <c r="I122" s="23">
        <v>380</v>
      </c>
      <c r="J122" s="23" t="s">
        <v>22</v>
      </c>
      <c r="K122" s="23" t="s">
        <v>23</v>
      </c>
      <c r="L122" s="23">
        <v>868</v>
      </c>
      <c r="M122" s="23" t="s">
        <v>167</v>
      </c>
      <c r="N122" s="24">
        <v>46308.867222222223</v>
      </c>
      <c r="O122" s="23">
        <v>380</v>
      </c>
      <c r="P122" s="23" t="s">
        <v>25</v>
      </c>
      <c r="Q122" s="23">
        <v>190</v>
      </c>
      <c r="R122" s="3" t="str">
        <f>IF(OR(G122="12R",G122="12L"),_xlfn.XLOOKUP(C122,Tabla42[ADEP],Tabla42[SID 12R],""),IF(OR(G122="30L",G122="30R"),_xlfn.XLOOKUP(C122,Tabla42[ADEP],Tabla42[SID 30L],""),""))</f>
        <v>UDGUV</v>
      </c>
      <c r="S122" s="3">
        <f t="shared" si="1"/>
        <v>19</v>
      </c>
      <c r="T122" s="3" t="str">
        <f>_xlfn.XLOOKUP(C122,Tabla42[ADEP],Tabla42[Sector],"")</f>
        <v>Sector 2</v>
      </c>
    </row>
    <row r="123" spans="1:20" x14ac:dyDescent="0.2">
      <c r="A123" s="23" t="s">
        <v>3094</v>
      </c>
      <c r="B123" s="23" t="s">
        <v>18</v>
      </c>
      <c r="C123" s="23" t="s">
        <v>190</v>
      </c>
      <c r="D123" s="23" t="s">
        <v>33</v>
      </c>
      <c r="E123" s="23" t="s">
        <v>4524</v>
      </c>
      <c r="F123" s="24">
        <v>46308.825173611112</v>
      </c>
      <c r="G123" s="23" t="s">
        <v>21</v>
      </c>
      <c r="H123" s="23" t="s">
        <v>4525</v>
      </c>
      <c r="I123" s="23">
        <v>350</v>
      </c>
      <c r="J123" s="23" t="s">
        <v>22</v>
      </c>
      <c r="K123" s="23" t="s">
        <v>23</v>
      </c>
      <c r="L123" s="23">
        <v>134</v>
      </c>
      <c r="M123" s="23" t="s">
        <v>39</v>
      </c>
      <c r="N123" s="24">
        <v>46308.834490740737</v>
      </c>
      <c r="O123" s="23">
        <v>256</v>
      </c>
      <c r="P123" s="23" t="s">
        <v>25</v>
      </c>
      <c r="Q123" s="23">
        <v>190</v>
      </c>
      <c r="R123" s="3" t="str">
        <f>IF(OR(G123="12R",G123="12L"),_xlfn.XLOOKUP(C123,Tabla42[ADEP],Tabla42[SID 12R],""),IF(OR(G123="30L",G123="30R"),_xlfn.XLOOKUP(C123,Tabla42[ADEP],Tabla42[SID 30L],""),""))</f>
        <v>NUDAL</v>
      </c>
      <c r="S123" s="3">
        <f t="shared" si="1"/>
        <v>19</v>
      </c>
      <c r="T123" s="3" t="str">
        <f>_xlfn.XLOOKUP(C123,Tabla42[ADEP],Tabla42[Sector],"")</f>
        <v>Sector 3</v>
      </c>
    </row>
    <row r="124" spans="1:20" x14ac:dyDescent="0.2">
      <c r="A124" s="23" t="s">
        <v>256</v>
      </c>
      <c r="B124" s="23" t="s">
        <v>18</v>
      </c>
      <c r="C124" s="23" t="s">
        <v>257</v>
      </c>
      <c r="D124" s="23" t="s">
        <v>43</v>
      </c>
      <c r="E124" s="23" t="s">
        <v>4526</v>
      </c>
      <c r="F124" s="24">
        <v>46308.827060185184</v>
      </c>
      <c r="G124" s="23" t="s">
        <v>21</v>
      </c>
      <c r="H124" s="23" t="s">
        <v>4527</v>
      </c>
      <c r="I124" s="23">
        <v>340</v>
      </c>
      <c r="J124" s="23" t="s">
        <v>22</v>
      </c>
      <c r="K124" s="23" t="s">
        <v>23</v>
      </c>
      <c r="L124" s="23">
        <v>855</v>
      </c>
      <c r="M124" s="23" t="s">
        <v>614</v>
      </c>
      <c r="N124" s="24">
        <v>46308.869664351849</v>
      </c>
      <c r="O124" s="23">
        <v>340</v>
      </c>
      <c r="P124" s="23" t="s">
        <v>25</v>
      </c>
      <c r="Q124" s="23">
        <v>190</v>
      </c>
      <c r="R124" s="3" t="str">
        <f>IF(OR(G124="12R",G124="12L"),_xlfn.XLOOKUP(C124,Tabla42[ADEP],Tabla42[SID 12R],""),IF(OR(G124="30L",G124="30R"),_xlfn.XLOOKUP(C124,Tabla42[ADEP],Tabla42[SID 30L],""),""))</f>
        <v>UDGUV</v>
      </c>
      <c r="S124" s="3">
        <f t="shared" si="1"/>
        <v>19</v>
      </c>
      <c r="T124" s="3" t="str">
        <f>_xlfn.XLOOKUP(C124,Tabla42[ADEP],Tabla42[Sector],"")</f>
        <v>Sector 2</v>
      </c>
    </row>
    <row r="125" spans="1:20" x14ac:dyDescent="0.2">
      <c r="A125" s="23" t="s">
        <v>271</v>
      </c>
      <c r="B125" s="23" t="s">
        <v>18</v>
      </c>
      <c r="C125" s="23" t="s">
        <v>116</v>
      </c>
      <c r="D125" s="23" t="s">
        <v>43</v>
      </c>
      <c r="E125" s="23" t="s">
        <v>544</v>
      </c>
      <c r="F125" s="24">
        <v>46308.832476851851</v>
      </c>
      <c r="G125" s="23" t="s">
        <v>21</v>
      </c>
      <c r="H125" s="23" t="s">
        <v>4528</v>
      </c>
      <c r="I125" s="23">
        <v>320</v>
      </c>
      <c r="J125" s="23" t="s">
        <v>22</v>
      </c>
      <c r="K125" s="23" t="s">
        <v>23</v>
      </c>
      <c r="L125" s="23">
        <v>554</v>
      </c>
      <c r="M125" s="23" t="s">
        <v>123</v>
      </c>
      <c r="N125" s="24">
        <v>46308.86209490741</v>
      </c>
      <c r="O125" s="23">
        <v>320</v>
      </c>
      <c r="P125" s="23" t="s">
        <v>25</v>
      </c>
      <c r="Q125" s="23">
        <v>40</v>
      </c>
      <c r="R125" s="3" t="str">
        <f>IF(OR(G125="12R",G125="12L"),_xlfn.XLOOKUP(C125,Tabla42[ADEP],Tabla42[SID 12R],""),IF(OR(G125="30L",G125="30R"),_xlfn.XLOOKUP(C125,Tabla42[ADEP],Tabla42[SID 30L],""),""))</f>
        <v>ENEBA</v>
      </c>
      <c r="S125" s="3">
        <f t="shared" si="1"/>
        <v>19</v>
      </c>
      <c r="T125" s="3" t="str">
        <f>_xlfn.XLOOKUP(C125,Tabla42[ADEP],Tabla42[Sector],"")</f>
        <v>Sector 3</v>
      </c>
    </row>
    <row r="126" spans="1:20" x14ac:dyDescent="0.2">
      <c r="A126" s="23" t="s">
        <v>274</v>
      </c>
      <c r="B126" s="23" t="s">
        <v>18</v>
      </c>
      <c r="C126" s="23" t="s">
        <v>96</v>
      </c>
      <c r="D126" s="23" t="s">
        <v>53</v>
      </c>
      <c r="E126" s="23" t="s">
        <v>4529</v>
      </c>
      <c r="F126" s="24">
        <v>46308.833541666667</v>
      </c>
      <c r="G126" s="23" t="s">
        <v>21</v>
      </c>
      <c r="H126" s="23" t="s">
        <v>4530</v>
      </c>
      <c r="I126" s="23">
        <v>380</v>
      </c>
      <c r="J126" s="23" t="s">
        <v>22</v>
      </c>
      <c r="K126" s="23" t="s">
        <v>23</v>
      </c>
      <c r="L126" s="23">
        <v>860</v>
      </c>
      <c r="M126" s="23" t="s">
        <v>45</v>
      </c>
      <c r="N126" s="24">
        <v>46308.878252314818</v>
      </c>
      <c r="O126" s="23">
        <v>380</v>
      </c>
      <c r="P126" s="23" t="s">
        <v>25</v>
      </c>
      <c r="Q126" s="23">
        <v>190</v>
      </c>
      <c r="R126" s="3" t="str">
        <f>IF(OR(G126="12R",G126="12L"),_xlfn.XLOOKUP(C126,Tabla42[ADEP],Tabla42[SID 12R],""),IF(OR(G126="30L",G126="30R"),_xlfn.XLOOKUP(C126,Tabla42[ADEP],Tabla42[SID 30L],""),""))</f>
        <v>UDGUV</v>
      </c>
      <c r="S126" s="3">
        <f t="shared" si="1"/>
        <v>20</v>
      </c>
      <c r="T126" s="3" t="str">
        <f>_xlfn.XLOOKUP(C126,Tabla42[ADEP],Tabla42[Sector],"")</f>
        <v>Sector 2</v>
      </c>
    </row>
    <row r="127" spans="1:20" x14ac:dyDescent="0.2">
      <c r="A127" s="23" t="s">
        <v>222</v>
      </c>
      <c r="B127" s="23" t="s">
        <v>18</v>
      </c>
      <c r="C127" s="23" t="s">
        <v>223</v>
      </c>
      <c r="D127" s="23" t="s">
        <v>28</v>
      </c>
      <c r="E127" s="23" t="s">
        <v>4068</v>
      </c>
      <c r="F127" s="24">
        <v>46308.834837962961</v>
      </c>
      <c r="G127" s="23" t="s">
        <v>21</v>
      </c>
      <c r="H127" s="23" t="s">
        <v>4531</v>
      </c>
      <c r="I127" s="23">
        <v>310</v>
      </c>
      <c r="J127" s="23" t="s">
        <v>22</v>
      </c>
      <c r="K127" s="23" t="s">
        <v>23</v>
      </c>
      <c r="L127" s="23">
        <v>352</v>
      </c>
      <c r="M127" s="23" t="s">
        <v>30</v>
      </c>
      <c r="N127" s="24">
        <v>46308.854629629626</v>
      </c>
      <c r="O127" s="23">
        <v>310</v>
      </c>
      <c r="P127" s="23" t="s">
        <v>25</v>
      </c>
      <c r="Q127" s="23">
        <v>40</v>
      </c>
      <c r="R127" s="3" t="str">
        <f>IF(OR(G127="12R",G127="12L"),_xlfn.XLOOKUP(C127,Tabla42[ADEP],Tabla42[SID 12R],""),IF(OR(G127="30L",G127="30R"),_xlfn.XLOOKUP(C127,Tabla42[ADEP],Tabla42[SID 30L],""),""))</f>
        <v>OMSUK</v>
      </c>
      <c r="S127" s="3">
        <f t="shared" si="1"/>
        <v>20</v>
      </c>
      <c r="T127" s="3" t="str">
        <f>_xlfn.XLOOKUP(C127,Tabla42[ADEP],Tabla42[Sector],"")</f>
        <v>Sector 3</v>
      </c>
    </row>
    <row r="128" spans="1:20" x14ac:dyDescent="0.2">
      <c r="A128" s="23" t="s">
        <v>744</v>
      </c>
      <c r="B128" s="23" t="s">
        <v>18</v>
      </c>
      <c r="C128" s="23" t="s">
        <v>188</v>
      </c>
      <c r="D128" s="23" t="s">
        <v>122</v>
      </c>
      <c r="E128" s="23" t="s">
        <v>4532</v>
      </c>
      <c r="F128" s="24">
        <v>46308.836446759262</v>
      </c>
      <c r="G128" s="23" t="s">
        <v>21</v>
      </c>
      <c r="H128" s="23" t="s">
        <v>4533</v>
      </c>
      <c r="I128" s="23">
        <v>340</v>
      </c>
      <c r="J128" s="23" t="s">
        <v>22</v>
      </c>
      <c r="K128" s="23" t="s">
        <v>23</v>
      </c>
      <c r="L128" s="23">
        <v>426</v>
      </c>
      <c r="M128" s="23" t="s">
        <v>189</v>
      </c>
      <c r="N128" s="24">
        <v>46308.859768518516</v>
      </c>
      <c r="O128" s="23">
        <v>340</v>
      </c>
      <c r="P128" s="23" t="s">
        <v>25</v>
      </c>
      <c r="Q128" s="23">
        <v>40</v>
      </c>
      <c r="R128" s="3" t="str">
        <f>IF(OR(G128="12R",G128="12L"),_xlfn.XLOOKUP(C128,Tabla42[ADEP],Tabla42[SID 12R],""),IF(OR(G128="30L",G128="30R"),_xlfn.XLOOKUP(C128,Tabla42[ADEP],Tabla42[SID 30L],""),""))</f>
        <v>ENEBA</v>
      </c>
      <c r="S128" s="3">
        <f t="shared" si="1"/>
        <v>20</v>
      </c>
      <c r="T128" s="3" t="str">
        <f>_xlfn.XLOOKUP(C128,Tabla42[ADEP],Tabla42[Sector],"")</f>
        <v>Sector 3</v>
      </c>
    </row>
    <row r="129" spans="1:20" x14ac:dyDescent="0.2">
      <c r="A129" s="23" t="s">
        <v>278</v>
      </c>
      <c r="B129" s="23" t="s">
        <v>18</v>
      </c>
      <c r="C129" s="23" t="s">
        <v>265</v>
      </c>
      <c r="D129" s="23" t="s">
        <v>33</v>
      </c>
      <c r="E129" s="23" t="s">
        <v>310</v>
      </c>
      <c r="F129" s="24">
        <v>46308.837604166663</v>
      </c>
      <c r="G129" s="23" t="s">
        <v>21</v>
      </c>
      <c r="H129" s="23" t="s">
        <v>4534</v>
      </c>
      <c r="I129" s="23">
        <v>380</v>
      </c>
      <c r="J129" s="23" t="s">
        <v>22</v>
      </c>
      <c r="K129" s="23" t="s">
        <v>23</v>
      </c>
      <c r="L129" s="23">
        <v>863</v>
      </c>
      <c r="M129" s="23" t="s">
        <v>505</v>
      </c>
      <c r="N129" s="24">
        <v>46308.881724537037</v>
      </c>
      <c r="O129" s="23">
        <v>380</v>
      </c>
      <c r="P129" s="23" t="s">
        <v>25</v>
      </c>
      <c r="Q129" s="23">
        <v>190</v>
      </c>
      <c r="R129" s="3" t="str">
        <f>IF(OR(G129="12R",G129="12L"),_xlfn.XLOOKUP(C129,Tabla42[ADEP],Tabla42[SID 12R],""),IF(OR(G129="30L",G129="30R"),_xlfn.XLOOKUP(C129,Tabla42[ADEP],Tabla42[SID 30L],""),""))</f>
        <v>UDGUV</v>
      </c>
      <c r="S129" s="3">
        <f t="shared" si="1"/>
        <v>20</v>
      </c>
      <c r="T129" s="3" t="str">
        <f>_xlfn.XLOOKUP(C129,Tabla42[ADEP],Tabla42[Sector],"")</f>
        <v>Sector 2</v>
      </c>
    </row>
    <row r="130" spans="1:20" x14ac:dyDescent="0.2">
      <c r="A130" s="23" t="s">
        <v>445</v>
      </c>
      <c r="B130" s="23" t="s">
        <v>18</v>
      </c>
      <c r="C130" s="23" t="s">
        <v>263</v>
      </c>
      <c r="D130" s="23" t="s">
        <v>28</v>
      </c>
      <c r="E130" s="23" t="s">
        <v>1033</v>
      </c>
      <c r="F130" s="24">
        <v>46308.839016203703</v>
      </c>
      <c r="G130" s="23" t="s">
        <v>21</v>
      </c>
      <c r="H130" s="23" t="s">
        <v>2550</v>
      </c>
      <c r="I130" s="23">
        <v>330</v>
      </c>
      <c r="J130" s="23" t="s">
        <v>22</v>
      </c>
      <c r="K130" s="23" t="s">
        <v>23</v>
      </c>
      <c r="L130" s="23">
        <v>135</v>
      </c>
      <c r="M130" s="23" t="s">
        <v>39</v>
      </c>
      <c r="N130" s="24">
        <v>46308.848460648151</v>
      </c>
      <c r="O130" s="23">
        <v>238</v>
      </c>
      <c r="P130" s="23" t="s">
        <v>25</v>
      </c>
      <c r="Q130" s="23">
        <v>190</v>
      </c>
      <c r="R130" s="3" t="str">
        <f>IF(OR(G130="12R",G130="12L"),_xlfn.XLOOKUP(C130,Tabla42[ADEP],Tabla42[SID 12R],""),IF(OR(G130="30L",G130="30R"),_xlfn.XLOOKUP(C130,Tabla42[ADEP],Tabla42[SID 30L],""),""))</f>
        <v>OMSUK</v>
      </c>
      <c r="S130" s="3">
        <f t="shared" si="1"/>
        <v>20</v>
      </c>
      <c r="T130" s="3" t="str">
        <f>_xlfn.XLOOKUP(C130,Tabla42[ADEP],Tabla42[Sector],"")</f>
        <v>Sector 3</v>
      </c>
    </row>
    <row r="131" spans="1:20" x14ac:dyDescent="0.2">
      <c r="A131" s="23" t="s">
        <v>745</v>
      </c>
      <c r="B131" s="23" t="s">
        <v>18</v>
      </c>
      <c r="C131" s="23" t="s">
        <v>121</v>
      </c>
      <c r="D131" s="23" t="s">
        <v>122</v>
      </c>
      <c r="E131" s="23" t="s">
        <v>1925</v>
      </c>
      <c r="F131" s="24">
        <v>46308.841157407405</v>
      </c>
      <c r="G131" s="23" t="s">
        <v>21</v>
      </c>
      <c r="H131" s="23" t="s">
        <v>4535</v>
      </c>
      <c r="I131" s="23">
        <v>360</v>
      </c>
      <c r="J131" s="23" t="s">
        <v>22</v>
      </c>
      <c r="K131" s="23" t="s">
        <v>23</v>
      </c>
      <c r="L131" s="23">
        <v>569</v>
      </c>
      <c r="M131" s="23" t="s">
        <v>123</v>
      </c>
      <c r="N131" s="24">
        <v>46308.87128472222</v>
      </c>
      <c r="O131" s="23">
        <v>360</v>
      </c>
      <c r="P131" s="23" t="s">
        <v>25</v>
      </c>
      <c r="Q131" s="23">
        <v>40</v>
      </c>
      <c r="R131" s="3" t="str">
        <f>IF(OR(G131="12R",G131="12L"),_xlfn.XLOOKUP(C131,Tabla42[ADEP],Tabla42[SID 12R],""),IF(OR(G131="30L",G131="30R"),_xlfn.XLOOKUP(C131,Tabla42[ADEP],Tabla42[SID 30L],""),""))</f>
        <v>ENEBA</v>
      </c>
      <c r="S131" s="3">
        <f t="shared" ref="S131:S194" si="2">HOUR(F131)</f>
        <v>20</v>
      </c>
      <c r="T131" s="3" t="str">
        <f>_xlfn.XLOOKUP(C131,Tabla42[ADEP],Tabla42[Sector],"")</f>
        <v>Sector 3</v>
      </c>
    </row>
    <row r="132" spans="1:20" x14ac:dyDescent="0.2">
      <c r="A132" s="23" t="s">
        <v>136</v>
      </c>
      <c r="B132" s="23" t="s">
        <v>18</v>
      </c>
      <c r="C132" s="23" t="s">
        <v>137</v>
      </c>
      <c r="D132" s="23" t="s">
        <v>63</v>
      </c>
      <c r="E132" s="23" t="s">
        <v>66</v>
      </c>
      <c r="F132" s="24">
        <v>46308.842627314814</v>
      </c>
      <c r="G132" s="23" t="s">
        <v>21</v>
      </c>
      <c r="H132" s="23" t="s">
        <v>138</v>
      </c>
      <c r="I132" s="23">
        <v>330</v>
      </c>
      <c r="J132" s="23" t="s">
        <v>22</v>
      </c>
      <c r="K132" s="23" t="s">
        <v>23</v>
      </c>
      <c r="L132" s="23">
        <v>136</v>
      </c>
      <c r="M132" s="23" t="s">
        <v>39</v>
      </c>
      <c r="N132" s="24">
        <v>46308.851712962962</v>
      </c>
      <c r="O132" s="23">
        <v>305</v>
      </c>
      <c r="P132" s="23" t="s">
        <v>25</v>
      </c>
      <c r="Q132" s="23">
        <v>190</v>
      </c>
      <c r="R132" s="3" t="str">
        <f>IF(OR(G132="12R",G132="12L"),_xlfn.XLOOKUP(C132,Tabla42[ADEP],Tabla42[SID 12R],""),IF(OR(G132="30L",G132="30R"),_xlfn.XLOOKUP(C132,Tabla42[ADEP],Tabla42[SID 30L],""),""))</f>
        <v>NUDAL</v>
      </c>
      <c r="S132" s="3">
        <f t="shared" si="2"/>
        <v>20</v>
      </c>
      <c r="T132" s="3" t="str">
        <f>_xlfn.XLOOKUP(C132,Tabla42[ADEP],Tabla42[Sector],"")</f>
        <v>Sector 3</v>
      </c>
    </row>
    <row r="133" spans="1:20" x14ac:dyDescent="0.2">
      <c r="A133" s="23" t="s">
        <v>2265</v>
      </c>
      <c r="B133" s="23" t="s">
        <v>18</v>
      </c>
      <c r="C133" s="23" t="s">
        <v>32</v>
      </c>
      <c r="D133" s="23" t="s">
        <v>53</v>
      </c>
      <c r="E133" s="23" t="s">
        <v>277</v>
      </c>
      <c r="F133" s="24">
        <v>46308.847141203703</v>
      </c>
      <c r="G133" s="23" t="s">
        <v>21</v>
      </c>
      <c r="H133" s="23" t="s">
        <v>4536</v>
      </c>
      <c r="I133" s="23">
        <v>380</v>
      </c>
      <c r="J133" s="23" t="s">
        <v>22</v>
      </c>
      <c r="K133" s="23" t="s">
        <v>23</v>
      </c>
      <c r="L133" s="23">
        <v>855</v>
      </c>
      <c r="M133" s="23" t="s">
        <v>4537</v>
      </c>
      <c r="N133" s="24">
        <v>46308.889664351853</v>
      </c>
      <c r="O133" s="23">
        <v>380</v>
      </c>
      <c r="P133" s="23" t="s">
        <v>25</v>
      </c>
      <c r="Q133" s="23">
        <v>190</v>
      </c>
      <c r="R133" s="3" t="str">
        <f>IF(OR(G133="12R",G133="12L"),_xlfn.XLOOKUP(C133,Tabla42[ADEP],Tabla42[SID 12R],""),IF(OR(G133="30L",G133="30R"),_xlfn.XLOOKUP(C133,Tabla42[ADEP],Tabla42[SID 30L],""),""))</f>
        <v>UDGUV</v>
      </c>
      <c r="S133" s="3">
        <f t="shared" si="2"/>
        <v>20</v>
      </c>
      <c r="T133" s="3" t="str">
        <f>_xlfn.XLOOKUP(C133,Tabla42[ADEP],Tabla42[Sector],"")</f>
        <v>Sector 2</v>
      </c>
    </row>
    <row r="134" spans="1:20" x14ac:dyDescent="0.2">
      <c r="A134" s="23" t="s">
        <v>280</v>
      </c>
      <c r="B134" s="23" t="s">
        <v>18</v>
      </c>
      <c r="C134" s="23" t="s">
        <v>49</v>
      </c>
      <c r="D134" s="23" t="s">
        <v>53</v>
      </c>
      <c r="E134" s="23" t="s">
        <v>4003</v>
      </c>
      <c r="F134" s="24">
        <v>46308.848634259259</v>
      </c>
      <c r="G134" s="23" t="s">
        <v>21</v>
      </c>
      <c r="H134" s="23" t="s">
        <v>4538</v>
      </c>
      <c r="I134" s="23">
        <v>380</v>
      </c>
      <c r="J134" s="23" t="s">
        <v>22</v>
      </c>
      <c r="K134" s="23" t="s">
        <v>23</v>
      </c>
      <c r="L134" s="23">
        <v>861</v>
      </c>
      <c r="M134" s="23" t="s">
        <v>45</v>
      </c>
      <c r="N134" s="24">
        <v>46308.893483796295</v>
      </c>
      <c r="O134" s="23">
        <v>380</v>
      </c>
      <c r="P134" s="23" t="s">
        <v>25</v>
      </c>
      <c r="Q134" s="23">
        <v>190</v>
      </c>
      <c r="R134" s="3" t="str">
        <f>IF(OR(G134="12R",G134="12L"),_xlfn.XLOOKUP(C134,Tabla42[ADEP],Tabla42[SID 12R],""),IF(OR(G134="30L",G134="30R"),_xlfn.XLOOKUP(C134,Tabla42[ADEP],Tabla42[SID 30L],""),""))</f>
        <v>UDGUV</v>
      </c>
      <c r="S134" s="3">
        <f t="shared" si="2"/>
        <v>20</v>
      </c>
      <c r="T134" s="3" t="str">
        <f>_xlfn.XLOOKUP(C134,Tabla42[ADEP],Tabla42[Sector],"")</f>
        <v>Sector 2</v>
      </c>
    </row>
    <row r="135" spans="1:20" x14ac:dyDescent="0.2">
      <c r="A135" s="23" t="s">
        <v>283</v>
      </c>
      <c r="B135" s="23" t="s">
        <v>18</v>
      </c>
      <c r="C135" s="23" t="s">
        <v>126</v>
      </c>
      <c r="D135" s="23" t="s">
        <v>117</v>
      </c>
      <c r="E135" s="23" t="s">
        <v>4539</v>
      </c>
      <c r="F135" s="24">
        <v>46308.854328703703</v>
      </c>
      <c r="G135" s="23" t="s">
        <v>21</v>
      </c>
      <c r="H135" s="23" t="s">
        <v>4540</v>
      </c>
      <c r="I135" s="23">
        <v>330</v>
      </c>
      <c r="J135" s="23" t="s">
        <v>22</v>
      </c>
      <c r="K135" s="23" t="s">
        <v>23</v>
      </c>
      <c r="L135" s="23">
        <v>357</v>
      </c>
      <c r="M135" s="23" t="s">
        <v>30</v>
      </c>
      <c r="N135" s="24">
        <v>46308.874722222223</v>
      </c>
      <c r="O135" s="23">
        <v>330</v>
      </c>
      <c r="P135" s="23" t="s">
        <v>25</v>
      </c>
      <c r="Q135" s="23">
        <v>40</v>
      </c>
      <c r="R135" s="3" t="str">
        <f>IF(OR(G135="12R",G135="12L"),_xlfn.XLOOKUP(C135,Tabla42[ADEP],Tabla42[SID 12R],""),IF(OR(G135="30L",G135="30R"),_xlfn.XLOOKUP(C135,Tabla42[ADEP],Tabla42[SID 30L],""),""))</f>
        <v>ENEBA</v>
      </c>
      <c r="S135" s="3">
        <f t="shared" si="2"/>
        <v>20</v>
      </c>
      <c r="T135" s="3" t="str">
        <f>_xlfn.XLOOKUP(C135,Tabla42[ADEP],Tabla42[Sector],"")</f>
        <v>Sector 3</v>
      </c>
    </row>
    <row r="136" spans="1:20" x14ac:dyDescent="0.2">
      <c r="A136" s="23" t="s">
        <v>199</v>
      </c>
      <c r="B136" s="23" t="s">
        <v>18</v>
      </c>
      <c r="C136" s="23" t="s">
        <v>200</v>
      </c>
      <c r="D136" s="23" t="s">
        <v>122</v>
      </c>
      <c r="E136" s="23" t="s">
        <v>4541</v>
      </c>
      <c r="F136" s="24">
        <v>46308.855787037035</v>
      </c>
      <c r="G136" s="23" t="s">
        <v>21</v>
      </c>
      <c r="H136" s="23" t="s">
        <v>4542</v>
      </c>
      <c r="I136" s="23">
        <v>360</v>
      </c>
      <c r="J136" s="23" t="s">
        <v>22</v>
      </c>
      <c r="K136" s="23" t="s">
        <v>23</v>
      </c>
      <c r="L136" s="23">
        <v>434</v>
      </c>
      <c r="M136" s="23" t="s">
        <v>189</v>
      </c>
      <c r="N136" s="24">
        <v>46308.879467592589</v>
      </c>
      <c r="O136" s="23">
        <v>360</v>
      </c>
      <c r="P136" s="23" t="s">
        <v>25</v>
      </c>
      <c r="Q136" s="23">
        <v>40</v>
      </c>
      <c r="R136" s="3" t="str">
        <f>IF(OR(G136="12R",G136="12L"),_xlfn.XLOOKUP(C136,Tabla42[ADEP],Tabla42[SID 12R],""),IF(OR(G136="30L",G136="30R"),_xlfn.XLOOKUP(C136,Tabla42[ADEP],Tabla42[SID 30L],""),""))</f>
        <v>OMSUK</v>
      </c>
      <c r="S136" s="3">
        <f t="shared" si="2"/>
        <v>20</v>
      </c>
      <c r="T136" s="3" t="str">
        <f>_xlfn.XLOOKUP(C136,Tabla42[ADEP],Tabla42[Sector],"")</f>
        <v>Sector 3</v>
      </c>
    </row>
    <row r="137" spans="1:20" x14ac:dyDescent="0.2">
      <c r="A137" s="23" t="s">
        <v>467</v>
      </c>
      <c r="B137" s="23" t="s">
        <v>18</v>
      </c>
      <c r="C137" s="23" t="s">
        <v>184</v>
      </c>
      <c r="D137" s="23" t="s">
        <v>60</v>
      </c>
      <c r="E137" s="23" t="s">
        <v>4543</v>
      </c>
      <c r="F137" s="24">
        <v>46308.856666666667</v>
      </c>
      <c r="G137" s="23" t="s">
        <v>21</v>
      </c>
      <c r="H137" s="23" t="s">
        <v>828</v>
      </c>
      <c r="I137" s="23">
        <v>330</v>
      </c>
      <c r="J137" s="23" t="s">
        <v>22</v>
      </c>
      <c r="K137" s="23" t="s">
        <v>23</v>
      </c>
      <c r="L137" s="23">
        <v>360</v>
      </c>
      <c r="M137" s="23" t="s">
        <v>30</v>
      </c>
      <c r="N137" s="24">
        <v>46308.878206018519</v>
      </c>
      <c r="O137" s="23">
        <v>310</v>
      </c>
      <c r="P137" s="23" t="s">
        <v>25</v>
      </c>
      <c r="Q137" s="23">
        <v>40</v>
      </c>
      <c r="R137" s="3" t="str">
        <f>IF(OR(G137="12R",G137="12L"),_xlfn.XLOOKUP(C137,Tabla42[ADEP],Tabla42[SID 12R],""),IF(OR(G137="30L",G137="30R"),_xlfn.XLOOKUP(C137,Tabla42[ADEP],Tabla42[SID 30L],""),""))</f>
        <v>OMSUK</v>
      </c>
      <c r="S137" s="3">
        <f t="shared" si="2"/>
        <v>20</v>
      </c>
      <c r="T137" s="3" t="str">
        <f>_xlfn.XLOOKUP(C137,Tabla42[ADEP],Tabla42[Sector],"")</f>
        <v>Sector 3</v>
      </c>
    </row>
    <row r="138" spans="1:20" x14ac:dyDescent="0.2">
      <c r="A138" s="23" t="s">
        <v>262</v>
      </c>
      <c r="B138" s="23" t="s">
        <v>18</v>
      </c>
      <c r="C138" s="23" t="s">
        <v>263</v>
      </c>
      <c r="D138" s="23" t="s">
        <v>33</v>
      </c>
      <c r="E138" s="23" t="s">
        <v>4544</v>
      </c>
      <c r="F138" s="24">
        <v>46308.857939814814</v>
      </c>
      <c r="G138" s="23" t="s">
        <v>21</v>
      </c>
      <c r="H138" s="23" t="s">
        <v>4545</v>
      </c>
      <c r="I138" s="23">
        <v>350</v>
      </c>
      <c r="J138" s="23" t="s">
        <v>22</v>
      </c>
      <c r="K138" s="23" t="s">
        <v>23</v>
      </c>
      <c r="L138" s="23">
        <v>134</v>
      </c>
      <c r="M138" s="23" t="s">
        <v>39</v>
      </c>
      <c r="N138" s="24">
        <v>46308.867511574077</v>
      </c>
      <c r="O138" s="23">
        <v>252</v>
      </c>
      <c r="P138" s="23" t="s">
        <v>25</v>
      </c>
      <c r="Q138" s="23">
        <v>190</v>
      </c>
      <c r="R138" s="3" t="str">
        <f>IF(OR(G138="12R",G138="12L"),_xlfn.XLOOKUP(C138,Tabla42[ADEP],Tabla42[SID 12R],""),IF(OR(G138="30L",G138="30R"),_xlfn.XLOOKUP(C138,Tabla42[ADEP],Tabla42[SID 30L],""),""))</f>
        <v>OMSUK</v>
      </c>
      <c r="S138" s="3">
        <f t="shared" si="2"/>
        <v>20</v>
      </c>
      <c r="T138" s="3" t="str">
        <f>_xlfn.XLOOKUP(C138,Tabla42[ADEP],Tabla42[Sector],"")</f>
        <v>Sector 3</v>
      </c>
    </row>
    <row r="139" spans="1:20" x14ac:dyDescent="0.2">
      <c r="A139" s="23" t="s">
        <v>476</v>
      </c>
      <c r="B139" s="23" t="s">
        <v>18</v>
      </c>
      <c r="C139" s="23" t="s">
        <v>188</v>
      </c>
      <c r="D139" s="23" t="s">
        <v>43</v>
      </c>
      <c r="E139" s="23" t="s">
        <v>4546</v>
      </c>
      <c r="F139" s="24">
        <v>46308.864733796298</v>
      </c>
      <c r="G139" s="23" t="s">
        <v>21</v>
      </c>
      <c r="H139" s="23" t="s">
        <v>4547</v>
      </c>
      <c r="I139" s="23">
        <v>340</v>
      </c>
      <c r="J139" s="23" t="s">
        <v>22</v>
      </c>
      <c r="K139" s="23" t="s">
        <v>23</v>
      </c>
      <c r="L139" s="23">
        <v>383</v>
      </c>
      <c r="M139" s="23" t="s">
        <v>250</v>
      </c>
      <c r="N139" s="24">
        <v>46308.886620370373</v>
      </c>
      <c r="O139" s="23">
        <v>340</v>
      </c>
      <c r="P139" s="23" t="s">
        <v>25</v>
      </c>
      <c r="Q139" s="23">
        <v>40</v>
      </c>
      <c r="R139" s="3" t="str">
        <f>IF(OR(G139="12R",G139="12L"),_xlfn.XLOOKUP(C139,Tabla42[ADEP],Tabla42[SID 12R],""),IF(OR(G139="30L",G139="30R"),_xlfn.XLOOKUP(C139,Tabla42[ADEP],Tabla42[SID 30L],""),""))</f>
        <v>ENEBA</v>
      </c>
      <c r="S139" s="3">
        <f t="shared" si="2"/>
        <v>20</v>
      </c>
      <c r="T139" s="3" t="str">
        <f>_xlfn.XLOOKUP(C139,Tabla42[ADEP],Tabla42[Sector],"")</f>
        <v>Sector 3</v>
      </c>
    </row>
    <row r="140" spans="1:20" x14ac:dyDescent="0.2">
      <c r="A140" s="23" t="s">
        <v>292</v>
      </c>
      <c r="B140" s="23" t="s">
        <v>18</v>
      </c>
      <c r="C140" s="23" t="s">
        <v>293</v>
      </c>
      <c r="D140" s="23" t="s">
        <v>43</v>
      </c>
      <c r="E140" s="23" t="s">
        <v>4030</v>
      </c>
      <c r="F140" s="24">
        <v>46308.867048611108</v>
      </c>
      <c r="G140" s="23" t="s">
        <v>21</v>
      </c>
      <c r="H140" s="23" t="s">
        <v>4548</v>
      </c>
      <c r="I140" s="23">
        <v>320</v>
      </c>
      <c r="J140" s="23" t="s">
        <v>22</v>
      </c>
      <c r="K140" s="23" t="s">
        <v>23</v>
      </c>
      <c r="L140" s="23">
        <v>530</v>
      </c>
      <c r="M140" s="23" t="s">
        <v>123</v>
      </c>
      <c r="N140" s="24">
        <v>46308.895729166667</v>
      </c>
      <c r="O140" s="23">
        <v>340</v>
      </c>
      <c r="P140" s="23" t="s">
        <v>25</v>
      </c>
      <c r="Q140" s="23">
        <v>40</v>
      </c>
      <c r="R140" s="3" t="str">
        <f>IF(OR(G140="12R",G140="12L"),_xlfn.XLOOKUP(C140,Tabla42[ADEP],Tabla42[SID 12R],""),IF(OR(G140="30L",G140="30R"),_xlfn.XLOOKUP(C140,Tabla42[ADEP],Tabla42[SID 30L],""),""))</f>
        <v>UDGUV</v>
      </c>
      <c r="S140" s="3">
        <f t="shared" si="2"/>
        <v>20</v>
      </c>
      <c r="T140" s="3" t="str">
        <f>_xlfn.XLOOKUP(C140,Tabla42[ADEP],Tabla42[Sector],"")</f>
        <v>Sector 2</v>
      </c>
    </row>
    <row r="141" spans="1:20" x14ac:dyDescent="0.2">
      <c r="A141" s="23" t="s">
        <v>978</v>
      </c>
      <c r="B141" s="23" t="s">
        <v>18</v>
      </c>
      <c r="C141" s="23" t="s">
        <v>286</v>
      </c>
      <c r="D141" s="23" t="s">
        <v>33</v>
      </c>
      <c r="E141" s="23" t="s">
        <v>4549</v>
      </c>
      <c r="F141" s="24">
        <v>46308.871967592589</v>
      </c>
      <c r="G141" s="23" t="s">
        <v>21</v>
      </c>
      <c r="H141" s="23" t="s">
        <v>4550</v>
      </c>
      <c r="I141" s="23">
        <v>300</v>
      </c>
      <c r="J141" s="23" t="s">
        <v>22</v>
      </c>
      <c r="K141" s="23" t="s">
        <v>23</v>
      </c>
      <c r="L141" s="23">
        <v>320</v>
      </c>
      <c r="M141" s="23" t="s">
        <v>4551</v>
      </c>
      <c r="N141" s="24">
        <v>46308.889745370368</v>
      </c>
      <c r="O141" s="23">
        <v>300</v>
      </c>
      <c r="P141" s="23" t="s">
        <v>25</v>
      </c>
      <c r="Q141" s="23">
        <v>190</v>
      </c>
      <c r="R141" s="3" t="str">
        <f>IF(OR(G141="12R",G141="12L"),_xlfn.XLOOKUP(C141,Tabla42[ADEP],Tabla42[SID 12R],""),IF(OR(G141="30L",G141="30R"),_xlfn.XLOOKUP(C141,Tabla42[ADEP],Tabla42[SID 30L],""),""))</f>
        <v>CZM</v>
      </c>
      <c r="S141" s="3">
        <f t="shared" si="2"/>
        <v>20</v>
      </c>
      <c r="T141" s="3" t="str">
        <f>_xlfn.XLOOKUP(C141,Tabla42[ADEP],Tabla42[Sector],"")</f>
        <v>Sector 7</v>
      </c>
    </row>
    <row r="142" spans="1:20" x14ac:dyDescent="0.2">
      <c r="A142" s="23" t="s">
        <v>2076</v>
      </c>
      <c r="B142" s="23" t="s">
        <v>18</v>
      </c>
      <c r="C142" s="23" t="s">
        <v>18</v>
      </c>
      <c r="D142" s="23" t="s">
        <v>2077</v>
      </c>
      <c r="E142" s="23"/>
      <c r="F142" s="24">
        <v>46308.873819444445</v>
      </c>
      <c r="G142" s="23" t="s">
        <v>21</v>
      </c>
      <c r="H142" s="23" t="s">
        <v>4552</v>
      </c>
      <c r="I142" s="23">
        <v>15</v>
      </c>
      <c r="J142" s="23" t="s">
        <v>130</v>
      </c>
      <c r="K142" s="23" t="s">
        <v>50</v>
      </c>
      <c r="L142" s="23">
        <v>137</v>
      </c>
      <c r="M142" s="23" t="s">
        <v>18</v>
      </c>
      <c r="N142" s="24">
        <v>46308.904340277775</v>
      </c>
      <c r="O142" s="23">
        <v>0</v>
      </c>
      <c r="P142" s="23" t="s">
        <v>129</v>
      </c>
      <c r="Q142" s="23">
        <v>15</v>
      </c>
      <c r="R142" s="3" t="str">
        <f>IF(OR(G142="12R",G142="12L"),_xlfn.XLOOKUP(C142,Tabla42[ADEP],Tabla42[SID 12R],""),IF(OR(G142="30L",G142="30R"),_xlfn.XLOOKUP(C142,Tabla42[ADEP],Tabla42[SID 30L],""),""))</f>
        <v/>
      </c>
      <c r="S142" s="3">
        <f t="shared" si="2"/>
        <v>20</v>
      </c>
      <c r="T142" s="3" t="str">
        <f>_xlfn.XLOOKUP(C142,Tabla42[ADEP],Tabla42[Sector],"")</f>
        <v/>
      </c>
    </row>
    <row r="143" spans="1:20" x14ac:dyDescent="0.2">
      <c r="A143" s="23" t="s">
        <v>289</v>
      </c>
      <c r="B143" s="23" t="s">
        <v>18</v>
      </c>
      <c r="C143" s="23" t="s">
        <v>290</v>
      </c>
      <c r="D143" s="23" t="s">
        <v>33</v>
      </c>
      <c r="E143" s="23" t="s">
        <v>4553</v>
      </c>
      <c r="F143" s="24">
        <v>46308.877013888887</v>
      </c>
      <c r="G143" s="23" t="s">
        <v>21</v>
      </c>
      <c r="H143" s="23" t="s">
        <v>4554</v>
      </c>
      <c r="I143" s="23">
        <v>310</v>
      </c>
      <c r="J143" s="23" t="s">
        <v>22</v>
      </c>
      <c r="K143" s="23" t="s">
        <v>23</v>
      </c>
      <c r="L143" s="23">
        <v>220</v>
      </c>
      <c r="M143" s="23" t="s">
        <v>55</v>
      </c>
      <c r="N143" s="24">
        <v>46308.890717592592</v>
      </c>
      <c r="O143" s="23">
        <v>270</v>
      </c>
      <c r="P143" s="23" t="s">
        <v>25</v>
      </c>
      <c r="Q143" s="23">
        <v>190</v>
      </c>
      <c r="R143" s="3" t="str">
        <f>IF(OR(G143="12R",G143="12L"),_xlfn.XLOOKUP(C143,Tabla42[ADEP],Tabla42[SID 12R],""),IF(OR(G143="30L",G143="30R"),_xlfn.XLOOKUP(C143,Tabla42[ADEP],Tabla42[SID 30L],""),""))</f>
        <v>CZM</v>
      </c>
      <c r="S143" s="3">
        <f t="shared" si="2"/>
        <v>21</v>
      </c>
      <c r="T143" s="3" t="str">
        <f>_xlfn.XLOOKUP(C143,Tabla42[ADEP],Tabla42[Sector],"")</f>
        <v>Sector 7</v>
      </c>
    </row>
    <row r="144" spans="1:20" x14ac:dyDescent="0.2">
      <c r="A144" s="23" t="s">
        <v>294</v>
      </c>
      <c r="B144" s="23" t="s">
        <v>18</v>
      </c>
      <c r="C144" s="23" t="s">
        <v>128</v>
      </c>
      <c r="D144" s="23" t="s">
        <v>43</v>
      </c>
      <c r="E144" s="23" t="s">
        <v>2104</v>
      </c>
      <c r="F144" s="24">
        <v>46308.878240740742</v>
      </c>
      <c r="G144" s="23" t="s">
        <v>21</v>
      </c>
      <c r="H144" s="23" t="s">
        <v>4555</v>
      </c>
      <c r="I144" s="23">
        <v>330</v>
      </c>
      <c r="J144" s="23" t="s">
        <v>22</v>
      </c>
      <c r="K144" s="23" t="s">
        <v>23</v>
      </c>
      <c r="L144" s="23">
        <v>351</v>
      </c>
      <c r="M144" s="23" t="s">
        <v>30</v>
      </c>
      <c r="N144" s="24">
        <v>46308.898819444446</v>
      </c>
      <c r="O144" s="23">
        <v>330</v>
      </c>
      <c r="P144" s="23" t="s">
        <v>25</v>
      </c>
      <c r="Q144" s="23">
        <v>40</v>
      </c>
      <c r="R144" s="3" t="str">
        <f>IF(OR(G144="12R",G144="12L"),_xlfn.XLOOKUP(C144,Tabla42[ADEP],Tabla42[SID 12R],""),IF(OR(G144="30L",G144="30R"),_xlfn.XLOOKUP(C144,Tabla42[ADEP],Tabla42[SID 30L],""),""))</f>
        <v>OMSUK</v>
      </c>
      <c r="S144" s="3">
        <f t="shared" si="2"/>
        <v>21</v>
      </c>
      <c r="T144" s="3" t="str">
        <f>_xlfn.XLOOKUP(C144,Tabla42[ADEP],Tabla42[Sector],"")</f>
        <v>Sector 3</v>
      </c>
    </row>
    <row r="145" spans="1:20" x14ac:dyDescent="0.2">
      <c r="A145" s="23" t="s">
        <v>232</v>
      </c>
      <c r="B145" s="23" t="s">
        <v>18</v>
      </c>
      <c r="C145" s="23" t="s">
        <v>233</v>
      </c>
      <c r="D145" s="23" t="s">
        <v>110</v>
      </c>
      <c r="E145" s="23" t="s">
        <v>381</v>
      </c>
      <c r="F145" s="24">
        <v>46308.879583333335</v>
      </c>
      <c r="G145" s="23" t="s">
        <v>21</v>
      </c>
      <c r="H145" s="23" t="s">
        <v>4556</v>
      </c>
      <c r="I145" s="23">
        <v>400</v>
      </c>
      <c r="J145" s="23" t="s">
        <v>22</v>
      </c>
      <c r="K145" s="23" t="s">
        <v>23</v>
      </c>
      <c r="L145" s="23">
        <v>528</v>
      </c>
      <c r="M145" s="23" t="s">
        <v>123</v>
      </c>
      <c r="N145" s="24">
        <v>46308.907581018517</v>
      </c>
      <c r="O145" s="23">
        <v>400</v>
      </c>
      <c r="P145" s="23" t="s">
        <v>25</v>
      </c>
      <c r="Q145" s="23">
        <v>40</v>
      </c>
      <c r="R145" s="3" t="str">
        <f>IF(OR(G145="12R",G145="12L"),_xlfn.XLOOKUP(C145,Tabla42[ADEP],Tabla42[SID 12R],""),IF(OR(G145="30L",G145="30R"),_xlfn.XLOOKUP(C145,Tabla42[ADEP],Tabla42[SID 30L],""),""))</f>
        <v>UDGUV</v>
      </c>
      <c r="S145" s="3">
        <f t="shared" si="2"/>
        <v>21</v>
      </c>
      <c r="T145" s="3" t="str">
        <f>_xlfn.XLOOKUP(C145,Tabla42[ADEP],Tabla42[Sector],"")</f>
        <v>Sector 2</v>
      </c>
    </row>
    <row r="146" spans="1:20" x14ac:dyDescent="0.2">
      <c r="A146" s="23" t="s">
        <v>282</v>
      </c>
      <c r="B146" s="23" t="s">
        <v>18</v>
      </c>
      <c r="C146" s="23" t="s">
        <v>42</v>
      </c>
      <c r="D146" s="23" t="s">
        <v>20</v>
      </c>
      <c r="E146" s="23" t="s">
        <v>522</v>
      </c>
      <c r="F146" s="24">
        <v>46308.880810185183</v>
      </c>
      <c r="G146" s="23" t="s">
        <v>21</v>
      </c>
      <c r="H146" s="23" t="s">
        <v>4557</v>
      </c>
      <c r="I146" s="23">
        <v>340</v>
      </c>
      <c r="J146" s="23" t="s">
        <v>22</v>
      </c>
      <c r="K146" s="23" t="s">
        <v>23</v>
      </c>
      <c r="L146" s="23">
        <v>870</v>
      </c>
      <c r="M146" s="23" t="s">
        <v>45</v>
      </c>
      <c r="N146" s="24">
        <v>46308.924988425926</v>
      </c>
      <c r="O146" s="23">
        <v>340</v>
      </c>
      <c r="P146" s="23" t="s">
        <v>25</v>
      </c>
      <c r="Q146" s="23">
        <v>190</v>
      </c>
      <c r="R146" s="3" t="str">
        <f>IF(OR(G146="12R",G146="12L"),_xlfn.XLOOKUP(C146,Tabla42[ADEP],Tabla42[SID 12R],""),IF(OR(G146="30L",G146="30R"),_xlfn.XLOOKUP(C146,Tabla42[ADEP],Tabla42[SID 30L],""),""))</f>
        <v>UDGUV</v>
      </c>
      <c r="S146" s="3">
        <f t="shared" si="2"/>
        <v>21</v>
      </c>
      <c r="T146" s="3" t="str">
        <f>_xlfn.XLOOKUP(C146,Tabla42[ADEP],Tabla42[Sector],"")</f>
        <v>Sector 2</v>
      </c>
    </row>
    <row r="147" spans="1:20" x14ac:dyDescent="0.2">
      <c r="A147" s="23" t="s">
        <v>2587</v>
      </c>
      <c r="B147" s="23" t="s">
        <v>18</v>
      </c>
      <c r="C147" s="23" t="s">
        <v>297</v>
      </c>
      <c r="D147" s="23" t="s">
        <v>243</v>
      </c>
      <c r="E147" s="23" t="s">
        <v>498</v>
      </c>
      <c r="F147" s="24">
        <v>46308.88212962963</v>
      </c>
      <c r="G147" s="23" t="s">
        <v>21</v>
      </c>
      <c r="H147" s="23" t="s">
        <v>4558</v>
      </c>
      <c r="I147" s="23">
        <v>370</v>
      </c>
      <c r="J147" s="23" t="s">
        <v>22</v>
      </c>
      <c r="K147" s="23" t="s">
        <v>23</v>
      </c>
      <c r="L147" s="23">
        <v>134</v>
      </c>
      <c r="M147" s="23" t="s">
        <v>68</v>
      </c>
      <c r="N147" s="24">
        <v>46308.891643518517</v>
      </c>
      <c r="O147" s="23">
        <v>215</v>
      </c>
      <c r="P147" s="23" t="s">
        <v>40</v>
      </c>
      <c r="Q147" s="23">
        <v>190</v>
      </c>
      <c r="R147" s="3" t="str">
        <f>IF(OR(G147="12R",G147="12L"),_xlfn.XLOOKUP(C147,Tabla42[ADEP],Tabla42[SID 12R],""),IF(OR(G147="30L",G147="30R"),_xlfn.XLOOKUP(C147,Tabla42[ADEP],Tabla42[SID 30L],""),""))</f>
        <v>NUDAL</v>
      </c>
      <c r="S147" s="3">
        <f t="shared" si="2"/>
        <v>21</v>
      </c>
      <c r="T147" s="3" t="str">
        <f>_xlfn.XLOOKUP(C147,Tabla42[ADEP],Tabla42[Sector],"")</f>
        <v>Sector 3</v>
      </c>
    </row>
    <row r="148" spans="1:20" x14ac:dyDescent="0.2">
      <c r="A148" s="23" t="s">
        <v>475</v>
      </c>
      <c r="B148" s="23" t="s">
        <v>18</v>
      </c>
      <c r="C148" s="23" t="s">
        <v>293</v>
      </c>
      <c r="D148" s="23" t="s">
        <v>28</v>
      </c>
      <c r="E148" s="23" t="s">
        <v>1732</v>
      </c>
      <c r="F148" s="24">
        <v>46308.885567129626</v>
      </c>
      <c r="G148" s="23" t="s">
        <v>21</v>
      </c>
      <c r="H148" s="23" t="s">
        <v>4559</v>
      </c>
      <c r="I148" s="23">
        <v>360</v>
      </c>
      <c r="J148" s="23" t="s">
        <v>22</v>
      </c>
      <c r="K148" s="23" t="s">
        <v>23</v>
      </c>
      <c r="L148" s="23">
        <v>527</v>
      </c>
      <c r="M148" s="23" t="s">
        <v>123</v>
      </c>
      <c r="N148" s="24">
        <v>46308.913321759261</v>
      </c>
      <c r="O148" s="23">
        <v>360</v>
      </c>
      <c r="P148" s="23" t="s">
        <v>25</v>
      </c>
      <c r="Q148" s="23">
        <v>40</v>
      </c>
      <c r="R148" s="3" t="str">
        <f>IF(OR(G148="12R",G148="12L"),_xlfn.XLOOKUP(C148,Tabla42[ADEP],Tabla42[SID 12R],""),IF(OR(G148="30L",G148="30R"),_xlfn.XLOOKUP(C148,Tabla42[ADEP],Tabla42[SID 30L],""),""))</f>
        <v>UDGUV</v>
      </c>
      <c r="S148" s="3">
        <f t="shared" si="2"/>
        <v>21</v>
      </c>
      <c r="T148" s="3" t="str">
        <f>_xlfn.XLOOKUP(C148,Tabla42[ADEP],Tabla42[Sector],"")</f>
        <v>Sector 2</v>
      </c>
    </row>
    <row r="149" spans="1:20" x14ac:dyDescent="0.2">
      <c r="A149" s="23" t="s">
        <v>299</v>
      </c>
      <c r="B149" s="23" t="s">
        <v>18</v>
      </c>
      <c r="C149" s="23" t="s">
        <v>300</v>
      </c>
      <c r="D149" s="23" t="s">
        <v>117</v>
      </c>
      <c r="E149" s="23" t="s">
        <v>4560</v>
      </c>
      <c r="F149" s="24">
        <v>46308.888287037036</v>
      </c>
      <c r="G149" s="23" t="s">
        <v>21</v>
      </c>
      <c r="H149" s="23" t="s">
        <v>4561</v>
      </c>
      <c r="I149" s="23">
        <v>320</v>
      </c>
      <c r="J149" s="23" t="s">
        <v>22</v>
      </c>
      <c r="K149" s="23" t="s">
        <v>23</v>
      </c>
      <c r="L149" s="23">
        <v>529</v>
      </c>
      <c r="M149" s="23" t="s">
        <v>123</v>
      </c>
      <c r="N149" s="24">
        <v>46308.91642361111</v>
      </c>
      <c r="O149" s="23">
        <v>320</v>
      </c>
      <c r="P149" s="23" t="s">
        <v>25</v>
      </c>
      <c r="Q149" s="23">
        <v>40</v>
      </c>
      <c r="R149" s="3" t="str">
        <f>IF(OR(G149="12R",G149="12L"),_xlfn.XLOOKUP(C149,Tabla42[ADEP],Tabla42[SID 12R],""),IF(OR(G149="30L",G149="30R"),_xlfn.XLOOKUP(C149,Tabla42[ADEP],Tabla42[SID 30L],""),""))</f>
        <v>OMSUK</v>
      </c>
      <c r="S149" s="3">
        <f t="shared" si="2"/>
        <v>21</v>
      </c>
      <c r="T149" s="3" t="str">
        <f>_xlfn.XLOOKUP(C149,Tabla42[ADEP],Tabla42[Sector],"")</f>
        <v>Sector 3</v>
      </c>
    </row>
    <row r="150" spans="1:20" x14ac:dyDescent="0.2">
      <c r="A150" s="23" t="s">
        <v>272</v>
      </c>
      <c r="B150" s="23" t="s">
        <v>18</v>
      </c>
      <c r="C150" s="23" t="s">
        <v>42</v>
      </c>
      <c r="D150" s="23" t="s">
        <v>20</v>
      </c>
      <c r="E150" s="23" t="s">
        <v>374</v>
      </c>
      <c r="F150" s="24">
        <v>46308.890208333331</v>
      </c>
      <c r="G150" s="23" t="s">
        <v>21</v>
      </c>
      <c r="H150" s="23" t="s">
        <v>4562</v>
      </c>
      <c r="I150" s="23">
        <v>360</v>
      </c>
      <c r="J150" s="23" t="s">
        <v>22</v>
      </c>
      <c r="K150" s="23" t="s">
        <v>23</v>
      </c>
      <c r="L150" s="23">
        <v>870</v>
      </c>
      <c r="M150" s="23" t="s">
        <v>45</v>
      </c>
      <c r="N150" s="24">
        <v>46308.934305555558</v>
      </c>
      <c r="O150" s="23">
        <v>360</v>
      </c>
      <c r="P150" s="23" t="s">
        <v>25</v>
      </c>
      <c r="Q150" s="23">
        <v>190</v>
      </c>
      <c r="R150" s="3" t="str">
        <f>IF(OR(G150="12R",G150="12L"),_xlfn.XLOOKUP(C150,Tabla42[ADEP],Tabla42[SID 12R],""),IF(OR(G150="30L",G150="30R"),_xlfn.XLOOKUP(C150,Tabla42[ADEP],Tabla42[SID 30L],""),""))</f>
        <v>UDGUV</v>
      </c>
      <c r="S150" s="3">
        <f t="shared" si="2"/>
        <v>21</v>
      </c>
      <c r="T150" s="3" t="str">
        <f>_xlfn.XLOOKUP(C150,Tabla42[ADEP],Tabla42[Sector],"")</f>
        <v>Sector 2</v>
      </c>
    </row>
    <row r="151" spans="1:20" x14ac:dyDescent="0.2">
      <c r="A151" s="23" t="s">
        <v>315</v>
      </c>
      <c r="B151" s="23" t="s">
        <v>18</v>
      </c>
      <c r="C151" s="23" t="s">
        <v>96</v>
      </c>
      <c r="D151" s="23" t="s">
        <v>20</v>
      </c>
      <c r="E151" s="23" t="s">
        <v>819</v>
      </c>
      <c r="F151" s="24">
        <v>46308.891863425924</v>
      </c>
      <c r="G151" s="23" t="s">
        <v>21</v>
      </c>
      <c r="H151" s="23" t="s">
        <v>4563</v>
      </c>
      <c r="I151" s="23">
        <v>360</v>
      </c>
      <c r="J151" s="23" t="s">
        <v>22</v>
      </c>
      <c r="K151" s="23" t="s">
        <v>141</v>
      </c>
      <c r="L151" s="23">
        <v>863</v>
      </c>
      <c r="M151" s="23" t="s">
        <v>45</v>
      </c>
      <c r="N151" s="24">
        <v>46308.935844907406</v>
      </c>
      <c r="O151" s="23">
        <v>360</v>
      </c>
      <c r="P151" s="23" t="s">
        <v>25</v>
      </c>
      <c r="Q151" s="23">
        <v>190</v>
      </c>
      <c r="R151" s="3" t="str">
        <f>IF(OR(G151="12R",G151="12L"),_xlfn.XLOOKUP(C151,Tabla42[ADEP],Tabla42[SID 12R],""),IF(OR(G151="30L",G151="30R"),_xlfn.XLOOKUP(C151,Tabla42[ADEP],Tabla42[SID 30L],""),""))</f>
        <v>UDGUV</v>
      </c>
      <c r="S151" s="3">
        <f t="shared" si="2"/>
        <v>21</v>
      </c>
      <c r="T151" s="3" t="str">
        <f>_xlfn.XLOOKUP(C151,Tabla42[ADEP],Tabla42[Sector],"")</f>
        <v>Sector 2</v>
      </c>
    </row>
    <row r="152" spans="1:20" x14ac:dyDescent="0.2">
      <c r="A152" s="23" t="s">
        <v>301</v>
      </c>
      <c r="B152" s="23" t="s">
        <v>18</v>
      </c>
      <c r="C152" s="23" t="s">
        <v>32</v>
      </c>
      <c r="D152" s="23" t="s">
        <v>53</v>
      </c>
      <c r="E152" s="23" t="s">
        <v>463</v>
      </c>
      <c r="F152" s="24">
        <v>46308.894780092596</v>
      </c>
      <c r="G152" s="23" t="s">
        <v>21</v>
      </c>
      <c r="H152" s="23" t="s">
        <v>4564</v>
      </c>
      <c r="I152" s="23">
        <v>380</v>
      </c>
      <c r="J152" s="23" t="s">
        <v>22</v>
      </c>
      <c r="K152" s="23" t="s">
        <v>23</v>
      </c>
      <c r="L152" s="23">
        <v>866</v>
      </c>
      <c r="M152" s="23" t="s">
        <v>35</v>
      </c>
      <c r="N152" s="24">
        <v>46308.937962962962</v>
      </c>
      <c r="O152" s="23">
        <v>380</v>
      </c>
      <c r="P152" s="23" t="s">
        <v>25</v>
      </c>
      <c r="Q152" s="23">
        <v>190</v>
      </c>
      <c r="R152" s="3" t="str">
        <f>IF(OR(G152="12R",G152="12L"),_xlfn.XLOOKUP(C152,Tabla42[ADEP],Tabla42[SID 12R],""),IF(OR(G152="30L",G152="30R"),_xlfn.XLOOKUP(C152,Tabla42[ADEP],Tabla42[SID 30L],""),""))</f>
        <v>UDGUV</v>
      </c>
      <c r="S152" s="3">
        <f t="shared" si="2"/>
        <v>21</v>
      </c>
      <c r="T152" s="3" t="str">
        <f>_xlfn.XLOOKUP(C152,Tabla42[ADEP],Tabla42[Sector],"")</f>
        <v>Sector 2</v>
      </c>
    </row>
    <row r="153" spans="1:20" x14ac:dyDescent="0.2">
      <c r="A153" s="23" t="s">
        <v>291</v>
      </c>
      <c r="B153" s="23" t="s">
        <v>18</v>
      </c>
      <c r="C153" s="23" t="s">
        <v>209</v>
      </c>
      <c r="D153" s="23" t="s">
        <v>110</v>
      </c>
      <c r="E153" s="23" t="s">
        <v>224</v>
      </c>
      <c r="F153" s="24">
        <v>46308.896643518521</v>
      </c>
      <c r="G153" s="23" t="s">
        <v>21</v>
      </c>
      <c r="H153" s="23" t="s">
        <v>4565</v>
      </c>
      <c r="I153" s="23">
        <v>380</v>
      </c>
      <c r="J153" s="23" t="s">
        <v>22</v>
      </c>
      <c r="K153" s="23" t="s">
        <v>23</v>
      </c>
      <c r="L153" s="23">
        <v>535</v>
      </c>
      <c r="M153" s="23" t="s">
        <v>123</v>
      </c>
      <c r="N153" s="24">
        <v>46308.924641203703</v>
      </c>
      <c r="O153" s="23">
        <v>380</v>
      </c>
      <c r="P153" s="23" t="s">
        <v>25</v>
      </c>
      <c r="Q153" s="23">
        <v>40</v>
      </c>
      <c r="R153" s="3" t="str">
        <f>IF(OR(G153="12R",G153="12L"),_xlfn.XLOOKUP(C153,Tabla42[ADEP],Tabla42[SID 12R],""),IF(OR(G153="30L",G153="30R"),_xlfn.XLOOKUP(C153,Tabla42[ADEP],Tabla42[SID 30L],""),""))</f>
        <v>ENEBA</v>
      </c>
      <c r="S153" s="3">
        <f t="shared" si="2"/>
        <v>21</v>
      </c>
      <c r="T153" s="3" t="str">
        <f>_xlfn.XLOOKUP(C153,Tabla42[ADEP],Tabla42[Sector],"")</f>
        <v>Sector 3</v>
      </c>
    </row>
    <row r="154" spans="1:20" x14ac:dyDescent="0.2">
      <c r="A154" s="23" t="s">
        <v>309</v>
      </c>
      <c r="B154" s="23" t="s">
        <v>18</v>
      </c>
      <c r="C154" s="23" t="s">
        <v>19</v>
      </c>
      <c r="D154" s="23" t="s">
        <v>53</v>
      </c>
      <c r="E154" s="23" t="s">
        <v>631</v>
      </c>
      <c r="F154" s="24">
        <v>46308.898888888885</v>
      </c>
      <c r="G154" s="23" t="s">
        <v>21</v>
      </c>
      <c r="H154" s="23" t="s">
        <v>4566</v>
      </c>
      <c r="I154" s="23">
        <v>360</v>
      </c>
      <c r="J154" s="23" t="s">
        <v>22</v>
      </c>
      <c r="K154" s="23" t="s">
        <v>23</v>
      </c>
      <c r="L154" s="23">
        <v>863</v>
      </c>
      <c r="M154" s="23" t="s">
        <v>24</v>
      </c>
      <c r="N154" s="24">
        <v>46308.943668981483</v>
      </c>
      <c r="O154" s="23">
        <v>360</v>
      </c>
      <c r="P154" s="23" t="s">
        <v>25</v>
      </c>
      <c r="Q154" s="23">
        <v>190</v>
      </c>
      <c r="R154" s="3" t="str">
        <f>IF(OR(G154="12R",G154="12L"),_xlfn.XLOOKUP(C154,Tabla42[ADEP],Tabla42[SID 12R],""),IF(OR(G154="30L",G154="30R"),_xlfn.XLOOKUP(C154,Tabla42[ADEP],Tabla42[SID 30L],""),""))</f>
        <v>UDGUV</v>
      </c>
      <c r="S154" s="3">
        <f t="shared" si="2"/>
        <v>21</v>
      </c>
      <c r="T154" s="3" t="str">
        <f>_xlfn.XLOOKUP(C154,Tabla42[ADEP],Tabla42[Sector],"")</f>
        <v>Sector 2</v>
      </c>
    </row>
    <row r="155" spans="1:20" x14ac:dyDescent="0.2">
      <c r="A155" s="23" t="s">
        <v>308</v>
      </c>
      <c r="B155" s="23" t="s">
        <v>18</v>
      </c>
      <c r="C155" s="23" t="s">
        <v>137</v>
      </c>
      <c r="D155" s="23" t="s">
        <v>122</v>
      </c>
      <c r="E155" s="23" t="s">
        <v>4567</v>
      </c>
      <c r="F155" s="24">
        <v>46308.90116898148</v>
      </c>
      <c r="G155" s="23" t="s">
        <v>21</v>
      </c>
      <c r="H155" s="23" t="s">
        <v>4568</v>
      </c>
      <c r="I155" s="23">
        <v>370</v>
      </c>
      <c r="J155" s="23" t="s">
        <v>22</v>
      </c>
      <c r="K155" s="23" t="s">
        <v>23</v>
      </c>
      <c r="L155" s="23">
        <v>133</v>
      </c>
      <c r="M155" s="23" t="s">
        <v>39</v>
      </c>
      <c r="N155" s="24">
        <v>46308.910798611112</v>
      </c>
      <c r="O155" s="23">
        <v>281</v>
      </c>
      <c r="P155" s="23" t="s">
        <v>25</v>
      </c>
      <c r="Q155" s="23">
        <v>190</v>
      </c>
      <c r="R155" s="3" t="str">
        <f>IF(OR(G155="12R",G155="12L"),_xlfn.XLOOKUP(C155,Tabla42[ADEP],Tabla42[SID 12R],""),IF(OR(G155="30L",G155="30R"),_xlfn.XLOOKUP(C155,Tabla42[ADEP],Tabla42[SID 30L],""),""))</f>
        <v>NUDAL</v>
      </c>
      <c r="S155" s="3">
        <f t="shared" si="2"/>
        <v>21</v>
      </c>
      <c r="T155" s="3" t="str">
        <f>_xlfn.XLOOKUP(C155,Tabla42[ADEP],Tabla42[Sector],"")</f>
        <v>Sector 3</v>
      </c>
    </row>
    <row r="156" spans="1:20" x14ac:dyDescent="0.2">
      <c r="A156" s="23" t="s">
        <v>238</v>
      </c>
      <c r="B156" s="23" t="s">
        <v>18</v>
      </c>
      <c r="C156" s="23" t="s">
        <v>239</v>
      </c>
      <c r="D156" s="23" t="s">
        <v>60</v>
      </c>
      <c r="E156" s="23" t="s">
        <v>2841</v>
      </c>
      <c r="F156" s="24">
        <v>46308.902997685182</v>
      </c>
      <c r="G156" s="23" t="s">
        <v>21</v>
      </c>
      <c r="H156" s="23" t="s">
        <v>4569</v>
      </c>
      <c r="I156" s="23">
        <v>360</v>
      </c>
      <c r="J156" s="23" t="s">
        <v>22</v>
      </c>
      <c r="K156" s="23" t="s">
        <v>23</v>
      </c>
      <c r="L156" s="23">
        <v>868</v>
      </c>
      <c r="M156" s="23" t="s">
        <v>35</v>
      </c>
      <c r="N156" s="24">
        <v>46308.946828703702</v>
      </c>
      <c r="O156" s="23">
        <v>360</v>
      </c>
      <c r="P156" s="23" t="s">
        <v>25</v>
      </c>
      <c r="Q156" s="23">
        <v>190</v>
      </c>
      <c r="R156" s="3" t="str">
        <f>IF(OR(G156="12R",G156="12L"),_xlfn.XLOOKUP(C156,Tabla42[ADEP],Tabla42[SID 12R],""),IF(OR(G156="30L",G156="30R"),_xlfn.XLOOKUP(C156,Tabla42[ADEP],Tabla42[SID 30L],""),""))</f>
        <v>UDGUV</v>
      </c>
      <c r="S156" s="3">
        <f t="shared" si="2"/>
        <v>21</v>
      </c>
      <c r="T156" s="3" t="str">
        <f>_xlfn.XLOOKUP(C156,Tabla42[ADEP],Tabla42[Sector],"")</f>
        <v>Sector 2</v>
      </c>
    </row>
    <row r="157" spans="1:20" x14ac:dyDescent="0.2">
      <c r="A157" s="23" t="s">
        <v>4570</v>
      </c>
      <c r="B157" s="23" t="s">
        <v>18</v>
      </c>
      <c r="C157" s="23" t="s">
        <v>47</v>
      </c>
      <c r="D157" s="23" t="s">
        <v>243</v>
      </c>
      <c r="E157" s="23" t="s">
        <v>298</v>
      </c>
      <c r="F157" s="24">
        <v>46308.906157407408</v>
      </c>
      <c r="G157" s="23" t="s">
        <v>21</v>
      </c>
      <c r="H157" s="23" t="s">
        <v>4571</v>
      </c>
      <c r="I157" s="23">
        <v>370</v>
      </c>
      <c r="J157" s="23" t="s">
        <v>22</v>
      </c>
      <c r="K157" s="23" t="s">
        <v>23</v>
      </c>
      <c r="L157" s="23">
        <v>133</v>
      </c>
      <c r="M157" s="23" t="s">
        <v>2393</v>
      </c>
      <c r="N157" s="24">
        <v>46308.915636574071</v>
      </c>
      <c r="O157" s="23">
        <v>221</v>
      </c>
      <c r="P157" s="23" t="s">
        <v>40</v>
      </c>
      <c r="Q157" s="23">
        <v>190</v>
      </c>
      <c r="R157" s="3" t="str">
        <f>IF(OR(G157="12R",G157="12L"),_xlfn.XLOOKUP(C157,Tabla42[ADEP],Tabla42[SID 12R],""),IF(OR(G157="30L",G157="30R"),_xlfn.XLOOKUP(C157,Tabla42[ADEP],Tabla42[SID 30L],""),""))</f>
        <v>NUDAL</v>
      </c>
      <c r="S157" s="3">
        <f t="shared" si="2"/>
        <v>21</v>
      </c>
      <c r="T157" s="3" t="str">
        <f>_xlfn.XLOOKUP(C157,Tabla42[ADEP],Tabla42[Sector],"")</f>
        <v>Sector 3</v>
      </c>
    </row>
    <row r="158" spans="1:20" x14ac:dyDescent="0.2">
      <c r="A158" s="23" t="s">
        <v>311</v>
      </c>
      <c r="B158" s="23" t="s">
        <v>18</v>
      </c>
      <c r="C158" s="23" t="s">
        <v>109</v>
      </c>
      <c r="D158" s="23" t="s">
        <v>28</v>
      </c>
      <c r="E158" s="23" t="s">
        <v>989</v>
      </c>
      <c r="F158" s="24">
        <v>46308.907986111109</v>
      </c>
      <c r="G158" s="23" t="s">
        <v>21</v>
      </c>
      <c r="H158" s="23" t="s">
        <v>4572</v>
      </c>
      <c r="I158" s="23">
        <v>350</v>
      </c>
      <c r="J158" s="23" t="s">
        <v>22</v>
      </c>
      <c r="K158" s="23" t="s">
        <v>23</v>
      </c>
      <c r="L158" s="23">
        <v>149</v>
      </c>
      <c r="M158" s="23" t="s">
        <v>111</v>
      </c>
      <c r="N158" s="24">
        <v>46308.918483796297</v>
      </c>
      <c r="O158" s="23">
        <v>250</v>
      </c>
      <c r="P158" s="23" t="s">
        <v>25</v>
      </c>
      <c r="Q158" s="23">
        <v>190</v>
      </c>
      <c r="R158" s="3" t="str">
        <f>IF(OR(G158="12R",G158="12L"),_xlfn.XLOOKUP(C158,Tabla42[ADEP],Tabla42[SID 12R],""),IF(OR(G158="30L",G158="30R"),_xlfn.XLOOKUP(C158,Tabla42[ADEP],Tabla42[SID 30L],""),""))</f>
        <v>TAKUX</v>
      </c>
      <c r="S158" s="3">
        <f t="shared" si="2"/>
        <v>21</v>
      </c>
      <c r="T158" s="3" t="str">
        <f>_xlfn.XLOOKUP(C158,Tabla42[ADEP],Tabla42[Sector],"")</f>
        <v>Sector 7</v>
      </c>
    </row>
    <row r="159" spans="1:20" x14ac:dyDescent="0.2">
      <c r="A159" s="23" t="s">
        <v>313</v>
      </c>
      <c r="B159" s="23" t="s">
        <v>18</v>
      </c>
      <c r="C159" s="23" t="s">
        <v>73</v>
      </c>
      <c r="D159" s="23" t="s">
        <v>53</v>
      </c>
      <c r="E159" s="23" t="s">
        <v>106</v>
      </c>
      <c r="F159" s="24">
        <v>46308.913321759261</v>
      </c>
      <c r="G159" s="23" t="s">
        <v>21</v>
      </c>
      <c r="H159" s="23" t="s">
        <v>4573</v>
      </c>
      <c r="I159" s="23">
        <v>380</v>
      </c>
      <c r="J159" s="23" t="s">
        <v>22</v>
      </c>
      <c r="K159" s="23" t="s">
        <v>23</v>
      </c>
      <c r="L159" s="23">
        <v>723</v>
      </c>
      <c r="M159" s="23" t="s">
        <v>73</v>
      </c>
      <c r="N159" s="24">
        <v>46308.95789351852</v>
      </c>
      <c r="O159" s="23">
        <v>0</v>
      </c>
      <c r="P159" s="23" t="s">
        <v>25</v>
      </c>
      <c r="Q159" s="23">
        <v>190</v>
      </c>
      <c r="R159" s="3" t="str">
        <f>IF(OR(G159="12R",G159="12L"),_xlfn.XLOOKUP(C159,Tabla42[ADEP],Tabla42[SID 12R],""),IF(OR(G159="30L",G159="30R"),_xlfn.XLOOKUP(C159,Tabla42[ADEP],Tabla42[SID 30L],""),""))</f>
        <v>UDGUV</v>
      </c>
      <c r="S159" s="3">
        <f t="shared" si="2"/>
        <v>21</v>
      </c>
      <c r="T159" s="3" t="str">
        <f>_xlfn.XLOOKUP(C159,Tabla42[ADEP],Tabla42[Sector],"")</f>
        <v>Sector 2</v>
      </c>
    </row>
    <row r="160" spans="1:20" x14ac:dyDescent="0.2">
      <c r="A160" s="23" t="s">
        <v>312</v>
      </c>
      <c r="B160" s="23" t="s">
        <v>18</v>
      </c>
      <c r="C160" s="23" t="s">
        <v>204</v>
      </c>
      <c r="D160" s="23" t="s">
        <v>33</v>
      </c>
      <c r="E160" s="23" t="s">
        <v>4060</v>
      </c>
      <c r="F160" s="24">
        <v>46308.921620370369</v>
      </c>
      <c r="G160" s="23" t="s">
        <v>21</v>
      </c>
      <c r="H160" s="23" t="s">
        <v>4574</v>
      </c>
      <c r="I160" s="23">
        <v>350</v>
      </c>
      <c r="J160" s="23" t="s">
        <v>22</v>
      </c>
      <c r="K160" s="23" t="s">
        <v>23</v>
      </c>
      <c r="L160" s="23">
        <v>149</v>
      </c>
      <c r="M160" s="23" t="s">
        <v>111</v>
      </c>
      <c r="N160" s="24">
        <v>46308.932129629633</v>
      </c>
      <c r="O160" s="23">
        <v>239</v>
      </c>
      <c r="P160" s="23" t="s">
        <v>25</v>
      </c>
      <c r="Q160" s="23">
        <v>190</v>
      </c>
      <c r="R160" s="3" t="str">
        <f>IF(OR(G160="12R",G160="12L"),_xlfn.XLOOKUP(C160,Tabla42[ADEP],Tabla42[SID 12R],""),IF(OR(G160="30L",G160="30R"),_xlfn.XLOOKUP(C160,Tabla42[ADEP],Tabla42[SID 30L],""),""))</f>
        <v>TAKUX</v>
      </c>
      <c r="S160" s="3">
        <f t="shared" si="2"/>
        <v>22</v>
      </c>
      <c r="T160" s="3" t="str">
        <f>_xlfn.XLOOKUP(C160,Tabla42[ADEP],Tabla42[Sector],"")</f>
        <v>Sector 7</v>
      </c>
    </row>
    <row r="161" spans="1:20" x14ac:dyDescent="0.2">
      <c r="A161" s="23" t="s">
        <v>323</v>
      </c>
      <c r="B161" s="23" t="s">
        <v>18</v>
      </c>
      <c r="C161" s="23" t="s">
        <v>32</v>
      </c>
      <c r="D161" s="23" t="s">
        <v>60</v>
      </c>
      <c r="E161" s="23" t="s">
        <v>383</v>
      </c>
      <c r="F161" s="24">
        <v>46308.937534722223</v>
      </c>
      <c r="G161" s="23" t="s">
        <v>21</v>
      </c>
      <c r="H161" s="23" t="s">
        <v>4575</v>
      </c>
      <c r="I161" s="23">
        <v>360</v>
      </c>
      <c r="J161" s="23" t="s">
        <v>22</v>
      </c>
      <c r="K161" s="23" t="s">
        <v>23</v>
      </c>
      <c r="L161" s="23">
        <v>867</v>
      </c>
      <c r="M161" s="23" t="s">
        <v>35</v>
      </c>
      <c r="N161" s="24">
        <v>46308.981724537036</v>
      </c>
      <c r="O161" s="23">
        <v>360</v>
      </c>
      <c r="P161" s="23" t="s">
        <v>25</v>
      </c>
      <c r="Q161" s="23">
        <v>190</v>
      </c>
      <c r="R161" s="3" t="str">
        <f>IF(OR(G161="12R",G161="12L"),_xlfn.XLOOKUP(C161,Tabla42[ADEP],Tabla42[SID 12R],""),IF(OR(G161="30L",G161="30R"),_xlfn.XLOOKUP(C161,Tabla42[ADEP],Tabla42[SID 30L],""),""))</f>
        <v>UDGUV</v>
      </c>
      <c r="S161" s="3">
        <f t="shared" si="2"/>
        <v>22</v>
      </c>
      <c r="T161" s="3" t="str">
        <f>_xlfn.XLOOKUP(C161,Tabla42[ADEP],Tabla42[Sector],"")</f>
        <v>Sector 2</v>
      </c>
    </row>
    <row r="162" spans="1:20" x14ac:dyDescent="0.2">
      <c r="A162" s="23" t="s">
        <v>4108</v>
      </c>
      <c r="B162" s="23" t="s">
        <v>18</v>
      </c>
      <c r="C162" s="23" t="s">
        <v>49</v>
      </c>
      <c r="D162" s="23" t="s">
        <v>4109</v>
      </c>
      <c r="E162" s="23"/>
      <c r="F162" s="24">
        <v>46308.938831018517</v>
      </c>
      <c r="G162" s="23" t="s">
        <v>21</v>
      </c>
      <c r="H162" s="23" t="s">
        <v>4576</v>
      </c>
      <c r="I162" s="23">
        <v>400</v>
      </c>
      <c r="J162" s="23" t="s">
        <v>22</v>
      </c>
      <c r="K162" s="23" t="s">
        <v>50</v>
      </c>
      <c r="L162" s="23">
        <v>865</v>
      </c>
      <c r="M162" s="23" t="s">
        <v>561</v>
      </c>
      <c r="N162" s="24">
        <v>46308.984849537039</v>
      </c>
      <c r="O162" s="23">
        <v>400</v>
      </c>
      <c r="P162" s="23" t="s">
        <v>25</v>
      </c>
      <c r="Q162" s="23">
        <v>30</v>
      </c>
      <c r="R162" s="3" t="str">
        <f>IF(OR(G162="12R",G162="12L"),_xlfn.XLOOKUP(C162,Tabla42[ADEP],Tabla42[SID 12R],""),IF(OR(G162="30L",G162="30R"),_xlfn.XLOOKUP(C162,Tabla42[ADEP],Tabla42[SID 30L],""),""))</f>
        <v>UDGUV</v>
      </c>
      <c r="S162" s="3">
        <f t="shared" si="2"/>
        <v>22</v>
      </c>
      <c r="T162" s="3" t="str">
        <f>_xlfn.XLOOKUP(C162,Tabla42[ADEP],Tabla42[Sector],"")</f>
        <v>Sector 2</v>
      </c>
    </row>
    <row r="163" spans="1:20" x14ac:dyDescent="0.2">
      <c r="A163" s="23" t="s">
        <v>317</v>
      </c>
      <c r="B163" s="23" t="s">
        <v>18</v>
      </c>
      <c r="C163" s="23" t="s">
        <v>32</v>
      </c>
      <c r="D163" s="23" t="s">
        <v>20</v>
      </c>
      <c r="E163" s="23" t="s">
        <v>2024</v>
      </c>
      <c r="F163" s="24">
        <v>46308.942303240743</v>
      </c>
      <c r="G163" s="23" t="s">
        <v>21</v>
      </c>
      <c r="H163" s="23" t="s">
        <v>4577</v>
      </c>
      <c r="I163" s="23">
        <v>340</v>
      </c>
      <c r="J163" s="23" t="s">
        <v>22</v>
      </c>
      <c r="K163" s="23" t="s">
        <v>23</v>
      </c>
      <c r="L163" s="23">
        <v>878</v>
      </c>
      <c r="M163" s="23" t="s">
        <v>35</v>
      </c>
      <c r="N163" s="24">
        <v>46308.986435185187</v>
      </c>
      <c r="O163" s="23">
        <v>340</v>
      </c>
      <c r="P163" s="23" t="s">
        <v>25</v>
      </c>
      <c r="Q163" s="23">
        <v>190</v>
      </c>
      <c r="R163" s="3" t="str">
        <f>IF(OR(G163="12R",G163="12L"),_xlfn.XLOOKUP(C163,Tabla42[ADEP],Tabla42[SID 12R],""),IF(OR(G163="30L",G163="30R"),_xlfn.XLOOKUP(C163,Tabla42[ADEP],Tabla42[SID 30L],""),""))</f>
        <v>UDGUV</v>
      </c>
      <c r="S163" s="3">
        <f t="shared" si="2"/>
        <v>22</v>
      </c>
      <c r="T163" s="3" t="str">
        <f>_xlfn.XLOOKUP(C163,Tabla42[ADEP],Tabla42[Sector],"")</f>
        <v>Sector 2</v>
      </c>
    </row>
    <row r="164" spans="1:20" x14ac:dyDescent="0.2">
      <c r="A164" s="23" t="s">
        <v>319</v>
      </c>
      <c r="B164" s="23" t="s">
        <v>18</v>
      </c>
      <c r="C164" s="23" t="s">
        <v>320</v>
      </c>
      <c r="D164" s="23" t="s">
        <v>53</v>
      </c>
      <c r="E164" s="23" t="s">
        <v>3414</v>
      </c>
      <c r="F164" s="24">
        <v>46308.946516203701</v>
      </c>
      <c r="G164" s="23" t="s">
        <v>21</v>
      </c>
      <c r="H164" s="23" t="s">
        <v>4578</v>
      </c>
      <c r="I164" s="23">
        <v>380</v>
      </c>
      <c r="J164" s="23" t="s">
        <v>22</v>
      </c>
      <c r="K164" s="23" t="s">
        <v>23</v>
      </c>
      <c r="L164" s="23">
        <v>864</v>
      </c>
      <c r="M164" s="23" t="s">
        <v>730</v>
      </c>
      <c r="N164" s="24">
        <v>46308.992337962962</v>
      </c>
      <c r="O164" s="23">
        <v>380</v>
      </c>
      <c r="P164" s="23" t="s">
        <v>25</v>
      </c>
      <c r="Q164" s="23">
        <v>190</v>
      </c>
      <c r="R164" s="3" t="str">
        <f>IF(OR(G164="12R",G164="12L"),_xlfn.XLOOKUP(C164,Tabla42[ADEP],Tabla42[SID 12R],""),IF(OR(G164="30L",G164="30R"),_xlfn.XLOOKUP(C164,Tabla42[ADEP],Tabla42[SID 30L],""),""))</f>
        <v>UDGUV</v>
      </c>
      <c r="S164" s="3">
        <f t="shared" si="2"/>
        <v>22</v>
      </c>
      <c r="T164" s="3" t="str">
        <f>_xlfn.XLOOKUP(C164,Tabla42[ADEP],Tabla42[Sector],"")</f>
        <v>Sector 2</v>
      </c>
    </row>
    <row r="165" spans="1:20" x14ac:dyDescent="0.2">
      <c r="A165" s="23" t="s">
        <v>328</v>
      </c>
      <c r="B165" s="23" t="s">
        <v>18</v>
      </c>
      <c r="C165" s="23" t="s">
        <v>42</v>
      </c>
      <c r="D165" s="23" t="s">
        <v>43</v>
      </c>
      <c r="E165" s="23" t="s">
        <v>132</v>
      </c>
      <c r="F165" s="24">
        <v>46308.947858796295</v>
      </c>
      <c r="G165" s="23" t="s">
        <v>21</v>
      </c>
      <c r="H165" s="23" t="s">
        <v>4579</v>
      </c>
      <c r="I165" s="23">
        <v>360</v>
      </c>
      <c r="J165" s="23" t="s">
        <v>22</v>
      </c>
      <c r="K165" s="23" t="s">
        <v>23</v>
      </c>
      <c r="L165" s="23">
        <v>861</v>
      </c>
      <c r="M165" s="23" t="s">
        <v>45</v>
      </c>
      <c r="N165" s="24">
        <v>46308.992395833331</v>
      </c>
      <c r="O165" s="23">
        <v>360</v>
      </c>
      <c r="P165" s="23" t="s">
        <v>25</v>
      </c>
      <c r="Q165" s="23">
        <v>190</v>
      </c>
      <c r="R165" s="3" t="str">
        <f>IF(OR(G165="12R",G165="12L"),_xlfn.XLOOKUP(C165,Tabla42[ADEP],Tabla42[SID 12R],""),IF(OR(G165="30L",G165="30R"),_xlfn.XLOOKUP(C165,Tabla42[ADEP],Tabla42[SID 30L],""),""))</f>
        <v>UDGUV</v>
      </c>
      <c r="S165" s="3">
        <f t="shared" si="2"/>
        <v>22</v>
      </c>
      <c r="T165" s="3" t="str">
        <f>_xlfn.XLOOKUP(C165,Tabla42[ADEP],Tabla42[Sector],"")</f>
        <v>Sector 2</v>
      </c>
    </row>
    <row r="166" spans="1:20" x14ac:dyDescent="0.2">
      <c r="A166" s="23" t="s">
        <v>318</v>
      </c>
      <c r="B166" s="23" t="s">
        <v>18</v>
      </c>
      <c r="C166" s="23" t="s">
        <v>116</v>
      </c>
      <c r="D166" s="23" t="s">
        <v>43</v>
      </c>
      <c r="E166" s="23" t="s">
        <v>4352</v>
      </c>
      <c r="F166" s="24">
        <v>46308.948888888888</v>
      </c>
      <c r="G166" s="23" t="s">
        <v>21</v>
      </c>
      <c r="H166" s="23" t="s">
        <v>4580</v>
      </c>
      <c r="I166" s="23">
        <v>360</v>
      </c>
      <c r="J166" s="23" t="s">
        <v>22</v>
      </c>
      <c r="K166" s="23" t="s">
        <v>23</v>
      </c>
      <c r="L166" s="23">
        <v>532</v>
      </c>
      <c r="M166" s="23" t="s">
        <v>123</v>
      </c>
      <c r="N166" s="24">
        <v>46308.977534722224</v>
      </c>
      <c r="O166" s="23">
        <v>360</v>
      </c>
      <c r="P166" s="23" t="s">
        <v>25</v>
      </c>
      <c r="Q166" s="23">
        <v>40</v>
      </c>
      <c r="R166" s="3" t="str">
        <f>IF(OR(G166="12R",G166="12L"),_xlfn.XLOOKUP(C166,Tabla42[ADEP],Tabla42[SID 12R],""),IF(OR(G166="30L",G166="30R"),_xlfn.XLOOKUP(C166,Tabla42[ADEP],Tabla42[SID 30L],""),""))</f>
        <v>ENEBA</v>
      </c>
      <c r="S166" s="3">
        <f t="shared" si="2"/>
        <v>22</v>
      </c>
      <c r="T166" s="3" t="str">
        <f>_xlfn.XLOOKUP(C166,Tabla42[ADEP],Tabla42[Sector],"")</f>
        <v>Sector 3</v>
      </c>
    </row>
    <row r="167" spans="1:20" x14ac:dyDescent="0.2">
      <c r="A167" s="23" t="s">
        <v>321</v>
      </c>
      <c r="B167" s="23" t="s">
        <v>18</v>
      </c>
      <c r="C167" s="23" t="s">
        <v>322</v>
      </c>
      <c r="D167" s="23" t="s">
        <v>60</v>
      </c>
      <c r="E167" s="23" t="s">
        <v>4581</v>
      </c>
      <c r="F167" s="24">
        <v>46308.949745370373</v>
      </c>
      <c r="G167" s="23" t="s">
        <v>21</v>
      </c>
      <c r="H167" s="23" t="s">
        <v>4582</v>
      </c>
      <c r="I167" s="23">
        <v>340</v>
      </c>
      <c r="J167" s="23" t="s">
        <v>22</v>
      </c>
      <c r="K167" s="23" t="s">
        <v>23</v>
      </c>
      <c r="L167" s="23">
        <v>859</v>
      </c>
      <c r="M167" s="23" t="s">
        <v>45</v>
      </c>
      <c r="N167" s="24">
        <v>46308.992766203701</v>
      </c>
      <c r="O167" s="23">
        <v>340</v>
      </c>
      <c r="P167" s="23" t="s">
        <v>25</v>
      </c>
      <c r="Q167" s="23">
        <v>190</v>
      </c>
      <c r="R167" s="3" t="str">
        <f>IF(OR(G167="12R",G167="12L"),_xlfn.XLOOKUP(C167,Tabla42[ADEP],Tabla42[SID 12R],""),IF(OR(G167="30L",G167="30R"),_xlfn.XLOOKUP(C167,Tabla42[ADEP],Tabla42[SID 30L],""),""))</f>
        <v>UDGUV</v>
      </c>
      <c r="S167" s="3">
        <f t="shared" si="2"/>
        <v>22</v>
      </c>
      <c r="T167" s="3" t="str">
        <f>_xlfn.XLOOKUP(C167,Tabla42[ADEP],Tabla42[Sector],"")</f>
        <v>Sector 2</v>
      </c>
    </row>
    <row r="168" spans="1:20" x14ac:dyDescent="0.2">
      <c r="A168" s="23" t="s">
        <v>324</v>
      </c>
      <c r="B168" s="23" t="s">
        <v>18</v>
      </c>
      <c r="C168" s="23" t="s">
        <v>206</v>
      </c>
      <c r="D168" s="23" t="s">
        <v>53</v>
      </c>
      <c r="E168" s="23" t="s">
        <v>279</v>
      </c>
      <c r="F168" s="24">
        <v>46308.951689814814</v>
      </c>
      <c r="G168" s="23" t="s">
        <v>21</v>
      </c>
      <c r="H168" s="23" t="s">
        <v>326</v>
      </c>
      <c r="I168" s="23">
        <v>380</v>
      </c>
      <c r="J168" s="23" t="s">
        <v>22</v>
      </c>
      <c r="K168" s="23" t="s">
        <v>23</v>
      </c>
      <c r="L168" s="23">
        <v>859</v>
      </c>
      <c r="M168" s="23" t="s">
        <v>45</v>
      </c>
      <c r="N168" s="24">
        <v>46308.996296296296</v>
      </c>
      <c r="O168" s="23">
        <v>380</v>
      </c>
      <c r="P168" s="23" t="s">
        <v>25</v>
      </c>
      <c r="Q168" s="23">
        <v>190</v>
      </c>
      <c r="R168" s="3" t="str">
        <f>IF(OR(G168="12R",G168="12L"),_xlfn.XLOOKUP(C168,Tabla42[ADEP],Tabla42[SID 12R],""),IF(OR(G168="30L",G168="30R"),_xlfn.XLOOKUP(C168,Tabla42[ADEP],Tabla42[SID 30L],""),""))</f>
        <v>UDGUV</v>
      </c>
      <c r="S168" s="3">
        <f t="shared" si="2"/>
        <v>22</v>
      </c>
      <c r="T168" s="3" t="str">
        <f>_xlfn.XLOOKUP(C168,Tabla42[ADEP],Tabla42[Sector],"")</f>
        <v>Sector 2</v>
      </c>
    </row>
    <row r="169" spans="1:20" x14ac:dyDescent="0.2">
      <c r="A169" s="23" t="s">
        <v>327</v>
      </c>
      <c r="B169" s="23" t="s">
        <v>18</v>
      </c>
      <c r="C169" s="23" t="s">
        <v>84</v>
      </c>
      <c r="D169" s="23" t="s">
        <v>85</v>
      </c>
      <c r="E169" s="23" t="s">
        <v>728</v>
      </c>
      <c r="F169" s="24">
        <v>46308.968194444446</v>
      </c>
      <c r="G169" s="23" t="s">
        <v>21</v>
      </c>
      <c r="H169" s="23" t="s">
        <v>4583</v>
      </c>
      <c r="I169" s="23">
        <v>370</v>
      </c>
      <c r="J169" s="23" t="s">
        <v>22</v>
      </c>
      <c r="K169" s="23" t="s">
        <v>23</v>
      </c>
      <c r="L169" s="23">
        <v>360</v>
      </c>
      <c r="M169" s="23" t="s">
        <v>30</v>
      </c>
      <c r="N169" s="24">
        <v>46308.990335648145</v>
      </c>
      <c r="O169" s="23">
        <v>337</v>
      </c>
      <c r="P169" s="23" t="s">
        <v>40</v>
      </c>
      <c r="Q169" s="23">
        <v>40</v>
      </c>
      <c r="R169" s="3" t="str">
        <f>IF(OR(G169="12R",G169="12L"),_xlfn.XLOOKUP(C169,Tabla42[ADEP],Tabla42[SID 12R],""),IF(OR(G169="30L",G169="30R"),_xlfn.XLOOKUP(C169,Tabla42[ADEP],Tabla42[SID 30L],""),""))</f>
        <v>NUDAL</v>
      </c>
      <c r="S169" s="3">
        <f t="shared" si="2"/>
        <v>23</v>
      </c>
      <c r="T169" s="3" t="str">
        <f>_xlfn.XLOOKUP(C169,Tabla42[ADEP],Tabla42[Sector],"")</f>
        <v>Sector 3</v>
      </c>
    </row>
    <row r="170" spans="1:20" x14ac:dyDescent="0.2">
      <c r="A170" s="23" t="s">
        <v>332</v>
      </c>
      <c r="B170" s="23" t="s">
        <v>18</v>
      </c>
      <c r="C170" s="23" t="s">
        <v>257</v>
      </c>
      <c r="D170" s="23" t="s">
        <v>122</v>
      </c>
      <c r="E170" s="23" t="s">
        <v>1580</v>
      </c>
      <c r="F170" s="24">
        <v>46308.969814814816</v>
      </c>
      <c r="G170" s="23" t="s">
        <v>21</v>
      </c>
      <c r="H170" s="23" t="s">
        <v>4584</v>
      </c>
      <c r="I170" s="23">
        <v>340</v>
      </c>
      <c r="J170" s="23" t="s">
        <v>22</v>
      </c>
      <c r="K170" s="23" t="s">
        <v>23</v>
      </c>
      <c r="L170" s="23">
        <v>862</v>
      </c>
      <c r="M170" s="23" t="s">
        <v>35</v>
      </c>
      <c r="N170" s="24">
        <v>46309.012499999997</v>
      </c>
      <c r="O170" s="23">
        <v>340</v>
      </c>
      <c r="P170" s="23" t="s">
        <v>25</v>
      </c>
      <c r="Q170" s="23">
        <v>190</v>
      </c>
      <c r="R170" s="3" t="str">
        <f>IF(OR(G170="12R",G170="12L"),_xlfn.XLOOKUP(C170,Tabla42[ADEP],Tabla42[SID 12R],""),IF(OR(G170="30L",G170="30R"),_xlfn.XLOOKUP(C170,Tabla42[ADEP],Tabla42[SID 30L],""),""))</f>
        <v>UDGUV</v>
      </c>
      <c r="S170" s="3">
        <f t="shared" si="2"/>
        <v>23</v>
      </c>
      <c r="T170" s="3" t="str">
        <f>_xlfn.XLOOKUP(C170,Tabla42[ADEP],Tabla42[Sector],"")</f>
        <v>Sector 2</v>
      </c>
    </row>
    <row r="171" spans="1:20" x14ac:dyDescent="0.2">
      <c r="A171" s="23" t="s">
        <v>330</v>
      </c>
      <c r="B171" s="23" t="s">
        <v>18</v>
      </c>
      <c r="C171" s="23" t="s">
        <v>62</v>
      </c>
      <c r="D171" s="23" t="s">
        <v>53</v>
      </c>
      <c r="E171" s="23" t="s">
        <v>956</v>
      </c>
      <c r="F171" s="24">
        <v>46308.973483796297</v>
      </c>
      <c r="G171" s="23" t="s">
        <v>21</v>
      </c>
      <c r="H171" s="23" t="s">
        <v>4585</v>
      </c>
      <c r="I171" s="23">
        <v>380</v>
      </c>
      <c r="J171" s="23" t="s">
        <v>22</v>
      </c>
      <c r="K171" s="23" t="s">
        <v>23</v>
      </c>
      <c r="L171" s="23">
        <v>871</v>
      </c>
      <c r="M171" s="23" t="s">
        <v>751</v>
      </c>
      <c r="N171" s="24">
        <v>46309.017256944448</v>
      </c>
      <c r="O171" s="23">
        <v>380</v>
      </c>
      <c r="P171" s="23" t="s">
        <v>25</v>
      </c>
      <c r="Q171" s="23">
        <v>190</v>
      </c>
      <c r="R171" s="3" t="str">
        <f>IF(OR(G171="12R",G171="12L"),_xlfn.XLOOKUP(C171,Tabla42[ADEP],Tabla42[SID 12R],""),IF(OR(G171="30L",G171="30R"),_xlfn.XLOOKUP(C171,Tabla42[ADEP],Tabla42[SID 30L],""),""))</f>
        <v>UDGUV</v>
      </c>
      <c r="S171" s="3">
        <f t="shared" si="2"/>
        <v>23</v>
      </c>
      <c r="T171" s="3" t="str">
        <f>_xlfn.XLOOKUP(C171,Tabla42[ADEP],Tabla42[Sector],"")</f>
        <v>Sector 2</v>
      </c>
    </row>
    <row r="172" spans="1:20" x14ac:dyDescent="0.2">
      <c r="A172" s="23" t="s">
        <v>4586</v>
      </c>
      <c r="B172" s="23" t="s">
        <v>18</v>
      </c>
      <c r="C172" s="23" t="s">
        <v>190</v>
      </c>
      <c r="D172" s="23" t="s">
        <v>4587</v>
      </c>
      <c r="E172" s="23"/>
      <c r="F172" s="24">
        <v>46308.976805555554</v>
      </c>
      <c r="G172" s="23" t="s">
        <v>21</v>
      </c>
      <c r="H172" s="23" t="s">
        <v>4588</v>
      </c>
      <c r="I172" s="23">
        <v>410</v>
      </c>
      <c r="J172" s="23" t="s">
        <v>22</v>
      </c>
      <c r="K172" s="23" t="s">
        <v>50</v>
      </c>
      <c r="L172" s="23">
        <v>189</v>
      </c>
      <c r="M172" s="23" t="s">
        <v>4589</v>
      </c>
      <c r="N172" s="24">
        <v>46308.987164351849</v>
      </c>
      <c r="O172" s="23">
        <v>397</v>
      </c>
      <c r="P172" s="23" t="s">
        <v>25</v>
      </c>
      <c r="Q172" s="23">
        <v>40</v>
      </c>
      <c r="R172" s="3" t="str">
        <f>IF(OR(G172="12R",G172="12L"),_xlfn.XLOOKUP(C172,Tabla42[ADEP],Tabla42[SID 12R],""),IF(OR(G172="30L",G172="30R"),_xlfn.XLOOKUP(C172,Tabla42[ADEP],Tabla42[SID 30L],""),""))</f>
        <v>NUDAL</v>
      </c>
      <c r="S172" s="3">
        <f t="shared" si="2"/>
        <v>23</v>
      </c>
      <c r="T172" s="3" t="str">
        <f>_xlfn.XLOOKUP(C172,Tabla42[ADEP],Tabla42[Sector],"")</f>
        <v>Sector 3</v>
      </c>
    </row>
    <row r="173" spans="1:20" x14ac:dyDescent="0.2">
      <c r="A173" s="23" t="s">
        <v>333</v>
      </c>
      <c r="B173" s="23" t="s">
        <v>18</v>
      </c>
      <c r="C173" s="23" t="s">
        <v>204</v>
      </c>
      <c r="D173" s="23" t="s">
        <v>33</v>
      </c>
      <c r="E173" s="23" t="s">
        <v>747</v>
      </c>
      <c r="F173" s="24">
        <v>46308.978333333333</v>
      </c>
      <c r="G173" s="23" t="s">
        <v>21</v>
      </c>
      <c r="H173" s="23" t="s">
        <v>4590</v>
      </c>
      <c r="I173" s="23">
        <v>330</v>
      </c>
      <c r="J173" s="23" t="s">
        <v>22</v>
      </c>
      <c r="K173" s="23" t="s">
        <v>23</v>
      </c>
      <c r="L173" s="23">
        <v>150</v>
      </c>
      <c r="M173" s="23" t="s">
        <v>111</v>
      </c>
      <c r="N173" s="24">
        <v>46308.988333333335</v>
      </c>
      <c r="O173" s="23">
        <v>287</v>
      </c>
      <c r="P173" s="23" t="s">
        <v>25</v>
      </c>
      <c r="Q173" s="23">
        <v>190</v>
      </c>
      <c r="R173" s="3" t="str">
        <f>IF(OR(G173="12R",G173="12L"),_xlfn.XLOOKUP(C173,Tabla42[ADEP],Tabla42[SID 12R],""),IF(OR(G173="30L",G173="30R"),_xlfn.XLOOKUP(C173,Tabla42[ADEP],Tabla42[SID 30L],""),""))</f>
        <v>TAKUX</v>
      </c>
      <c r="S173" s="3">
        <f t="shared" si="2"/>
        <v>23</v>
      </c>
      <c r="T173" s="3" t="str">
        <f>_xlfn.XLOOKUP(C173,Tabla42[ADEP],Tabla42[Sector],"")</f>
        <v>Sector 7</v>
      </c>
    </row>
    <row r="174" spans="1:20" x14ac:dyDescent="0.2">
      <c r="A174" s="23" t="s">
        <v>334</v>
      </c>
      <c r="B174" s="23" t="s">
        <v>18</v>
      </c>
      <c r="C174" s="23" t="s">
        <v>42</v>
      </c>
      <c r="D174" s="23" t="s">
        <v>122</v>
      </c>
      <c r="E174" s="23" t="s">
        <v>517</v>
      </c>
      <c r="F174" s="24">
        <v>46308.984594907408</v>
      </c>
      <c r="G174" s="23" t="s">
        <v>21</v>
      </c>
      <c r="H174" s="23" t="s">
        <v>4591</v>
      </c>
      <c r="I174" s="23">
        <v>360</v>
      </c>
      <c r="J174" s="23" t="s">
        <v>22</v>
      </c>
      <c r="K174" s="23" t="s">
        <v>23</v>
      </c>
      <c r="L174" s="23">
        <v>858</v>
      </c>
      <c r="M174" s="23" t="s">
        <v>45</v>
      </c>
      <c r="N174" s="24">
        <v>46309.028703703705</v>
      </c>
      <c r="O174" s="23">
        <v>360</v>
      </c>
      <c r="P174" s="23" t="s">
        <v>25</v>
      </c>
      <c r="Q174" s="23">
        <v>190</v>
      </c>
      <c r="R174" s="3" t="str">
        <f>IF(OR(G174="12R",G174="12L"),_xlfn.XLOOKUP(C174,Tabla42[ADEP],Tabla42[SID 12R],""),IF(OR(G174="30L",G174="30R"),_xlfn.XLOOKUP(C174,Tabla42[ADEP],Tabla42[SID 30L],""),""))</f>
        <v>UDGUV</v>
      </c>
      <c r="S174" s="3">
        <f t="shared" si="2"/>
        <v>23</v>
      </c>
      <c r="T174" s="3" t="str">
        <f>_xlfn.XLOOKUP(C174,Tabla42[ADEP],Tabla42[Sector],"")</f>
        <v>Sector 2</v>
      </c>
    </row>
    <row r="175" spans="1:20" x14ac:dyDescent="0.2">
      <c r="A175" s="23" t="s">
        <v>500</v>
      </c>
      <c r="B175" s="23" t="s">
        <v>18</v>
      </c>
      <c r="C175" s="23" t="s">
        <v>501</v>
      </c>
      <c r="D175" s="23" t="s">
        <v>53</v>
      </c>
      <c r="E175" s="23" t="s">
        <v>393</v>
      </c>
      <c r="F175" s="24">
        <v>46308.996331018519</v>
      </c>
      <c r="G175" s="23" t="s">
        <v>21</v>
      </c>
      <c r="H175" s="23" t="s">
        <v>4592</v>
      </c>
      <c r="I175" s="23">
        <v>380</v>
      </c>
      <c r="J175" s="23" t="s">
        <v>22</v>
      </c>
      <c r="K175" s="23" t="s">
        <v>23</v>
      </c>
      <c r="L175" s="23">
        <v>878</v>
      </c>
      <c r="M175" s="23" t="s">
        <v>35</v>
      </c>
      <c r="N175" s="24">
        <v>46309.041122685187</v>
      </c>
      <c r="O175" s="23">
        <v>380</v>
      </c>
      <c r="P175" s="23" t="s">
        <v>25</v>
      </c>
      <c r="Q175" s="23">
        <v>190</v>
      </c>
      <c r="R175" s="3" t="str">
        <f>IF(OR(G175="12R",G175="12L"),_xlfn.XLOOKUP(C175,Tabla42[ADEP],Tabla42[SID 12R],""),IF(OR(G175="30L",G175="30R"),_xlfn.XLOOKUP(C175,Tabla42[ADEP],Tabla42[SID 30L],""),""))</f>
        <v>UDGUV</v>
      </c>
      <c r="S175" s="3">
        <f t="shared" si="2"/>
        <v>23</v>
      </c>
      <c r="T175" s="3" t="str">
        <f>_xlfn.XLOOKUP(C175,Tabla42[ADEP],Tabla42[Sector],"")</f>
        <v>Sector 2</v>
      </c>
    </row>
    <row r="176" spans="1:20" x14ac:dyDescent="0.2">
      <c r="A176" s="23" t="s">
        <v>4345</v>
      </c>
      <c r="B176" s="23" t="s">
        <v>18</v>
      </c>
      <c r="C176" s="23" t="s">
        <v>303</v>
      </c>
      <c r="D176" s="23" t="s">
        <v>122</v>
      </c>
      <c r="E176" s="23" t="s">
        <v>4593</v>
      </c>
      <c r="F176" s="24">
        <v>46308.997546296298</v>
      </c>
      <c r="G176" s="23" t="s">
        <v>21</v>
      </c>
      <c r="H176" s="23" t="s">
        <v>4594</v>
      </c>
      <c r="I176" s="23">
        <v>340</v>
      </c>
      <c r="J176" s="23" t="s">
        <v>22</v>
      </c>
      <c r="K176" s="23" t="s">
        <v>23</v>
      </c>
      <c r="L176" s="23">
        <v>532</v>
      </c>
      <c r="M176" s="23" t="s">
        <v>123</v>
      </c>
      <c r="N176" s="24">
        <v>46309.025185185186</v>
      </c>
      <c r="O176" s="23">
        <v>340</v>
      </c>
      <c r="P176" s="23" t="s">
        <v>25</v>
      </c>
      <c r="Q176" s="23">
        <v>190</v>
      </c>
      <c r="R176" s="3" t="str">
        <f>IF(OR(G176="12R",G176="12L"),_xlfn.XLOOKUP(C176,Tabla42[ADEP],Tabla42[SID 12R],""),IF(OR(G176="30L",G176="30R"),_xlfn.XLOOKUP(C176,Tabla42[ADEP],Tabla42[SID 30L],""),""))</f>
        <v>OMSUK</v>
      </c>
      <c r="S176" s="3">
        <f t="shared" si="2"/>
        <v>23</v>
      </c>
      <c r="T176" s="3" t="str">
        <f>_xlfn.XLOOKUP(C176,Tabla42[ADEP],Tabla42[Sector],"")</f>
        <v>Sector 3</v>
      </c>
    </row>
    <row r="177" spans="1:20" x14ac:dyDescent="0.2">
      <c r="A177" s="18"/>
      <c r="B177" s="18"/>
      <c r="C177" s="18"/>
      <c r="D177" s="18"/>
      <c r="E177" s="18"/>
      <c r="F177" s="19"/>
      <c r="G177" s="18"/>
      <c r="H177" s="18"/>
      <c r="I177" s="18"/>
      <c r="J177" s="18"/>
      <c r="K177" s="18"/>
      <c r="L177" s="18"/>
      <c r="M177" s="18"/>
      <c r="N177" s="19"/>
      <c r="O177" s="18"/>
      <c r="P177" s="18"/>
      <c r="Q177" s="18"/>
      <c r="R177" s="3" t="str">
        <f>IF(OR(G177="12R",G177="12L"),_xlfn.XLOOKUP(C177,Tabla42[ADEP],Tabla42[SID 12R],""),IF(OR(G177="30L",G177="30R"),_xlfn.XLOOKUP(C177,Tabla42[ADEP],Tabla42[SID 30L],""),""))</f>
        <v/>
      </c>
      <c r="S177" s="3">
        <f t="shared" si="2"/>
        <v>0</v>
      </c>
      <c r="T177" s="3" t="str">
        <f>_xlfn.XLOOKUP(C177,Tabla42[ADEP],Tabla42[Sector],"")</f>
        <v/>
      </c>
    </row>
    <row r="178" spans="1:20" x14ac:dyDescent="0.2">
      <c r="A178" s="18"/>
      <c r="B178" s="18"/>
      <c r="C178" s="18"/>
      <c r="D178" s="18"/>
      <c r="E178" s="18"/>
      <c r="F178" s="19"/>
      <c r="G178" s="18"/>
      <c r="H178" s="18"/>
      <c r="I178" s="18"/>
      <c r="J178" s="18"/>
      <c r="K178" s="18"/>
      <c r="L178" s="18"/>
      <c r="M178" s="18"/>
      <c r="N178" s="19"/>
      <c r="O178" s="18"/>
      <c r="P178" s="18"/>
      <c r="Q178" s="18"/>
      <c r="R178" s="3" t="str">
        <f>IF(OR(G178="12R",G178="12L"),_xlfn.XLOOKUP(C178,Tabla42[ADEP],Tabla42[SID 12R],""),IF(OR(G178="30L",G178="30R"),_xlfn.XLOOKUP(C178,Tabla42[ADEP],Tabla42[SID 30L],""),""))</f>
        <v/>
      </c>
      <c r="S178" s="3">
        <f t="shared" si="2"/>
        <v>0</v>
      </c>
      <c r="T178" s="3" t="str">
        <f>_xlfn.XLOOKUP(C178,Tabla42[ADEP],Tabla42[Sector],"")</f>
        <v/>
      </c>
    </row>
    <row r="179" spans="1:20" x14ac:dyDescent="0.2">
      <c r="A179" s="18"/>
      <c r="B179" s="18"/>
      <c r="C179" s="18"/>
      <c r="D179" s="18"/>
      <c r="E179" s="18"/>
      <c r="F179" s="19"/>
      <c r="G179" s="18"/>
      <c r="H179" s="18"/>
      <c r="I179" s="18"/>
      <c r="J179" s="18"/>
      <c r="K179" s="18"/>
      <c r="L179" s="18"/>
      <c r="M179" s="18"/>
      <c r="N179" s="19"/>
      <c r="O179" s="18"/>
      <c r="P179" s="18"/>
      <c r="Q179" s="18"/>
      <c r="R179" s="3" t="str">
        <f>IF(OR(G179="12R",G179="12L"),_xlfn.XLOOKUP(C179,Tabla42[ADEP],Tabla42[SID 12R],""),IF(OR(G179="30L",G179="30R"),_xlfn.XLOOKUP(C179,Tabla42[ADEP],Tabla42[SID 30L],""),""))</f>
        <v/>
      </c>
      <c r="S179" s="3">
        <f t="shared" si="2"/>
        <v>0</v>
      </c>
      <c r="T179" s="3" t="str">
        <f>_xlfn.XLOOKUP(C179,Tabla42[ADEP],Tabla42[Sector],"")</f>
        <v/>
      </c>
    </row>
    <row r="180" spans="1:20" x14ac:dyDescent="0.2">
      <c r="A180" s="18"/>
      <c r="B180" s="18"/>
      <c r="C180" s="18"/>
      <c r="D180" s="18"/>
      <c r="E180" s="18"/>
      <c r="F180" s="19"/>
      <c r="G180" s="18"/>
      <c r="H180" s="18"/>
      <c r="I180" s="18"/>
      <c r="J180" s="18"/>
      <c r="K180" s="18"/>
      <c r="L180" s="18"/>
      <c r="M180" s="18"/>
      <c r="N180" s="19"/>
      <c r="O180" s="18"/>
      <c r="P180" s="18"/>
      <c r="Q180" s="18"/>
      <c r="R180" s="3" t="str">
        <f>IF(OR(G180="12R",G180="12L"),_xlfn.XLOOKUP(C180,Tabla42[ADEP],Tabla42[SID 12R],""),IF(OR(G180="30L",G180="30R"),_xlfn.XLOOKUP(C180,Tabla42[ADEP],Tabla42[SID 30L],""),""))</f>
        <v/>
      </c>
      <c r="S180" s="3">
        <f t="shared" si="2"/>
        <v>0</v>
      </c>
      <c r="T180" s="3" t="str">
        <f>_xlfn.XLOOKUP(C180,Tabla42[ADEP],Tabla42[Sector],"")</f>
        <v/>
      </c>
    </row>
    <row r="181" spans="1:20" x14ac:dyDescent="0.2">
      <c r="A181" s="18"/>
      <c r="B181" s="18"/>
      <c r="C181" s="18"/>
      <c r="D181" s="18"/>
      <c r="E181" s="18"/>
      <c r="F181" s="19"/>
      <c r="G181" s="18"/>
      <c r="H181" s="18"/>
      <c r="I181" s="18"/>
      <c r="J181" s="18"/>
      <c r="K181" s="18"/>
      <c r="L181" s="18"/>
      <c r="M181" s="18"/>
      <c r="N181" s="19"/>
      <c r="O181" s="18"/>
      <c r="P181" s="18"/>
      <c r="Q181" s="18"/>
      <c r="R181" s="3" t="str">
        <f>IF(OR(G181="12R",G181="12L"),_xlfn.XLOOKUP(C181,Tabla42[ADEP],Tabla42[SID 12R],""),IF(OR(G181="30L",G181="30R"),_xlfn.XLOOKUP(C181,Tabla42[ADEP],Tabla42[SID 30L],""),""))</f>
        <v/>
      </c>
      <c r="S181" s="3">
        <f t="shared" si="2"/>
        <v>0</v>
      </c>
      <c r="T181" s="3" t="str">
        <f>_xlfn.XLOOKUP(C181,Tabla42[ADEP],Tabla42[Sector],"")</f>
        <v/>
      </c>
    </row>
    <row r="182" spans="1:20" x14ac:dyDescent="0.2">
      <c r="A182" s="18"/>
      <c r="B182" s="18"/>
      <c r="C182" s="18"/>
      <c r="D182" s="18"/>
      <c r="E182" s="18"/>
      <c r="F182" s="19"/>
      <c r="G182" s="18"/>
      <c r="H182" s="18"/>
      <c r="I182" s="18"/>
      <c r="J182" s="18"/>
      <c r="K182" s="18"/>
      <c r="L182" s="18"/>
      <c r="M182" s="18"/>
      <c r="N182" s="19"/>
      <c r="O182" s="18"/>
      <c r="P182" s="18"/>
      <c r="Q182" s="18"/>
      <c r="R182" s="3" t="str">
        <f>IF(OR(G182="12R",G182="12L"),_xlfn.XLOOKUP(C182,Tabla42[ADEP],Tabla42[SID 12R],""),IF(OR(G182="30L",G182="30R"),_xlfn.XLOOKUP(C182,Tabla42[ADEP],Tabla42[SID 30L],""),""))</f>
        <v/>
      </c>
      <c r="S182" s="3">
        <f t="shared" si="2"/>
        <v>0</v>
      </c>
      <c r="T182" s="3" t="str">
        <f>_xlfn.XLOOKUP(C182,Tabla42[ADEP],Tabla42[Sector],"")</f>
        <v/>
      </c>
    </row>
    <row r="183" spans="1:20" x14ac:dyDescent="0.2">
      <c r="A183" s="18"/>
      <c r="B183" s="18"/>
      <c r="C183" s="18"/>
      <c r="D183" s="18"/>
      <c r="E183" s="18"/>
      <c r="F183" s="19"/>
      <c r="G183" s="18"/>
      <c r="H183" s="18"/>
      <c r="I183" s="18"/>
      <c r="J183" s="18"/>
      <c r="K183" s="18"/>
      <c r="L183" s="18"/>
      <c r="M183" s="18"/>
      <c r="N183" s="19"/>
      <c r="O183" s="18"/>
      <c r="P183" s="18"/>
      <c r="Q183" s="18"/>
      <c r="R183" s="3" t="str">
        <f>IF(OR(G183="12R",G183="12L"),_xlfn.XLOOKUP(C183,Tabla42[ADEP],Tabla42[SID 12R],""),IF(OR(G183="30L",G183="30R"),_xlfn.XLOOKUP(C183,Tabla42[ADEP],Tabla42[SID 30L],""),""))</f>
        <v/>
      </c>
      <c r="S183" s="3">
        <f t="shared" si="2"/>
        <v>0</v>
      </c>
      <c r="T183" s="3" t="str">
        <f>_xlfn.XLOOKUP(C183,Tabla42[ADEP],Tabla42[Sector],"")</f>
        <v/>
      </c>
    </row>
    <row r="184" spans="1:20" x14ac:dyDescent="0.2">
      <c r="A184" s="18"/>
      <c r="B184" s="18"/>
      <c r="C184" s="18"/>
      <c r="D184" s="18"/>
      <c r="E184" s="18"/>
      <c r="F184" s="19"/>
      <c r="G184" s="18"/>
      <c r="H184" s="18"/>
      <c r="I184" s="18"/>
      <c r="J184" s="18"/>
      <c r="K184" s="18"/>
      <c r="L184" s="18"/>
      <c r="M184" s="18"/>
      <c r="N184" s="19"/>
      <c r="O184" s="18"/>
      <c r="P184" s="18"/>
      <c r="Q184" s="18"/>
      <c r="R184" s="3" t="str">
        <f>IF(OR(G184="12R",G184="12L"),_xlfn.XLOOKUP(C184,Tabla42[ADEP],Tabla42[SID 12R],""),IF(OR(G184="30L",G184="30R"),_xlfn.XLOOKUP(C184,Tabla42[ADEP],Tabla42[SID 30L],""),""))</f>
        <v/>
      </c>
      <c r="S184" s="3">
        <f t="shared" si="2"/>
        <v>0</v>
      </c>
      <c r="T184" s="3" t="str">
        <f>_xlfn.XLOOKUP(C184,Tabla42[ADEP],Tabla42[Sector],"")</f>
        <v/>
      </c>
    </row>
    <row r="185" spans="1:20" x14ac:dyDescent="0.2">
      <c r="A185" s="18"/>
      <c r="B185" s="18"/>
      <c r="C185" s="18"/>
      <c r="D185" s="18"/>
      <c r="E185" s="18"/>
      <c r="F185" s="19"/>
      <c r="G185" s="18"/>
      <c r="H185" s="18"/>
      <c r="I185" s="18"/>
      <c r="J185" s="18"/>
      <c r="K185" s="18"/>
      <c r="L185" s="18"/>
      <c r="M185" s="18"/>
      <c r="N185" s="19"/>
      <c r="O185" s="18"/>
      <c r="P185" s="18"/>
      <c r="Q185" s="18"/>
      <c r="R185" s="3" t="str">
        <f>IF(OR(G185="12R",G185="12L"),_xlfn.XLOOKUP(C185,Tabla42[ADEP],Tabla42[SID 12R],""),IF(OR(G185="30L",G185="30R"),_xlfn.XLOOKUP(C185,Tabla42[ADEP],Tabla42[SID 30L],""),""))</f>
        <v/>
      </c>
      <c r="S185" s="3">
        <f t="shared" si="2"/>
        <v>0</v>
      </c>
      <c r="T185" s="3" t="str">
        <f>_xlfn.XLOOKUP(C185,Tabla42[ADEP],Tabla42[Sector],"")</f>
        <v/>
      </c>
    </row>
    <row r="186" spans="1:20" x14ac:dyDescent="0.2">
      <c r="A186" s="18"/>
      <c r="B186" s="18"/>
      <c r="C186" s="18"/>
      <c r="D186" s="18"/>
      <c r="E186" s="18"/>
      <c r="F186" s="19"/>
      <c r="G186" s="18"/>
      <c r="H186" s="18"/>
      <c r="I186" s="18"/>
      <c r="J186" s="18"/>
      <c r="K186" s="18"/>
      <c r="L186" s="18"/>
      <c r="M186" s="18"/>
      <c r="N186" s="19"/>
      <c r="O186" s="18"/>
      <c r="P186" s="18"/>
      <c r="Q186" s="18"/>
      <c r="R186" s="3" t="str">
        <f>IF(OR(G186="12R",G186="12L"),_xlfn.XLOOKUP(C186,Tabla42[ADEP],Tabla42[SID 12R],""),IF(OR(G186="30L",G186="30R"),_xlfn.XLOOKUP(C186,Tabla42[ADEP],Tabla42[SID 30L],""),""))</f>
        <v/>
      </c>
      <c r="S186" s="3">
        <f t="shared" si="2"/>
        <v>0</v>
      </c>
      <c r="T186" s="3" t="str">
        <f>_xlfn.XLOOKUP(C186,Tabla42[ADEP],Tabla42[Sector],"")</f>
        <v/>
      </c>
    </row>
    <row r="187" spans="1:20" x14ac:dyDescent="0.2">
      <c r="A187" s="18"/>
      <c r="B187" s="18"/>
      <c r="C187" s="18"/>
      <c r="D187" s="18"/>
      <c r="E187" s="18"/>
      <c r="F187" s="19"/>
      <c r="G187" s="18"/>
      <c r="H187" s="18"/>
      <c r="I187" s="18"/>
      <c r="J187" s="18"/>
      <c r="K187" s="18"/>
      <c r="L187" s="18"/>
      <c r="M187" s="18"/>
      <c r="N187" s="19"/>
      <c r="O187" s="18"/>
      <c r="P187" s="18"/>
      <c r="Q187" s="18"/>
      <c r="R187" s="3" t="str">
        <f>IF(OR(G187="12R",G187="12L"),_xlfn.XLOOKUP(C187,Tabla42[ADEP],Tabla42[SID 12R],""),IF(OR(G187="30L",G187="30R"),_xlfn.XLOOKUP(C187,Tabla42[ADEP],Tabla42[SID 30L],""),""))</f>
        <v/>
      </c>
      <c r="S187" s="3">
        <f t="shared" si="2"/>
        <v>0</v>
      </c>
      <c r="T187" s="3" t="str">
        <f>_xlfn.XLOOKUP(C187,Tabla42[ADEP],Tabla42[Sector],"")</f>
        <v/>
      </c>
    </row>
    <row r="188" spans="1:20" x14ac:dyDescent="0.2">
      <c r="A188" s="18"/>
      <c r="B188" s="18"/>
      <c r="C188" s="18"/>
      <c r="D188" s="18"/>
      <c r="E188" s="18"/>
      <c r="F188" s="19"/>
      <c r="G188" s="18"/>
      <c r="H188" s="18"/>
      <c r="I188" s="18"/>
      <c r="J188" s="18"/>
      <c r="K188" s="18"/>
      <c r="L188" s="18"/>
      <c r="M188" s="18"/>
      <c r="N188" s="19"/>
      <c r="O188" s="18"/>
      <c r="P188" s="18"/>
      <c r="Q188" s="18"/>
      <c r="R188" s="3" t="str">
        <f>IF(OR(G188="12R",G188="12L"),_xlfn.XLOOKUP(C188,Tabla42[ADEP],Tabla42[SID 12R],""),IF(OR(G188="30L",G188="30R"),_xlfn.XLOOKUP(C188,Tabla42[ADEP],Tabla42[SID 30L],""),""))</f>
        <v/>
      </c>
      <c r="S188" s="3">
        <f t="shared" si="2"/>
        <v>0</v>
      </c>
      <c r="T188" s="3" t="str">
        <f>_xlfn.XLOOKUP(C188,Tabla42[ADEP],Tabla42[Sector],"")</f>
        <v/>
      </c>
    </row>
    <row r="189" spans="1:20" x14ac:dyDescent="0.2">
      <c r="A189" s="18"/>
      <c r="B189" s="18"/>
      <c r="C189" s="18"/>
      <c r="D189" s="18"/>
      <c r="E189" s="18"/>
      <c r="F189" s="19"/>
      <c r="G189" s="18"/>
      <c r="H189" s="18"/>
      <c r="I189" s="18"/>
      <c r="J189" s="18"/>
      <c r="K189" s="18"/>
      <c r="L189" s="18"/>
      <c r="M189" s="18"/>
      <c r="N189" s="19"/>
      <c r="O189" s="18"/>
      <c r="P189" s="18"/>
      <c r="Q189" s="18"/>
      <c r="R189" s="3" t="str">
        <f>IF(OR(G189="12R",G189="12L"),_xlfn.XLOOKUP(C189,Tabla42[ADEP],Tabla42[SID 12R],""),IF(OR(G189="30L",G189="30R"),_xlfn.XLOOKUP(C189,Tabla42[ADEP],Tabla42[SID 30L],""),""))</f>
        <v/>
      </c>
      <c r="S189" s="3">
        <f t="shared" si="2"/>
        <v>0</v>
      </c>
      <c r="T189" s="3" t="str">
        <f>_xlfn.XLOOKUP(C189,Tabla42[ADEP],Tabla42[Sector],"")</f>
        <v/>
      </c>
    </row>
    <row r="190" spans="1:20" x14ac:dyDescent="0.2">
      <c r="A190" s="18"/>
      <c r="B190" s="18"/>
      <c r="C190" s="18"/>
      <c r="D190" s="18"/>
      <c r="E190" s="18"/>
      <c r="F190" s="19"/>
      <c r="G190" s="18"/>
      <c r="H190" s="18"/>
      <c r="I190" s="18"/>
      <c r="J190" s="18"/>
      <c r="K190" s="18"/>
      <c r="L190" s="18"/>
      <c r="M190" s="18"/>
      <c r="N190" s="19"/>
      <c r="O190" s="18"/>
      <c r="P190" s="18"/>
      <c r="Q190" s="18"/>
      <c r="R190" s="3" t="str">
        <f>IF(OR(G190="12R",G190="12L"),_xlfn.XLOOKUP(C190,Tabla42[ADEP],Tabla42[SID 12R],""),IF(OR(G190="30L",G190="30R"),_xlfn.XLOOKUP(C190,Tabla42[ADEP],Tabla42[SID 30L],""),""))</f>
        <v/>
      </c>
      <c r="S190" s="3">
        <f t="shared" si="2"/>
        <v>0</v>
      </c>
      <c r="T190" s="3" t="str">
        <f>_xlfn.XLOOKUP(C190,Tabla42[ADEP],Tabla42[Sector],"")</f>
        <v/>
      </c>
    </row>
    <row r="191" spans="1:20" x14ac:dyDescent="0.2">
      <c r="A191" s="18"/>
      <c r="B191" s="18"/>
      <c r="C191" s="18"/>
      <c r="D191" s="18"/>
      <c r="E191" s="18"/>
      <c r="F191" s="19"/>
      <c r="G191" s="18"/>
      <c r="H191" s="18"/>
      <c r="I191" s="18"/>
      <c r="J191" s="18"/>
      <c r="K191" s="18"/>
      <c r="L191" s="18"/>
      <c r="M191" s="18"/>
      <c r="N191" s="19"/>
      <c r="O191" s="18"/>
      <c r="P191" s="18"/>
      <c r="Q191" s="18"/>
      <c r="R191" s="3" t="str">
        <f>IF(OR(G191="12R",G191="12L"),_xlfn.XLOOKUP(C191,Tabla42[ADEP],Tabla42[SID 12R],""),IF(OR(G191="30L",G191="30R"),_xlfn.XLOOKUP(C191,Tabla42[ADEP],Tabla42[SID 30L],""),""))</f>
        <v/>
      </c>
      <c r="S191" s="3">
        <f t="shared" si="2"/>
        <v>0</v>
      </c>
      <c r="T191" s="3" t="str">
        <f>_xlfn.XLOOKUP(C191,Tabla42[ADEP],Tabla42[Sector],"")</f>
        <v/>
      </c>
    </row>
    <row r="192" spans="1:20" x14ac:dyDescent="0.2">
      <c r="A192" s="18"/>
      <c r="B192" s="18"/>
      <c r="C192" s="18"/>
      <c r="D192" s="18"/>
      <c r="E192" s="18"/>
      <c r="F192" s="19"/>
      <c r="G192" s="18"/>
      <c r="H192" s="18"/>
      <c r="I192" s="18"/>
      <c r="J192" s="18"/>
      <c r="K192" s="18"/>
      <c r="L192" s="18"/>
      <c r="M192" s="18"/>
      <c r="N192" s="19"/>
      <c r="O192" s="18"/>
      <c r="P192" s="18"/>
      <c r="Q192" s="18"/>
      <c r="R192" s="3" t="str">
        <f>IF(OR(G192="12R",G192="12L"),_xlfn.XLOOKUP(C192,Tabla42[ADEP],Tabla42[SID 12R],""),IF(OR(G192="30L",G192="30R"),_xlfn.XLOOKUP(C192,Tabla42[ADEP],Tabla42[SID 30L],""),""))</f>
        <v/>
      </c>
      <c r="S192" s="3">
        <f t="shared" si="2"/>
        <v>0</v>
      </c>
      <c r="T192" s="3" t="str">
        <f>_xlfn.XLOOKUP(C192,Tabla42[ADEP],Tabla42[Sector],"")</f>
        <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IF(OR(G193="12R",G193="12L"),_xlfn.XLOOKUP(C193,Tabla42[ADEP],Tabla42[SID 12R],""),IF(OR(G193="30L",G193="30R"),_xlfn.XLOOKUP(C193,Tabla42[ADEP],Tabla42[SID 30L],""),""))</f>
        <v/>
      </c>
      <c r="S193" s="3">
        <f t="shared" si="2"/>
        <v>0</v>
      </c>
      <c r="T193" s="3" t="str">
        <f>_xlfn.XLOOKUP(C193,Tabla42[ADEP],Tabla42[Sector],"")</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IF(OR(G194="12R",G194="12L"),_xlfn.XLOOKUP(C194,Tabla42[ADEP],Tabla42[SID 12R],""),IF(OR(G194="30L",G194="30R"),_xlfn.XLOOKUP(C194,Tabla42[ADEP],Tabla42[SID 30L],""),""))</f>
        <v/>
      </c>
      <c r="S194" s="3">
        <f t="shared" si="2"/>
        <v>0</v>
      </c>
      <c r="T194" s="3" t="str">
        <f>_xlfn.XLOOKUP(C194,Tabla42[ADEP],Tabla42[Sector],"")</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IF(OR(G195="12R",G195="12L"),_xlfn.XLOOKUP(C195,Tabla42[ADEP],Tabla42[SID 12R],""),IF(OR(G195="30L",G195="30R"),_xlfn.XLOOKUP(C195,Tabla42[ADEP],Tabla42[SID 30L],""),""))</f>
        <v/>
      </c>
      <c r="S195" s="3">
        <f t="shared" ref="S195:S220" si="3">HOUR(F195)</f>
        <v>0</v>
      </c>
      <c r="T195" s="3" t="str">
        <f>_xlfn.XLOOKUP(C195,Tabla42[ADEP],Tabla42[Sector],"")</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IF(OR(G196="12R",G196="12L"),_xlfn.XLOOKUP(C196,Tabla42[ADEP],Tabla42[SID 12R],""),IF(OR(G196="30L",G196="30R"),_xlfn.XLOOKUP(C196,Tabla42[ADEP],Tabla42[SID 30L],""),""))</f>
        <v/>
      </c>
      <c r="S196" s="3">
        <f t="shared" si="3"/>
        <v>0</v>
      </c>
      <c r="T196" s="3" t="str">
        <f>_xlfn.XLOOKUP(C196,Tabla42[ADEP],Tabla42[Sector],"")</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IF(OR(G197="12R",G197="12L"),_xlfn.XLOOKUP(C197,Tabla42[ADEP],Tabla42[SID 12R],""),IF(OR(G197="30L",G197="30R"),_xlfn.XLOOKUP(C197,Tabla42[ADEP],Tabla42[SID 30L],""),""))</f>
        <v/>
      </c>
      <c r="S197" s="3">
        <f t="shared" si="3"/>
        <v>0</v>
      </c>
      <c r="T197" s="3" t="str">
        <f>_xlfn.XLOOKUP(C197,Tabla42[ADEP],Tabla42[Sector],"")</f>
        <v/>
      </c>
    </row>
    <row r="198" spans="1: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1: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1: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1: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1: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1: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1: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1: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1: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1: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1: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0</v>
      </c>
      <c r="C227" s="8">
        <f t="shared" si="4"/>
        <v>0</v>
      </c>
      <c r="D227" s="8">
        <f t="shared" si="4"/>
        <v>0</v>
      </c>
      <c r="E227" s="8">
        <f t="shared" si="4"/>
        <v>0</v>
      </c>
      <c r="F227" s="8">
        <f t="shared" si="4"/>
        <v>0</v>
      </c>
      <c r="G227" s="8">
        <f t="shared" si="4"/>
        <v>0</v>
      </c>
      <c r="H227" s="8">
        <f t="shared" si="4"/>
        <v>1</v>
      </c>
      <c r="I227" s="9">
        <f t="shared" ref="I227:I235" si="5">SUM(B227:H227)</f>
        <v>1</v>
      </c>
    </row>
    <row r="228" spans="1:9" x14ac:dyDescent="0.2">
      <c r="A228" s="7">
        <v>15</v>
      </c>
      <c r="B228" s="8">
        <f t="shared" si="4"/>
        <v>0</v>
      </c>
      <c r="C228" s="8">
        <f t="shared" si="4"/>
        <v>1</v>
      </c>
      <c r="D228" s="8">
        <f t="shared" si="4"/>
        <v>0</v>
      </c>
      <c r="E228" s="8">
        <f t="shared" si="4"/>
        <v>0</v>
      </c>
      <c r="F228" s="8">
        <f t="shared" si="4"/>
        <v>1</v>
      </c>
      <c r="G228" s="8">
        <f t="shared" si="4"/>
        <v>0</v>
      </c>
      <c r="H228" s="8">
        <f t="shared" si="4"/>
        <v>6</v>
      </c>
      <c r="I228" s="9">
        <f t="shared" si="5"/>
        <v>8</v>
      </c>
    </row>
    <row r="229" spans="1:9" x14ac:dyDescent="0.2">
      <c r="A229" s="7">
        <v>16</v>
      </c>
      <c r="B229" s="8">
        <f t="shared" si="4"/>
        <v>1</v>
      </c>
      <c r="C229" s="8">
        <f t="shared" si="4"/>
        <v>2</v>
      </c>
      <c r="D229" s="8">
        <f t="shared" si="4"/>
        <v>0</v>
      </c>
      <c r="E229" s="8">
        <f t="shared" si="4"/>
        <v>0</v>
      </c>
      <c r="F229" s="8">
        <f t="shared" si="4"/>
        <v>3</v>
      </c>
      <c r="G229" s="8">
        <f t="shared" si="4"/>
        <v>4</v>
      </c>
      <c r="H229" s="8">
        <f t="shared" si="4"/>
        <v>6</v>
      </c>
      <c r="I229" s="9">
        <f t="shared" si="5"/>
        <v>16</v>
      </c>
    </row>
    <row r="230" spans="1:9" x14ac:dyDescent="0.2">
      <c r="A230" s="7">
        <v>17</v>
      </c>
      <c r="B230" s="8">
        <f t="shared" si="4"/>
        <v>0</v>
      </c>
      <c r="C230" s="8">
        <f t="shared" si="4"/>
        <v>4</v>
      </c>
      <c r="D230" s="8">
        <f t="shared" si="4"/>
        <v>0</v>
      </c>
      <c r="E230" s="8">
        <f t="shared" si="4"/>
        <v>2</v>
      </c>
      <c r="F230" s="8">
        <f t="shared" si="4"/>
        <v>1</v>
      </c>
      <c r="G230" s="8">
        <f t="shared" si="4"/>
        <v>1</v>
      </c>
      <c r="H230" s="8">
        <f t="shared" si="4"/>
        <v>5</v>
      </c>
      <c r="I230" s="9">
        <f t="shared" si="5"/>
        <v>13</v>
      </c>
    </row>
    <row r="231" spans="1:9" x14ac:dyDescent="0.2">
      <c r="A231" s="7">
        <v>18</v>
      </c>
      <c r="B231" s="8">
        <f t="shared" si="4"/>
        <v>1</v>
      </c>
      <c r="C231" s="8">
        <f t="shared" si="4"/>
        <v>7</v>
      </c>
      <c r="D231" s="8">
        <f t="shared" si="4"/>
        <v>0</v>
      </c>
      <c r="E231" s="8">
        <f t="shared" si="4"/>
        <v>0</v>
      </c>
      <c r="F231" s="8">
        <f t="shared" si="4"/>
        <v>7</v>
      </c>
      <c r="G231" s="8">
        <f t="shared" si="4"/>
        <v>1</v>
      </c>
      <c r="H231" s="8">
        <f t="shared" si="4"/>
        <v>5</v>
      </c>
      <c r="I231" s="9">
        <f t="shared" si="5"/>
        <v>21</v>
      </c>
    </row>
    <row r="232" spans="1:9" x14ac:dyDescent="0.2">
      <c r="A232" s="7">
        <v>19</v>
      </c>
      <c r="B232" s="8">
        <f t="shared" si="4"/>
        <v>1</v>
      </c>
      <c r="C232" s="8">
        <f t="shared" si="4"/>
        <v>2</v>
      </c>
      <c r="D232" s="8">
        <f t="shared" si="4"/>
        <v>0</v>
      </c>
      <c r="E232" s="8">
        <f t="shared" si="4"/>
        <v>3</v>
      </c>
      <c r="F232" s="8">
        <f t="shared" si="4"/>
        <v>2</v>
      </c>
      <c r="G232" s="8">
        <f t="shared" si="4"/>
        <v>1</v>
      </c>
      <c r="H232" s="8">
        <f t="shared" si="4"/>
        <v>8</v>
      </c>
      <c r="I232" s="9">
        <f t="shared" si="5"/>
        <v>17</v>
      </c>
    </row>
    <row r="233" spans="1:9" x14ac:dyDescent="0.2">
      <c r="A233" s="7">
        <v>20</v>
      </c>
      <c r="B233" s="8">
        <f t="shared" si="4"/>
        <v>1</v>
      </c>
      <c r="C233" s="8">
        <f t="shared" si="4"/>
        <v>4</v>
      </c>
      <c r="D233" s="8">
        <f t="shared" si="4"/>
        <v>0</v>
      </c>
      <c r="E233" s="8">
        <f t="shared" si="4"/>
        <v>1</v>
      </c>
      <c r="F233" s="8">
        <f t="shared" si="4"/>
        <v>5</v>
      </c>
      <c r="G233" s="8">
        <f t="shared" si="4"/>
        <v>0</v>
      </c>
      <c r="H233" s="8">
        <f t="shared" si="4"/>
        <v>5</v>
      </c>
      <c r="I233" s="9">
        <f t="shared" si="5"/>
        <v>16</v>
      </c>
    </row>
    <row r="234" spans="1:9" x14ac:dyDescent="0.2">
      <c r="A234" s="7">
        <v>21</v>
      </c>
      <c r="B234" s="8">
        <f t="shared" si="4"/>
        <v>1</v>
      </c>
      <c r="C234" s="8">
        <f t="shared" si="4"/>
        <v>1</v>
      </c>
      <c r="D234" s="8">
        <f t="shared" si="4"/>
        <v>0</v>
      </c>
      <c r="E234" s="8">
        <f t="shared" si="4"/>
        <v>3</v>
      </c>
      <c r="F234" s="8">
        <f t="shared" si="4"/>
        <v>2</v>
      </c>
      <c r="G234" s="8">
        <f t="shared" si="4"/>
        <v>1</v>
      </c>
      <c r="H234" s="8">
        <f t="shared" si="4"/>
        <v>9</v>
      </c>
      <c r="I234" s="9">
        <f t="shared" si="5"/>
        <v>17</v>
      </c>
    </row>
    <row r="235" spans="1:9" x14ac:dyDescent="0.2">
      <c r="A235" s="10">
        <v>22</v>
      </c>
      <c r="B235" s="11">
        <f t="shared" si="4"/>
        <v>0</v>
      </c>
      <c r="C235" s="11">
        <f t="shared" si="4"/>
        <v>1</v>
      </c>
      <c r="D235" s="11">
        <f t="shared" si="4"/>
        <v>0</v>
      </c>
      <c r="E235" s="11">
        <f t="shared" si="4"/>
        <v>0</v>
      </c>
      <c r="F235" s="11">
        <f t="shared" si="4"/>
        <v>0</v>
      </c>
      <c r="G235" s="11">
        <f t="shared" si="4"/>
        <v>1</v>
      </c>
      <c r="H235" s="11">
        <f t="shared" si="4"/>
        <v>7</v>
      </c>
      <c r="I235" s="12">
        <f t="shared" si="5"/>
        <v>9</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1</v>
      </c>
      <c r="C263" s="8">
        <f t="shared" si="6"/>
        <v>0</v>
      </c>
      <c r="D263" s="8">
        <f t="shared" si="6"/>
        <v>0</v>
      </c>
      <c r="E263" s="9">
        <f t="shared" ref="E263:E272" si="7">SUM(B263:D263)</f>
        <v>1</v>
      </c>
    </row>
    <row r="264" spans="1:9" x14ac:dyDescent="0.2">
      <c r="A264" s="7">
        <v>15</v>
      </c>
      <c r="B264" s="8">
        <f t="shared" si="6"/>
        <v>6</v>
      </c>
      <c r="C264" s="8">
        <f t="shared" si="6"/>
        <v>2</v>
      </c>
      <c r="D264" s="8">
        <f t="shared" si="6"/>
        <v>0</v>
      </c>
      <c r="E264" s="9">
        <f t="shared" si="7"/>
        <v>8</v>
      </c>
    </row>
    <row r="265" spans="1:9" x14ac:dyDescent="0.2">
      <c r="A265" s="7">
        <v>16</v>
      </c>
      <c r="B265" s="8">
        <f t="shared" si="6"/>
        <v>6</v>
      </c>
      <c r="C265" s="8">
        <f t="shared" si="6"/>
        <v>5</v>
      </c>
      <c r="D265" s="8">
        <f t="shared" si="6"/>
        <v>5</v>
      </c>
      <c r="E265" s="9">
        <f t="shared" si="7"/>
        <v>16</v>
      </c>
    </row>
    <row r="266" spans="1:9" x14ac:dyDescent="0.2">
      <c r="A266" s="7">
        <v>17</v>
      </c>
      <c r="B266" s="8">
        <f t="shared" si="6"/>
        <v>5</v>
      </c>
      <c r="C266" s="8">
        <f t="shared" si="6"/>
        <v>7</v>
      </c>
      <c r="D266" s="8">
        <f t="shared" si="6"/>
        <v>1</v>
      </c>
      <c r="E266" s="9">
        <f t="shared" si="7"/>
        <v>13</v>
      </c>
    </row>
    <row r="267" spans="1:9" x14ac:dyDescent="0.2">
      <c r="A267" s="7">
        <v>18</v>
      </c>
      <c r="B267" s="8">
        <f t="shared" si="6"/>
        <v>5</v>
      </c>
      <c r="C267" s="8">
        <f t="shared" si="6"/>
        <v>14</v>
      </c>
      <c r="D267" s="8">
        <f t="shared" si="6"/>
        <v>2</v>
      </c>
      <c r="E267" s="9">
        <f t="shared" si="7"/>
        <v>21</v>
      </c>
    </row>
    <row r="268" spans="1:9" x14ac:dyDescent="0.2">
      <c r="A268" s="7">
        <v>19</v>
      </c>
      <c r="B268" s="8">
        <f t="shared" si="6"/>
        <v>8</v>
      </c>
      <c r="C268" s="8">
        <f t="shared" si="6"/>
        <v>7</v>
      </c>
      <c r="D268" s="8">
        <f t="shared" si="6"/>
        <v>2</v>
      </c>
      <c r="E268" s="9">
        <f t="shared" si="7"/>
        <v>17</v>
      </c>
    </row>
    <row r="269" spans="1:9" x14ac:dyDescent="0.2">
      <c r="A269" s="7">
        <v>20</v>
      </c>
      <c r="B269" s="8">
        <f t="shared" si="6"/>
        <v>5</v>
      </c>
      <c r="C269" s="8">
        <f t="shared" si="6"/>
        <v>10</v>
      </c>
      <c r="D269" s="8">
        <f t="shared" si="6"/>
        <v>1</v>
      </c>
      <c r="E269" s="9">
        <f t="shared" si="7"/>
        <v>16</v>
      </c>
    </row>
    <row r="270" spans="1:9" x14ac:dyDescent="0.2">
      <c r="A270" s="7">
        <v>21</v>
      </c>
      <c r="B270" s="8">
        <f t="shared" si="6"/>
        <v>9</v>
      </c>
      <c r="C270" s="8">
        <f t="shared" si="6"/>
        <v>6</v>
      </c>
      <c r="D270" s="8">
        <f t="shared" si="6"/>
        <v>2</v>
      </c>
      <c r="E270" s="9">
        <f t="shared" si="7"/>
        <v>17</v>
      </c>
    </row>
    <row r="271" spans="1:9" x14ac:dyDescent="0.2">
      <c r="A271" s="7">
        <v>22</v>
      </c>
      <c r="B271" s="8">
        <f t="shared" si="6"/>
        <v>7</v>
      </c>
      <c r="C271" s="8">
        <f t="shared" si="6"/>
        <v>1</v>
      </c>
      <c r="D271" s="8">
        <f t="shared" si="6"/>
        <v>1</v>
      </c>
      <c r="E271" s="9">
        <f t="shared" si="7"/>
        <v>9</v>
      </c>
    </row>
    <row r="272" spans="1:9" x14ac:dyDescent="0.2">
      <c r="A272" s="10">
        <v>23</v>
      </c>
      <c r="B272" s="11">
        <f t="shared" si="6"/>
        <v>4</v>
      </c>
      <c r="C272" s="11">
        <f t="shared" si="6"/>
        <v>3</v>
      </c>
      <c r="D272" s="11">
        <f t="shared" si="6"/>
        <v>1</v>
      </c>
      <c r="E272" s="12">
        <f t="shared" si="7"/>
        <v>8</v>
      </c>
    </row>
  </sheetData>
  <mergeCells count="6">
    <mergeCell ref="A221:I221"/>
    <mergeCell ref="A223:I223"/>
    <mergeCell ref="A225:I225"/>
    <mergeCell ref="A258:I258"/>
    <mergeCell ref="A259:I259"/>
    <mergeCell ref="A261:E261"/>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5ED00-7E76-F348-B5C7-EC26C8E3359C}">
  <dimension ref="A1:T272"/>
  <sheetViews>
    <sheetView showGridLines="0" tabSelected="1" zoomScale="110" zoomScaleNormal="110" workbookViewId="0">
      <selection activeCell="A2" sqref="A2"/>
    </sheetView>
  </sheetViews>
  <sheetFormatPr baseColWidth="10" defaultRowHeight="16" x14ac:dyDescent="0.2"/>
  <cols>
    <col min="1" max="1" width="10" customWidth="1"/>
    <col min="2" max="3" width="7.5" customWidth="1"/>
    <col min="4" max="4" width="14" customWidth="1"/>
    <col min="5" max="5" width="20.1640625" customWidth="1"/>
    <col min="6" max="6" width="19" bestFit="1" customWidth="1"/>
    <col min="7" max="7" width="13.1640625" customWidth="1"/>
    <col min="8" max="8" width="46.6640625" customWidth="1"/>
    <col min="9" max="9" width="5.33203125" customWidth="1"/>
    <col min="10" max="10" width="11.83203125" customWidth="1"/>
    <col min="11" max="11" width="12.1640625" customWidth="1"/>
    <col min="12" max="12" width="21" customWidth="1"/>
    <col min="13" max="13" width="13.1640625" bestFit="1" customWidth="1"/>
    <col min="14" max="14" width="19" bestFit="1" customWidth="1"/>
    <col min="15" max="15" width="11.1640625" customWidth="1"/>
    <col min="16" max="16" width="6.5" customWidth="1"/>
    <col min="17" max="17" width="5.6640625"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938</v>
      </c>
      <c r="S1" s="1" t="s">
        <v>939</v>
      </c>
      <c r="T1" s="1" t="s">
        <v>944</v>
      </c>
    </row>
    <row r="2" spans="1:20" x14ac:dyDescent="0.2">
      <c r="A2" s="23" t="s">
        <v>336</v>
      </c>
      <c r="B2" s="23" t="s">
        <v>18</v>
      </c>
      <c r="C2" s="23" t="s">
        <v>290</v>
      </c>
      <c r="D2" s="23" t="s">
        <v>33</v>
      </c>
      <c r="E2" s="23" t="s">
        <v>4595</v>
      </c>
      <c r="F2" s="24">
        <v>46309.004560185182</v>
      </c>
      <c r="G2" s="23" t="s">
        <v>21</v>
      </c>
      <c r="H2" s="23" t="s">
        <v>4596</v>
      </c>
      <c r="I2" s="23">
        <v>330</v>
      </c>
      <c r="J2" s="23" t="s">
        <v>22</v>
      </c>
      <c r="K2" s="23" t="s">
        <v>23</v>
      </c>
      <c r="L2" s="23">
        <v>183</v>
      </c>
      <c r="M2" s="23" t="s">
        <v>4597</v>
      </c>
      <c r="N2" s="24">
        <v>46309.016238425924</v>
      </c>
      <c r="O2" s="23">
        <v>278</v>
      </c>
      <c r="P2" s="23" t="s">
        <v>25</v>
      </c>
      <c r="Q2" s="23">
        <v>190</v>
      </c>
      <c r="R2" s="3" t="str">
        <f>IF(OR(G2="12R",G2="12L"),_xlfn.XLOOKUP(C2,Tabla42[ADEP],Tabla42[SID 12R],""),IF(OR(G2="30L",G2="30R"),_xlfn.XLOOKUP(C2,Tabla42[ADEP],Tabla42[SID 30L],""),""))</f>
        <v>CZM</v>
      </c>
      <c r="S2" s="3">
        <f>HOUR(F2)</f>
        <v>0</v>
      </c>
      <c r="T2" s="3" t="str">
        <f>_xlfn.XLOOKUP(C2,Tabla42[ADEP],Tabla42[Sector],"")</f>
        <v>Sector 7</v>
      </c>
    </row>
    <row r="3" spans="1:20" x14ac:dyDescent="0.2">
      <c r="A3" s="23" t="s">
        <v>17</v>
      </c>
      <c r="B3" s="23" t="s">
        <v>18</v>
      </c>
      <c r="C3" s="23" t="s">
        <v>19</v>
      </c>
      <c r="D3" s="23" t="s">
        <v>33</v>
      </c>
      <c r="E3" s="23" t="s">
        <v>554</v>
      </c>
      <c r="F3" s="24">
        <v>46309.013379629629</v>
      </c>
      <c r="G3" s="23" t="s">
        <v>21</v>
      </c>
      <c r="H3" s="23" t="s">
        <v>4598</v>
      </c>
      <c r="I3" s="23">
        <v>340</v>
      </c>
      <c r="J3" s="23" t="s">
        <v>22</v>
      </c>
      <c r="K3" s="23" t="s">
        <v>23</v>
      </c>
      <c r="L3" s="23">
        <v>861</v>
      </c>
      <c r="M3" s="23" t="s">
        <v>561</v>
      </c>
      <c r="N3" s="24">
        <v>46309.057893518519</v>
      </c>
      <c r="O3" s="23">
        <v>340</v>
      </c>
      <c r="P3" s="23" t="s">
        <v>25</v>
      </c>
      <c r="Q3" s="23">
        <v>190</v>
      </c>
      <c r="R3" s="3" t="str">
        <f>IF(OR(G3="12R",G3="12L"),_xlfn.XLOOKUP(C3,Tabla42[ADEP],Tabla42[SID 12R],""),IF(OR(G3="30L",G3="30R"),_xlfn.XLOOKUP(C3,Tabla42[ADEP],Tabla42[SID 30L],""),""))</f>
        <v>UDGUV</v>
      </c>
      <c r="S3" s="3">
        <f t="shared" ref="S3:S66" si="0">HOUR(F3)</f>
        <v>0</v>
      </c>
      <c r="T3" s="3" t="str">
        <f>_xlfn.XLOOKUP(C3,Tabla42[ADEP],Tabla42[Sector],"")</f>
        <v>Sector 2</v>
      </c>
    </row>
    <row r="4" spans="1:20" x14ac:dyDescent="0.2">
      <c r="A4" s="23" t="s">
        <v>617</v>
      </c>
      <c r="B4" s="23" t="s">
        <v>18</v>
      </c>
      <c r="C4" s="23" t="s">
        <v>618</v>
      </c>
      <c r="D4" s="23" t="s">
        <v>38</v>
      </c>
      <c r="E4" s="23" t="s">
        <v>3796</v>
      </c>
      <c r="F4" s="24">
        <v>46309.023645833331</v>
      </c>
      <c r="G4" s="23" t="s">
        <v>21</v>
      </c>
      <c r="H4" s="23" t="s">
        <v>4599</v>
      </c>
      <c r="I4" s="23">
        <v>370</v>
      </c>
      <c r="J4" s="23" t="s">
        <v>22</v>
      </c>
      <c r="K4" s="23" t="s">
        <v>23</v>
      </c>
      <c r="L4" s="23">
        <v>135</v>
      </c>
      <c r="M4" s="23" t="s">
        <v>39</v>
      </c>
      <c r="N4" s="24">
        <v>46309.032812500001</v>
      </c>
      <c r="O4" s="23">
        <v>218</v>
      </c>
      <c r="P4" s="23" t="s">
        <v>40</v>
      </c>
      <c r="Q4" s="23">
        <v>190</v>
      </c>
      <c r="R4" s="3" t="str">
        <f>IF(OR(G4="12R",G4="12L"),_xlfn.XLOOKUP(C4,Tabla42[ADEP],Tabla42[SID 12R],""),IF(OR(G4="30L",G4="30R"),_xlfn.XLOOKUP(C4,Tabla42[ADEP],Tabla42[SID 30L],""),""))</f>
        <v>NUDAL</v>
      </c>
      <c r="S4" s="3">
        <f t="shared" si="0"/>
        <v>0</v>
      </c>
      <c r="T4" s="3" t="str">
        <f>_xlfn.XLOOKUP(C4,Tabla42[ADEP],Tabla42[Sector],"")</f>
        <v>Sector 3</v>
      </c>
    </row>
    <row r="5" spans="1:20" x14ac:dyDescent="0.2">
      <c r="A5" s="23" t="s">
        <v>31</v>
      </c>
      <c r="B5" s="23" t="s">
        <v>18</v>
      </c>
      <c r="C5" s="23" t="s">
        <v>32</v>
      </c>
      <c r="D5" s="23" t="s">
        <v>53</v>
      </c>
      <c r="E5" s="23" t="s">
        <v>734</v>
      </c>
      <c r="F5" s="24">
        <v>46309.025787037041</v>
      </c>
      <c r="G5" s="23" t="s">
        <v>21</v>
      </c>
      <c r="H5" s="23" t="s">
        <v>4600</v>
      </c>
      <c r="I5" s="23">
        <v>380</v>
      </c>
      <c r="J5" s="23" t="s">
        <v>22</v>
      </c>
      <c r="K5" s="23" t="s">
        <v>23</v>
      </c>
      <c r="L5" s="23">
        <v>870</v>
      </c>
      <c r="M5" s="23" t="s">
        <v>35</v>
      </c>
      <c r="N5" s="24">
        <v>46309.070150462961</v>
      </c>
      <c r="O5" s="23">
        <v>380</v>
      </c>
      <c r="P5" s="23" t="s">
        <v>25</v>
      </c>
      <c r="Q5" s="23">
        <v>190</v>
      </c>
      <c r="R5" s="3" t="str">
        <f>IF(OR(G5="12R",G5="12L"),_xlfn.XLOOKUP(C5,Tabla42[ADEP],Tabla42[SID 12R],""),IF(OR(G5="30L",G5="30R"),_xlfn.XLOOKUP(C5,Tabla42[ADEP],Tabla42[SID 30L],""),""))</f>
        <v>UDGUV</v>
      </c>
      <c r="S5" s="3">
        <f t="shared" si="0"/>
        <v>0</v>
      </c>
      <c r="T5" s="3" t="str">
        <f>_xlfn.XLOOKUP(C5,Tabla42[ADEP],Tabla42[Sector],"")</f>
        <v>Sector 2</v>
      </c>
    </row>
    <row r="6" spans="1:20" x14ac:dyDescent="0.2">
      <c r="A6" s="23" t="s">
        <v>337</v>
      </c>
      <c r="B6" s="23" t="s">
        <v>18</v>
      </c>
      <c r="C6" s="23" t="s">
        <v>27</v>
      </c>
      <c r="D6" s="23" t="s">
        <v>28</v>
      </c>
      <c r="E6" s="23" t="s">
        <v>4601</v>
      </c>
      <c r="F6" s="24">
        <v>46309.033159722225</v>
      </c>
      <c r="G6" s="23" t="s">
        <v>21</v>
      </c>
      <c r="H6" s="23" t="s">
        <v>4602</v>
      </c>
      <c r="I6" s="23">
        <v>380</v>
      </c>
      <c r="J6" s="23" t="s">
        <v>22</v>
      </c>
      <c r="K6" s="23" t="s">
        <v>23</v>
      </c>
      <c r="L6" s="23">
        <v>433</v>
      </c>
      <c r="M6" s="23" t="s">
        <v>189</v>
      </c>
      <c r="N6" s="24">
        <v>46309.057314814818</v>
      </c>
      <c r="O6" s="23">
        <v>380</v>
      </c>
      <c r="P6" s="23" t="s">
        <v>25</v>
      </c>
      <c r="Q6" s="23">
        <v>40</v>
      </c>
      <c r="R6" s="3" t="str">
        <f>IF(OR(G6="12R",G6="12L"),_xlfn.XLOOKUP(C6,Tabla42[ADEP],Tabla42[SID 12R],""),IF(OR(G6="30L",G6="30R"),_xlfn.XLOOKUP(C6,Tabla42[ADEP],Tabla42[SID 30L],""),""))</f>
        <v>OMSUK</v>
      </c>
      <c r="S6" s="3">
        <f t="shared" si="0"/>
        <v>0</v>
      </c>
      <c r="T6" s="3" t="str">
        <f>_xlfn.XLOOKUP(C6,Tabla42[ADEP],Tabla42[Sector],"")</f>
        <v>Sector 3</v>
      </c>
    </row>
    <row r="7" spans="1:20" x14ac:dyDescent="0.2">
      <c r="A7" s="23" t="s">
        <v>41</v>
      </c>
      <c r="B7" s="23" t="s">
        <v>18</v>
      </c>
      <c r="C7" s="23" t="s">
        <v>42</v>
      </c>
      <c r="D7" s="23" t="s">
        <v>43</v>
      </c>
      <c r="E7" s="23" t="s">
        <v>4603</v>
      </c>
      <c r="F7" s="24">
        <v>46309.042245370372</v>
      </c>
      <c r="G7" s="23" t="s">
        <v>21</v>
      </c>
      <c r="H7" s="23" t="s">
        <v>4604</v>
      </c>
      <c r="I7" s="23">
        <v>360</v>
      </c>
      <c r="J7" s="23" t="s">
        <v>22</v>
      </c>
      <c r="K7" s="23" t="s">
        <v>23</v>
      </c>
      <c r="L7" s="23">
        <v>859</v>
      </c>
      <c r="M7" s="23" t="s">
        <v>45</v>
      </c>
      <c r="N7" s="24">
        <v>46309.086273148147</v>
      </c>
      <c r="O7" s="23">
        <v>360</v>
      </c>
      <c r="P7" s="23" t="s">
        <v>25</v>
      </c>
      <c r="Q7" s="23">
        <v>190</v>
      </c>
      <c r="R7" s="3" t="str">
        <f>IF(OR(G7="12R",G7="12L"),_xlfn.XLOOKUP(C7,Tabla42[ADEP],Tabla42[SID 12R],""),IF(OR(G7="30L",G7="30R"),_xlfn.XLOOKUP(C7,Tabla42[ADEP],Tabla42[SID 30L],""),""))</f>
        <v>UDGUV</v>
      </c>
      <c r="S7" s="3">
        <f t="shared" si="0"/>
        <v>1</v>
      </c>
      <c r="T7" s="3" t="str">
        <f>_xlfn.XLOOKUP(C7,Tabla42[ADEP],Tabla42[Sector],"")</f>
        <v>Sector 2</v>
      </c>
    </row>
    <row r="8" spans="1:20" x14ac:dyDescent="0.2">
      <c r="A8" s="23" t="s">
        <v>56</v>
      </c>
      <c r="B8" s="23" t="s">
        <v>18</v>
      </c>
      <c r="C8" s="23" t="s">
        <v>42</v>
      </c>
      <c r="D8" s="23" t="s">
        <v>20</v>
      </c>
      <c r="E8" s="23" t="s">
        <v>3430</v>
      </c>
      <c r="F8" s="24">
        <v>46309.044282407405</v>
      </c>
      <c r="G8" s="23" t="s">
        <v>21</v>
      </c>
      <c r="H8" s="23" t="s">
        <v>71</v>
      </c>
      <c r="I8" s="23">
        <v>340</v>
      </c>
      <c r="J8" s="23" t="s">
        <v>22</v>
      </c>
      <c r="K8" s="23" t="s">
        <v>23</v>
      </c>
      <c r="L8" s="23">
        <v>859</v>
      </c>
      <c r="M8" s="23" t="s">
        <v>45</v>
      </c>
      <c r="N8" s="24">
        <v>46309.088784722226</v>
      </c>
      <c r="O8" s="23">
        <v>340</v>
      </c>
      <c r="P8" s="23" t="s">
        <v>25</v>
      </c>
      <c r="Q8" s="23">
        <v>190</v>
      </c>
      <c r="R8" s="3" t="str">
        <f>IF(OR(G8="12R",G8="12L"),_xlfn.XLOOKUP(C8,Tabla42[ADEP],Tabla42[SID 12R],""),IF(OR(G8="30L",G8="30R"),_xlfn.XLOOKUP(C8,Tabla42[ADEP],Tabla42[SID 30L],""),""))</f>
        <v>UDGUV</v>
      </c>
      <c r="S8" s="3">
        <f t="shared" si="0"/>
        <v>1</v>
      </c>
      <c r="T8" s="3" t="str">
        <f>_xlfn.XLOOKUP(C8,Tabla42[ADEP],Tabla42[Sector],"")</f>
        <v>Sector 2</v>
      </c>
    </row>
    <row r="9" spans="1:20" x14ac:dyDescent="0.2">
      <c r="A9" s="23" t="s">
        <v>4605</v>
      </c>
      <c r="B9" s="23" t="s">
        <v>18</v>
      </c>
      <c r="C9" s="23" t="s">
        <v>847</v>
      </c>
      <c r="D9" s="23" t="s">
        <v>4606</v>
      </c>
      <c r="E9" s="23" t="s">
        <v>4607</v>
      </c>
      <c r="F9" s="24">
        <v>46309.058287037034</v>
      </c>
      <c r="G9" s="23" t="s">
        <v>21</v>
      </c>
      <c r="H9" s="23" t="s">
        <v>4608</v>
      </c>
      <c r="I9" s="23">
        <v>350</v>
      </c>
      <c r="J9" s="23" t="s">
        <v>22</v>
      </c>
      <c r="K9" s="23" t="s">
        <v>23</v>
      </c>
      <c r="L9" s="23">
        <v>132</v>
      </c>
      <c r="M9" s="23" t="s">
        <v>68</v>
      </c>
      <c r="N9" s="24">
        <v>46309.067916666667</v>
      </c>
      <c r="O9" s="23">
        <v>277</v>
      </c>
      <c r="P9" s="23" t="s">
        <v>40</v>
      </c>
      <c r="Q9" s="23">
        <v>190</v>
      </c>
      <c r="R9" s="3" t="str">
        <f>IF(OR(G9="12R",G9="12L"),_xlfn.XLOOKUP(C9,Tabla42[ADEP],Tabla42[SID 12R],""),IF(OR(G9="30L",G9="30R"),_xlfn.XLOOKUP(C9,Tabla42[ADEP],Tabla42[SID 30L],""),""))</f>
        <v>NUDAL</v>
      </c>
      <c r="S9" s="3">
        <f t="shared" si="0"/>
        <v>1</v>
      </c>
      <c r="T9" s="3" t="str">
        <f>_xlfn.XLOOKUP(C9,Tabla42[ADEP],Tabla42[Sector],"")</f>
        <v>Sector 3</v>
      </c>
    </row>
    <row r="10" spans="1:20" x14ac:dyDescent="0.2">
      <c r="A10" s="23" t="s">
        <v>61</v>
      </c>
      <c r="B10" s="23" t="s">
        <v>18</v>
      </c>
      <c r="C10" s="23" t="s">
        <v>62</v>
      </c>
      <c r="D10" s="23" t="s">
        <v>344</v>
      </c>
      <c r="E10" s="23" t="s">
        <v>345</v>
      </c>
      <c r="F10" s="24">
        <v>46309.064004629632</v>
      </c>
      <c r="G10" s="23" t="s">
        <v>21</v>
      </c>
      <c r="H10" s="23" t="s">
        <v>4609</v>
      </c>
      <c r="I10" s="23">
        <v>340</v>
      </c>
      <c r="J10" s="23" t="s">
        <v>22</v>
      </c>
      <c r="K10" s="23" t="s">
        <v>23</v>
      </c>
      <c r="L10" s="23">
        <v>869</v>
      </c>
      <c r="M10" s="23" t="s">
        <v>167</v>
      </c>
      <c r="N10" s="24">
        <v>46309.107442129629</v>
      </c>
      <c r="O10" s="23">
        <v>340</v>
      </c>
      <c r="P10" s="23" t="s">
        <v>25</v>
      </c>
      <c r="Q10" s="23">
        <v>190</v>
      </c>
      <c r="R10" s="3" t="str">
        <f>IF(OR(G10="12R",G10="12L"),_xlfn.XLOOKUP(C10,Tabla42[ADEP],Tabla42[SID 12R],""),IF(OR(G10="30L",G10="30R"),_xlfn.XLOOKUP(C10,Tabla42[ADEP],Tabla42[SID 30L],""),""))</f>
        <v>UDGUV</v>
      </c>
      <c r="S10" s="3">
        <f t="shared" si="0"/>
        <v>1</v>
      </c>
      <c r="T10" s="3" t="str">
        <f>_xlfn.XLOOKUP(C10,Tabla42[ADEP],Tabla42[Sector],"")</f>
        <v>Sector 2</v>
      </c>
    </row>
    <row r="11" spans="1:20" x14ac:dyDescent="0.2">
      <c r="A11" s="23" t="s">
        <v>346</v>
      </c>
      <c r="B11" s="23" t="s">
        <v>18</v>
      </c>
      <c r="C11" s="23" t="s">
        <v>37</v>
      </c>
      <c r="D11" s="23" t="s">
        <v>340</v>
      </c>
      <c r="E11" s="23" t="s">
        <v>4610</v>
      </c>
      <c r="F11" s="24">
        <v>46309.070034722223</v>
      </c>
      <c r="G11" s="23" t="s">
        <v>21</v>
      </c>
      <c r="H11" s="23" t="s">
        <v>4611</v>
      </c>
      <c r="I11" s="23">
        <v>350</v>
      </c>
      <c r="J11" s="23" t="s">
        <v>22</v>
      </c>
      <c r="K11" s="23" t="s">
        <v>23</v>
      </c>
      <c r="L11" s="23">
        <v>136</v>
      </c>
      <c r="M11" s="23" t="s">
        <v>588</v>
      </c>
      <c r="N11" s="24">
        <v>46309.079953703702</v>
      </c>
      <c r="O11" s="23">
        <v>219</v>
      </c>
      <c r="P11" s="23" t="s">
        <v>40</v>
      </c>
      <c r="Q11" s="23">
        <v>190</v>
      </c>
      <c r="R11" s="3" t="str">
        <f>IF(OR(G11="12R",G11="12L"),_xlfn.XLOOKUP(C11,Tabla42[ADEP],Tabla42[SID 12R],""),IF(OR(G11="30L",G11="30R"),_xlfn.XLOOKUP(C11,Tabla42[ADEP],Tabla42[SID 30L],""),""))</f>
        <v>NUDAL</v>
      </c>
      <c r="S11" s="3">
        <f t="shared" si="0"/>
        <v>1</v>
      </c>
      <c r="T11" s="3" t="str">
        <f>_xlfn.XLOOKUP(C11,Tabla42[ADEP],Tabla42[Sector],"")</f>
        <v>Sector 3</v>
      </c>
    </row>
    <row r="12" spans="1:20" x14ac:dyDescent="0.2">
      <c r="A12" s="23" t="s">
        <v>46</v>
      </c>
      <c r="B12" s="23" t="s">
        <v>18</v>
      </c>
      <c r="C12" s="23" t="s">
        <v>47</v>
      </c>
      <c r="D12" s="23" t="s">
        <v>48</v>
      </c>
      <c r="E12" s="23" t="s">
        <v>416</v>
      </c>
      <c r="F12" s="24">
        <v>46309.074062500003</v>
      </c>
      <c r="G12" s="23" t="s">
        <v>21</v>
      </c>
      <c r="H12" s="23" t="s">
        <v>4612</v>
      </c>
      <c r="I12" s="23">
        <v>330</v>
      </c>
      <c r="J12" s="23" t="s">
        <v>22</v>
      </c>
      <c r="K12" s="23" t="s">
        <v>23</v>
      </c>
      <c r="L12" s="23">
        <v>135</v>
      </c>
      <c r="M12" s="23" t="s">
        <v>385</v>
      </c>
      <c r="N12" s="24">
        <v>46309.083993055552</v>
      </c>
      <c r="O12" s="23">
        <v>211</v>
      </c>
      <c r="P12" s="23" t="s">
        <v>40</v>
      </c>
      <c r="Q12" s="23">
        <v>190</v>
      </c>
      <c r="R12" s="3" t="str">
        <f>IF(OR(G12="12R",G12="12L"),_xlfn.XLOOKUP(C12,Tabla42[ADEP],Tabla42[SID 12R],""),IF(OR(G12="30L",G12="30R"),_xlfn.XLOOKUP(C12,Tabla42[ADEP],Tabla42[SID 30L],""),""))</f>
        <v>NUDAL</v>
      </c>
      <c r="S12" s="3">
        <f t="shared" si="0"/>
        <v>1</v>
      </c>
      <c r="T12" s="3" t="str">
        <f>_xlfn.XLOOKUP(C12,Tabla42[ADEP],Tabla42[Sector],"")</f>
        <v>Sector 3</v>
      </c>
    </row>
    <row r="13" spans="1:20" x14ac:dyDescent="0.2">
      <c r="A13" s="23" t="s">
        <v>64</v>
      </c>
      <c r="B13" s="23" t="s">
        <v>18</v>
      </c>
      <c r="C13" s="23" t="s">
        <v>65</v>
      </c>
      <c r="D13" s="23" t="s">
        <v>63</v>
      </c>
      <c r="E13" s="23" t="s">
        <v>66</v>
      </c>
      <c r="F13" s="24">
        <v>46309.090115740742</v>
      </c>
      <c r="G13" s="23" t="s">
        <v>21</v>
      </c>
      <c r="H13" s="23" t="s">
        <v>4613</v>
      </c>
      <c r="I13" s="23">
        <v>220</v>
      </c>
      <c r="J13" s="23" t="s">
        <v>22</v>
      </c>
      <c r="K13" s="23" t="s">
        <v>23</v>
      </c>
      <c r="L13" s="23">
        <v>355</v>
      </c>
      <c r="M13" s="23" t="s">
        <v>65</v>
      </c>
      <c r="N13" s="24">
        <v>46309.115972222222</v>
      </c>
      <c r="O13" s="23">
        <v>0</v>
      </c>
      <c r="P13" s="23" t="s">
        <v>25</v>
      </c>
      <c r="Q13" s="23">
        <v>190</v>
      </c>
      <c r="R13" s="3" t="str">
        <f>IF(OR(G13="12R",G13="12L"),_xlfn.XLOOKUP(C13,Tabla42[ADEP],Tabla42[SID 12R],""),IF(OR(G13="30L",G13="30R"),_xlfn.XLOOKUP(C13,Tabla42[ADEP],Tabla42[SID 30L],""),""))</f>
        <v>UDGUV</v>
      </c>
      <c r="S13" s="3">
        <f t="shared" si="0"/>
        <v>2</v>
      </c>
      <c r="T13" s="3" t="str">
        <f>_xlfn.XLOOKUP(C13,Tabla42[ADEP],Tabla42[Sector],"")</f>
        <v>Sector 2</v>
      </c>
    </row>
    <row r="14" spans="1:20" x14ac:dyDescent="0.2">
      <c r="A14" s="23" t="s">
        <v>2633</v>
      </c>
      <c r="B14" s="23" t="s">
        <v>18</v>
      </c>
      <c r="C14" s="23" t="s">
        <v>339</v>
      </c>
      <c r="D14" s="23" t="s">
        <v>340</v>
      </c>
      <c r="E14" s="23" t="s">
        <v>2634</v>
      </c>
      <c r="F14" s="24">
        <v>46309.098703703705</v>
      </c>
      <c r="G14" s="23" t="s">
        <v>21</v>
      </c>
      <c r="H14" s="23" t="s">
        <v>4614</v>
      </c>
      <c r="I14" s="23">
        <v>370</v>
      </c>
      <c r="J14" s="23" t="s">
        <v>22</v>
      </c>
      <c r="K14" s="23" t="s">
        <v>23</v>
      </c>
      <c r="L14" s="23">
        <v>132</v>
      </c>
      <c r="M14" s="23" t="s">
        <v>2960</v>
      </c>
      <c r="N14" s="24">
        <v>46309.108090277776</v>
      </c>
      <c r="O14" s="23">
        <v>230</v>
      </c>
      <c r="P14" s="23" t="s">
        <v>40</v>
      </c>
      <c r="Q14" s="23">
        <v>190</v>
      </c>
      <c r="R14" s="3" t="str">
        <f>IF(OR(G14="12R",G14="12L"),_xlfn.XLOOKUP(C14,Tabla42[ADEP],Tabla42[SID 12R],""),IF(OR(G14="30L",G14="30R"),_xlfn.XLOOKUP(C14,Tabla42[ADEP],Tabla42[SID 30L],""),""))</f>
        <v>NUDAL</v>
      </c>
      <c r="S14" s="3">
        <f t="shared" si="0"/>
        <v>2</v>
      </c>
      <c r="T14" s="3" t="str">
        <f>_xlfn.XLOOKUP(C14,Tabla42[ADEP],Tabla42[Sector],"")</f>
        <v>Sector 3</v>
      </c>
    </row>
    <row r="15" spans="1:20" x14ac:dyDescent="0.2">
      <c r="A15" s="23" t="s">
        <v>78</v>
      </c>
      <c r="B15" s="23" t="s">
        <v>18</v>
      </c>
      <c r="C15" s="23" t="s">
        <v>42</v>
      </c>
      <c r="D15" s="23" t="s">
        <v>60</v>
      </c>
      <c r="E15" s="23" t="s">
        <v>649</v>
      </c>
      <c r="F15" s="24">
        <v>46309.116493055553</v>
      </c>
      <c r="G15" s="23" t="s">
        <v>21</v>
      </c>
      <c r="H15" s="23" t="s">
        <v>4615</v>
      </c>
      <c r="I15" s="23">
        <v>360</v>
      </c>
      <c r="J15" s="23" t="s">
        <v>22</v>
      </c>
      <c r="K15" s="23" t="s">
        <v>23</v>
      </c>
      <c r="L15" s="23">
        <v>860</v>
      </c>
      <c r="M15" s="23" t="s">
        <v>540</v>
      </c>
      <c r="N15" s="24">
        <v>46309.159907407404</v>
      </c>
      <c r="O15" s="23">
        <v>360</v>
      </c>
      <c r="P15" s="23" t="s">
        <v>25</v>
      </c>
      <c r="Q15" s="23">
        <v>190</v>
      </c>
      <c r="R15" s="3" t="str">
        <f>IF(OR(G15="12R",G15="12L"),_xlfn.XLOOKUP(C15,Tabla42[ADEP],Tabla42[SID 12R],""),IF(OR(G15="30L",G15="30R"),_xlfn.XLOOKUP(C15,Tabla42[ADEP],Tabla42[SID 30L],""),""))</f>
        <v>UDGUV</v>
      </c>
      <c r="S15" s="3">
        <f t="shared" si="0"/>
        <v>2</v>
      </c>
      <c r="T15" s="3" t="str">
        <f>_xlfn.XLOOKUP(C15,Tabla42[ADEP],Tabla42[Sector],"")</f>
        <v>Sector 2</v>
      </c>
    </row>
    <row r="16" spans="1:20" x14ac:dyDescent="0.2">
      <c r="A16" s="23" t="s">
        <v>72</v>
      </c>
      <c r="B16" s="23" t="s">
        <v>18</v>
      </c>
      <c r="C16" s="23" t="s">
        <v>73</v>
      </c>
      <c r="D16" s="23" t="s">
        <v>63</v>
      </c>
      <c r="E16" s="23" t="s">
        <v>2359</v>
      </c>
      <c r="F16" s="24">
        <v>46309.118796296294</v>
      </c>
      <c r="G16" s="23" t="s">
        <v>21</v>
      </c>
      <c r="H16" s="23" t="s">
        <v>4616</v>
      </c>
      <c r="I16" s="23">
        <v>320</v>
      </c>
      <c r="J16" s="23" t="s">
        <v>22</v>
      </c>
      <c r="K16" s="23" t="s">
        <v>23</v>
      </c>
      <c r="L16" s="23">
        <v>727</v>
      </c>
      <c r="M16" s="23" t="s">
        <v>73</v>
      </c>
      <c r="N16" s="24">
        <v>46309.162418981483</v>
      </c>
      <c r="O16" s="23">
        <v>0</v>
      </c>
      <c r="P16" s="23" t="s">
        <v>25</v>
      </c>
      <c r="Q16" s="23">
        <v>190</v>
      </c>
      <c r="R16" s="3" t="str">
        <f>IF(OR(G16="12R",G16="12L"),_xlfn.XLOOKUP(C16,Tabla42[ADEP],Tabla42[SID 12R],""),IF(OR(G16="30L",G16="30R"),_xlfn.XLOOKUP(C16,Tabla42[ADEP],Tabla42[SID 30L],""),""))</f>
        <v>UDGUV</v>
      </c>
      <c r="S16" s="3">
        <f t="shared" si="0"/>
        <v>2</v>
      </c>
      <c r="T16" s="3" t="str">
        <f>_xlfn.XLOOKUP(C16,Tabla42[ADEP],Tabla42[Sector],"")</f>
        <v>Sector 2</v>
      </c>
    </row>
    <row r="17" spans="1:20" x14ac:dyDescent="0.2">
      <c r="A17" s="23" t="s">
        <v>69</v>
      </c>
      <c r="B17" s="23" t="s">
        <v>18</v>
      </c>
      <c r="C17" s="23" t="s">
        <v>42</v>
      </c>
      <c r="D17" s="23" t="s">
        <v>33</v>
      </c>
      <c r="E17" s="23" t="s">
        <v>456</v>
      </c>
      <c r="F17" s="24">
        <v>46309.124201388891</v>
      </c>
      <c r="G17" s="23" t="s">
        <v>21</v>
      </c>
      <c r="H17" s="23" t="s">
        <v>71</v>
      </c>
      <c r="I17" s="23">
        <v>360</v>
      </c>
      <c r="J17" s="23" t="s">
        <v>22</v>
      </c>
      <c r="K17" s="23" t="s">
        <v>23</v>
      </c>
      <c r="L17" s="23">
        <v>859</v>
      </c>
      <c r="M17" s="23" t="s">
        <v>45</v>
      </c>
      <c r="N17" s="24">
        <v>46309.16815972222</v>
      </c>
      <c r="O17" s="23">
        <v>360</v>
      </c>
      <c r="P17" s="23" t="s">
        <v>25</v>
      </c>
      <c r="Q17" s="23">
        <v>190</v>
      </c>
      <c r="R17" s="3" t="str">
        <f>IF(OR(G17="12R",G17="12L"),_xlfn.XLOOKUP(C17,Tabla42[ADEP],Tabla42[SID 12R],""),IF(OR(G17="30L",G17="30R"),_xlfn.XLOOKUP(C17,Tabla42[ADEP],Tabla42[SID 30L],""),""))</f>
        <v>UDGUV</v>
      </c>
      <c r="S17" s="3">
        <f t="shared" si="0"/>
        <v>2</v>
      </c>
      <c r="T17" s="3" t="str">
        <f>_xlfn.XLOOKUP(C17,Tabla42[ADEP],Tabla42[Sector],"")</f>
        <v>Sector 2</v>
      </c>
    </row>
    <row r="18" spans="1:20" x14ac:dyDescent="0.2">
      <c r="A18" s="23" t="s">
        <v>59</v>
      </c>
      <c r="B18" s="23" t="s">
        <v>18</v>
      </c>
      <c r="C18" s="23" t="s">
        <v>27</v>
      </c>
      <c r="D18" s="23" t="s">
        <v>60</v>
      </c>
      <c r="E18" s="23" t="s">
        <v>634</v>
      </c>
      <c r="F18" s="24">
        <v>46309.127962962964</v>
      </c>
      <c r="G18" s="23" t="s">
        <v>623</v>
      </c>
      <c r="H18" s="23" t="s">
        <v>4617</v>
      </c>
      <c r="I18" s="23">
        <v>340</v>
      </c>
      <c r="J18" s="23" t="s">
        <v>22</v>
      </c>
      <c r="K18" s="23" t="s">
        <v>23</v>
      </c>
      <c r="L18" s="23">
        <v>420</v>
      </c>
      <c r="M18" s="23" t="s">
        <v>189</v>
      </c>
      <c r="N18" s="24">
        <v>46309.15148148148</v>
      </c>
      <c r="O18" s="23">
        <v>340</v>
      </c>
      <c r="P18" s="23" t="s">
        <v>25</v>
      </c>
      <c r="Q18" s="23">
        <v>40</v>
      </c>
      <c r="R18" s="3" t="str">
        <f>IF(OR(G18="12R",G18="12L"),_xlfn.XLOOKUP(C18,Tabla42[ADEP],Tabla42[SID 12R],""),IF(OR(G18="30L",G18="30R"),_xlfn.XLOOKUP(C18,Tabla42[ADEP],Tabla42[SID 30L],""),""))</f>
        <v>OMSUK</v>
      </c>
      <c r="S18" s="3">
        <f t="shared" si="0"/>
        <v>3</v>
      </c>
      <c r="T18" s="3" t="str">
        <f>_xlfn.XLOOKUP(C18,Tabla42[ADEP],Tabla42[Sector],"")</f>
        <v>Sector 3</v>
      </c>
    </row>
    <row r="19" spans="1:20" x14ac:dyDescent="0.2">
      <c r="A19" s="23" t="s">
        <v>75</v>
      </c>
      <c r="B19" s="23" t="s">
        <v>18</v>
      </c>
      <c r="C19" s="23" t="s">
        <v>19</v>
      </c>
      <c r="D19" s="23" t="s">
        <v>53</v>
      </c>
      <c r="E19" s="23" t="s">
        <v>97</v>
      </c>
      <c r="F19" s="24">
        <v>46309.135740740741</v>
      </c>
      <c r="G19" s="23" t="s">
        <v>623</v>
      </c>
      <c r="H19" s="23" t="s">
        <v>4618</v>
      </c>
      <c r="I19" s="23">
        <v>380</v>
      </c>
      <c r="J19" s="23" t="s">
        <v>22</v>
      </c>
      <c r="K19" s="23" t="s">
        <v>23</v>
      </c>
      <c r="L19" s="23">
        <v>865</v>
      </c>
      <c r="M19" s="23" t="s">
        <v>2289</v>
      </c>
      <c r="N19" s="24">
        <v>46309.179571759261</v>
      </c>
      <c r="O19" s="23">
        <v>380</v>
      </c>
      <c r="P19" s="23" t="s">
        <v>25</v>
      </c>
      <c r="Q19" s="23">
        <v>190</v>
      </c>
      <c r="R19" s="3" t="str">
        <f>IF(OR(G19="12R",G19="12L"),_xlfn.XLOOKUP(C19,Tabla42[ADEP],Tabla42[SID 12R],""),IF(OR(G19="30L",G19="30R"),_xlfn.XLOOKUP(C19,Tabla42[ADEP],Tabla42[SID 30L],""),""))</f>
        <v>UDGUV</v>
      </c>
      <c r="S19" s="3">
        <f t="shared" si="0"/>
        <v>3</v>
      </c>
      <c r="T19" s="3" t="str">
        <f>_xlfn.XLOOKUP(C19,Tabla42[ADEP],Tabla42[Sector],"")</f>
        <v>Sector 2</v>
      </c>
    </row>
    <row r="20" spans="1:20" x14ac:dyDescent="0.2">
      <c r="A20" s="23" t="s">
        <v>86</v>
      </c>
      <c r="B20" s="23" t="s">
        <v>18</v>
      </c>
      <c r="C20" s="23" t="s">
        <v>42</v>
      </c>
      <c r="D20" s="23" t="s">
        <v>20</v>
      </c>
      <c r="E20" s="23" t="s">
        <v>2141</v>
      </c>
      <c r="F20" s="24">
        <v>46309.233101851853</v>
      </c>
      <c r="G20" s="23" t="s">
        <v>623</v>
      </c>
      <c r="H20" s="23" t="s">
        <v>4114</v>
      </c>
      <c r="I20" s="23">
        <v>360</v>
      </c>
      <c r="J20" s="23" t="s">
        <v>22</v>
      </c>
      <c r="K20" s="23" t="s">
        <v>23</v>
      </c>
      <c r="L20" s="23">
        <v>861</v>
      </c>
      <c r="M20" s="23" t="s">
        <v>45</v>
      </c>
      <c r="N20" s="24">
        <v>46309.276956018519</v>
      </c>
      <c r="O20" s="23">
        <v>360</v>
      </c>
      <c r="P20" s="23" t="s">
        <v>25</v>
      </c>
      <c r="Q20" s="23">
        <v>190</v>
      </c>
      <c r="R20" s="3" t="str">
        <f>IF(OR(G20="12R",G20="12L"),_xlfn.XLOOKUP(C20,Tabla42[ADEP],Tabla42[SID 12R],""),IF(OR(G20="30L",G20="30R"),_xlfn.XLOOKUP(C20,Tabla42[ADEP],Tabla42[SID 30L],""),""))</f>
        <v>UDGUV</v>
      </c>
      <c r="S20" s="3">
        <f t="shared" si="0"/>
        <v>5</v>
      </c>
      <c r="T20" s="3" t="str">
        <f>_xlfn.XLOOKUP(C20,Tabla42[ADEP],Tabla42[Sector],"")</f>
        <v>Sector 2</v>
      </c>
    </row>
    <row r="21" spans="1:20" x14ac:dyDescent="0.2">
      <c r="A21" s="23" t="s">
        <v>90</v>
      </c>
      <c r="B21" s="23" t="s">
        <v>18</v>
      </c>
      <c r="C21" s="23" t="s">
        <v>42</v>
      </c>
      <c r="D21" s="23" t="s">
        <v>20</v>
      </c>
      <c r="E21" s="23" t="s">
        <v>4619</v>
      </c>
      <c r="F21" s="24">
        <v>46309.438344907408</v>
      </c>
      <c r="G21" s="23" t="s">
        <v>623</v>
      </c>
      <c r="H21" s="23" t="s">
        <v>4620</v>
      </c>
      <c r="I21" s="23">
        <v>360</v>
      </c>
      <c r="J21" s="23" t="s">
        <v>22</v>
      </c>
      <c r="K21" s="23" t="s">
        <v>23</v>
      </c>
      <c r="L21" s="23">
        <v>861</v>
      </c>
      <c r="M21" s="23" t="s">
        <v>24</v>
      </c>
      <c r="N21" s="24">
        <v>46309.483414351853</v>
      </c>
      <c r="O21" s="23">
        <v>360</v>
      </c>
      <c r="P21" s="23" t="s">
        <v>25</v>
      </c>
      <c r="Q21" s="23">
        <v>190</v>
      </c>
      <c r="R21" s="3" t="str">
        <f>IF(OR(G21="12R",G21="12L"),_xlfn.XLOOKUP(C21,Tabla42[ADEP],Tabla42[SID 12R],""),IF(OR(G21="30L",G21="30R"),_xlfn.XLOOKUP(C21,Tabla42[ADEP],Tabla42[SID 30L],""),""))</f>
        <v>UDGUV</v>
      </c>
      <c r="S21" s="3">
        <f t="shared" si="0"/>
        <v>10</v>
      </c>
      <c r="T21" s="3" t="str">
        <f>_xlfn.XLOOKUP(C21,Tabla42[ADEP],Tabla42[Sector],"")</f>
        <v>Sector 2</v>
      </c>
    </row>
    <row r="22" spans="1:20" x14ac:dyDescent="0.2">
      <c r="A22" s="23" t="s">
        <v>100</v>
      </c>
      <c r="B22" s="23" t="s">
        <v>18</v>
      </c>
      <c r="C22" s="23" t="s">
        <v>42</v>
      </c>
      <c r="D22" s="23" t="s">
        <v>53</v>
      </c>
      <c r="E22" s="23" t="s">
        <v>3227</v>
      </c>
      <c r="F22" s="24">
        <v>46309.453634259262</v>
      </c>
      <c r="G22" s="23" t="s">
        <v>623</v>
      </c>
      <c r="H22" s="23" t="s">
        <v>4621</v>
      </c>
      <c r="I22" s="23">
        <v>380</v>
      </c>
      <c r="J22" s="23" t="s">
        <v>22</v>
      </c>
      <c r="K22" s="23" t="s">
        <v>23</v>
      </c>
      <c r="L22" s="23">
        <v>861</v>
      </c>
      <c r="M22" s="23" t="s">
        <v>45</v>
      </c>
      <c r="N22" s="24">
        <v>46309.496400462966</v>
      </c>
      <c r="O22" s="23">
        <v>380</v>
      </c>
      <c r="P22" s="23" t="s">
        <v>25</v>
      </c>
      <c r="Q22" s="23">
        <v>190</v>
      </c>
      <c r="R22" s="3" t="str">
        <f>IF(OR(G22="12R",G22="12L"),_xlfn.XLOOKUP(C22,Tabla42[ADEP],Tabla42[SID 12R],""),IF(OR(G22="30L",G22="30R"),_xlfn.XLOOKUP(C22,Tabla42[ADEP],Tabla42[SID 30L],""),""))</f>
        <v>UDGUV</v>
      </c>
      <c r="S22" s="3">
        <f t="shared" si="0"/>
        <v>10</v>
      </c>
      <c r="T22" s="3" t="str">
        <f>_xlfn.XLOOKUP(C22,Tabla42[ADEP],Tabla42[Sector],"")</f>
        <v>Sector 2</v>
      </c>
    </row>
    <row r="23" spans="1:20" x14ac:dyDescent="0.2">
      <c r="A23" s="23" t="s">
        <v>92</v>
      </c>
      <c r="B23" s="23" t="s">
        <v>18</v>
      </c>
      <c r="C23" s="23" t="s">
        <v>93</v>
      </c>
      <c r="D23" s="23" t="s">
        <v>20</v>
      </c>
      <c r="E23" s="23" t="s">
        <v>2024</v>
      </c>
      <c r="F23" s="24">
        <v>46309.463946759257</v>
      </c>
      <c r="G23" s="23" t="s">
        <v>623</v>
      </c>
      <c r="H23" s="23" t="s">
        <v>4622</v>
      </c>
      <c r="I23" s="23">
        <v>360</v>
      </c>
      <c r="J23" s="23" t="s">
        <v>22</v>
      </c>
      <c r="K23" s="23" t="s">
        <v>23</v>
      </c>
      <c r="L23" s="23">
        <v>893</v>
      </c>
      <c r="M23" s="23" t="s">
        <v>2983</v>
      </c>
      <c r="N23" s="24">
        <v>46309.509351851855</v>
      </c>
      <c r="O23" s="23">
        <v>237</v>
      </c>
      <c r="P23" s="23" t="s">
        <v>25</v>
      </c>
      <c r="Q23" s="23">
        <v>190</v>
      </c>
      <c r="R23" s="3" t="str">
        <f>IF(OR(G23="12R",G23="12L"),_xlfn.XLOOKUP(C23,Tabla42[ADEP],Tabla42[SID 12R],""),IF(OR(G23="30L",G23="30R"),_xlfn.XLOOKUP(C23,Tabla42[ADEP],Tabla42[SID 30L],""),""))</f>
        <v>UDGUV</v>
      </c>
      <c r="S23" s="3">
        <f t="shared" si="0"/>
        <v>11</v>
      </c>
      <c r="T23" s="3" t="str">
        <f>_xlfn.XLOOKUP(C23,Tabla42[ADEP],Tabla42[Sector],"")</f>
        <v>Sector 2</v>
      </c>
    </row>
    <row r="24" spans="1:20" x14ac:dyDescent="0.2">
      <c r="A24" s="23" t="s">
        <v>98</v>
      </c>
      <c r="B24" s="23" t="s">
        <v>18</v>
      </c>
      <c r="C24" s="23" t="s">
        <v>42</v>
      </c>
      <c r="D24" s="23" t="s">
        <v>43</v>
      </c>
      <c r="E24" s="23" t="s">
        <v>3213</v>
      </c>
      <c r="F24" s="24">
        <v>46309.466493055559</v>
      </c>
      <c r="G24" s="23" t="s">
        <v>623</v>
      </c>
      <c r="H24" s="23" t="s">
        <v>4623</v>
      </c>
      <c r="I24" s="23">
        <v>360</v>
      </c>
      <c r="J24" s="23" t="s">
        <v>22</v>
      </c>
      <c r="K24" s="23" t="s">
        <v>23</v>
      </c>
      <c r="L24" s="23">
        <v>861</v>
      </c>
      <c r="M24" s="23" t="s">
        <v>24</v>
      </c>
      <c r="N24" s="24">
        <v>46309.510347222225</v>
      </c>
      <c r="O24" s="23">
        <v>360</v>
      </c>
      <c r="P24" s="23" t="s">
        <v>25</v>
      </c>
      <c r="Q24" s="23">
        <v>190</v>
      </c>
      <c r="R24" s="3" t="str">
        <f>IF(OR(G24="12R",G24="12L"),_xlfn.XLOOKUP(C24,Tabla42[ADEP],Tabla42[SID 12R],""),IF(OR(G24="30L",G24="30R"),_xlfn.XLOOKUP(C24,Tabla42[ADEP],Tabla42[SID 30L],""),""))</f>
        <v>UDGUV</v>
      </c>
      <c r="S24" s="3">
        <f t="shared" si="0"/>
        <v>11</v>
      </c>
      <c r="T24" s="3" t="str">
        <f>_xlfn.XLOOKUP(C24,Tabla42[ADEP],Tabla42[Sector],"")</f>
        <v>Sector 2</v>
      </c>
    </row>
    <row r="25" spans="1:20" x14ac:dyDescent="0.2">
      <c r="A25" s="23" t="s">
        <v>2663</v>
      </c>
      <c r="B25" s="23" t="s">
        <v>18</v>
      </c>
      <c r="C25" s="23" t="s">
        <v>2664</v>
      </c>
      <c r="D25" s="23" t="s">
        <v>53</v>
      </c>
      <c r="E25" s="23" t="s">
        <v>393</v>
      </c>
      <c r="F25" s="24">
        <v>46309.472395833334</v>
      </c>
      <c r="G25" s="23" t="s">
        <v>623</v>
      </c>
      <c r="H25" s="23" t="s">
        <v>4624</v>
      </c>
      <c r="I25" s="23">
        <v>370</v>
      </c>
      <c r="J25" s="23" t="s">
        <v>22</v>
      </c>
      <c r="K25" s="23" t="s">
        <v>23</v>
      </c>
      <c r="L25" s="23">
        <v>136</v>
      </c>
      <c r="M25" s="23" t="s">
        <v>39</v>
      </c>
      <c r="N25" s="24">
        <v>46309.482233796298</v>
      </c>
      <c r="O25" s="23">
        <v>267</v>
      </c>
      <c r="P25" s="23" t="s">
        <v>25</v>
      </c>
      <c r="Q25" s="23">
        <v>190</v>
      </c>
      <c r="R25" s="3" t="str">
        <f>IF(OR(G25="12R",G25="12L"),_xlfn.XLOOKUP(C25,Tabla42[ADEP],Tabla42[SID 12R],""),IF(OR(G25="30L",G25="30R"),_xlfn.XLOOKUP(C25,Tabla42[ADEP],Tabla42[SID 30L],""),""))</f>
        <v/>
      </c>
      <c r="S25" s="3">
        <f t="shared" si="0"/>
        <v>11</v>
      </c>
      <c r="T25" s="3" t="str">
        <f>_xlfn.XLOOKUP(C25,Tabla42[ADEP],Tabla42[Sector],"")</f>
        <v/>
      </c>
    </row>
    <row r="26" spans="1:20" x14ac:dyDescent="0.2">
      <c r="A26" s="23" t="s">
        <v>95</v>
      </c>
      <c r="B26" s="23" t="s">
        <v>18</v>
      </c>
      <c r="C26" s="23" t="s">
        <v>96</v>
      </c>
      <c r="D26" s="23" t="s">
        <v>60</v>
      </c>
      <c r="E26" s="23" t="s">
        <v>529</v>
      </c>
      <c r="F26" s="24">
        <v>46309.473923611113</v>
      </c>
      <c r="G26" s="23" t="s">
        <v>623</v>
      </c>
      <c r="H26" s="23" t="s">
        <v>4625</v>
      </c>
      <c r="I26" s="23">
        <v>360</v>
      </c>
      <c r="J26" s="23" t="s">
        <v>22</v>
      </c>
      <c r="K26" s="23" t="s">
        <v>23</v>
      </c>
      <c r="L26" s="23">
        <v>862</v>
      </c>
      <c r="M26" s="23" t="s">
        <v>420</v>
      </c>
      <c r="N26" s="24">
        <v>46309.517581018517</v>
      </c>
      <c r="O26" s="23">
        <v>360</v>
      </c>
      <c r="P26" s="23" t="s">
        <v>25</v>
      </c>
      <c r="Q26" s="23">
        <v>190</v>
      </c>
      <c r="R26" s="3" t="str">
        <f>IF(OR(G26="12R",G26="12L"),_xlfn.XLOOKUP(C26,Tabla42[ADEP],Tabla42[SID 12R],""),IF(OR(G26="30L",G26="30R"),_xlfn.XLOOKUP(C26,Tabla42[ADEP],Tabla42[SID 30L],""),""))</f>
        <v>UDGUV</v>
      </c>
      <c r="S26" s="3">
        <f t="shared" si="0"/>
        <v>11</v>
      </c>
      <c r="T26" s="3" t="str">
        <f>_xlfn.XLOOKUP(C26,Tabla42[ADEP],Tabla42[Sector],"")</f>
        <v>Sector 2</v>
      </c>
    </row>
    <row r="27" spans="1:20" x14ac:dyDescent="0.2">
      <c r="A27" s="23" t="s">
        <v>101</v>
      </c>
      <c r="B27" s="23" t="s">
        <v>18</v>
      </c>
      <c r="C27" s="23" t="s">
        <v>102</v>
      </c>
      <c r="D27" s="23" t="s">
        <v>53</v>
      </c>
      <c r="E27" s="23" t="s">
        <v>106</v>
      </c>
      <c r="F27" s="24">
        <v>46309.498391203706</v>
      </c>
      <c r="G27" s="23" t="s">
        <v>623</v>
      </c>
      <c r="H27" s="23" t="s">
        <v>2670</v>
      </c>
      <c r="I27" s="23">
        <v>290</v>
      </c>
      <c r="J27" s="23" t="s">
        <v>22</v>
      </c>
      <c r="K27" s="23" t="s">
        <v>23</v>
      </c>
      <c r="L27" s="23">
        <v>132</v>
      </c>
      <c r="M27" s="23" t="s">
        <v>39</v>
      </c>
      <c r="N27" s="24">
        <v>46309.507754629631</v>
      </c>
      <c r="O27" s="23">
        <v>287</v>
      </c>
      <c r="P27" s="23" t="s">
        <v>25</v>
      </c>
      <c r="Q27" s="23">
        <v>190</v>
      </c>
      <c r="R27" s="3" t="str">
        <f>IF(OR(G27="12R",G27="12L"),_xlfn.XLOOKUP(C27,Tabla42[ADEP],Tabla42[SID 12R],""),IF(OR(G27="30L",G27="30R"),_xlfn.XLOOKUP(C27,Tabla42[ADEP],Tabla42[SID 30L],""),""))</f>
        <v>NUDAL</v>
      </c>
      <c r="S27" s="3">
        <f t="shared" si="0"/>
        <v>11</v>
      </c>
      <c r="T27" s="3" t="str">
        <f>_xlfn.XLOOKUP(C27,Tabla42[ADEP],Tabla42[Sector],"")</f>
        <v>Sector 3</v>
      </c>
    </row>
    <row r="28" spans="1:20" x14ac:dyDescent="0.2">
      <c r="A28" s="23" t="s">
        <v>105</v>
      </c>
      <c r="B28" s="23" t="s">
        <v>18</v>
      </c>
      <c r="C28" s="23" t="s">
        <v>32</v>
      </c>
      <c r="D28" s="23" t="s">
        <v>33</v>
      </c>
      <c r="E28" s="23" t="s">
        <v>368</v>
      </c>
      <c r="F28" s="24">
        <v>46309.503136574072</v>
      </c>
      <c r="G28" s="23" t="s">
        <v>623</v>
      </c>
      <c r="H28" s="23" t="s">
        <v>4626</v>
      </c>
      <c r="I28" s="23">
        <v>360</v>
      </c>
      <c r="J28" s="23" t="s">
        <v>22</v>
      </c>
      <c r="K28" s="23" t="s">
        <v>23</v>
      </c>
      <c r="L28" s="23">
        <v>864</v>
      </c>
      <c r="M28" s="23" t="s">
        <v>35</v>
      </c>
      <c r="N28" s="24">
        <v>46309.5465625</v>
      </c>
      <c r="O28" s="23">
        <v>360</v>
      </c>
      <c r="P28" s="23" t="s">
        <v>25</v>
      </c>
      <c r="Q28" s="23">
        <v>190</v>
      </c>
      <c r="R28" s="3" t="str">
        <f>IF(OR(G28="12R",G28="12L"),_xlfn.XLOOKUP(C28,Tabla42[ADEP],Tabla42[SID 12R],""),IF(OR(G28="30L",G28="30R"),_xlfn.XLOOKUP(C28,Tabla42[ADEP],Tabla42[SID 30L],""),""))</f>
        <v>UDGUV</v>
      </c>
      <c r="S28" s="3">
        <f t="shared" si="0"/>
        <v>12</v>
      </c>
      <c r="T28" s="3" t="str">
        <f>_xlfn.XLOOKUP(C28,Tabla42[ADEP],Tabla42[Sector],"")</f>
        <v>Sector 2</v>
      </c>
    </row>
    <row r="29" spans="1:20" x14ac:dyDescent="0.2">
      <c r="A29" s="23" t="s">
        <v>108</v>
      </c>
      <c r="B29" s="23" t="s">
        <v>18</v>
      </c>
      <c r="C29" s="23" t="s">
        <v>109</v>
      </c>
      <c r="D29" s="23" t="s">
        <v>122</v>
      </c>
      <c r="E29" s="23" t="s">
        <v>834</v>
      </c>
      <c r="F29" s="24">
        <v>46309.511712962965</v>
      </c>
      <c r="G29" s="23" t="s">
        <v>623</v>
      </c>
      <c r="H29" s="23" t="s">
        <v>4627</v>
      </c>
      <c r="I29" s="23">
        <v>350</v>
      </c>
      <c r="J29" s="23" t="s">
        <v>22</v>
      </c>
      <c r="K29" s="23" t="s">
        <v>23</v>
      </c>
      <c r="L29" s="23">
        <v>149</v>
      </c>
      <c r="M29" s="23" t="s">
        <v>111</v>
      </c>
      <c r="N29" s="24">
        <v>46309.52175925926</v>
      </c>
      <c r="O29" s="23">
        <v>280</v>
      </c>
      <c r="P29" s="23" t="s">
        <v>25</v>
      </c>
      <c r="Q29" s="23">
        <v>190</v>
      </c>
      <c r="R29" s="3" t="str">
        <f>IF(OR(G29="12R",G29="12L"),_xlfn.XLOOKUP(C29,Tabla42[ADEP],Tabla42[SID 12R],""),IF(OR(G29="30L",G29="30R"),_xlfn.XLOOKUP(C29,Tabla42[ADEP],Tabla42[SID 30L],""),""))</f>
        <v>TAKUX</v>
      </c>
      <c r="S29" s="3">
        <f t="shared" si="0"/>
        <v>12</v>
      </c>
      <c r="T29" s="3" t="str">
        <f>_xlfn.XLOOKUP(C29,Tabla42[ADEP],Tabla42[Sector],"")</f>
        <v>Sector 7</v>
      </c>
    </row>
    <row r="30" spans="1:20" x14ac:dyDescent="0.2">
      <c r="A30" s="23" t="s">
        <v>2381</v>
      </c>
      <c r="B30" s="23" t="s">
        <v>18</v>
      </c>
      <c r="C30" s="23" t="s">
        <v>121</v>
      </c>
      <c r="D30" s="23" t="s">
        <v>122</v>
      </c>
      <c r="E30" s="23" t="s">
        <v>4628</v>
      </c>
      <c r="F30" s="24">
        <v>46309.519155092596</v>
      </c>
      <c r="G30" s="23" t="s">
        <v>623</v>
      </c>
      <c r="H30" s="23" t="s">
        <v>4629</v>
      </c>
      <c r="I30" s="23">
        <v>360</v>
      </c>
      <c r="J30" s="23" t="s">
        <v>22</v>
      </c>
      <c r="K30" s="23" t="s">
        <v>23</v>
      </c>
      <c r="L30" s="23">
        <v>517</v>
      </c>
      <c r="M30" s="23" t="s">
        <v>123</v>
      </c>
      <c r="N30" s="24">
        <v>46309.547199074077</v>
      </c>
      <c r="O30" s="23">
        <v>360</v>
      </c>
      <c r="P30" s="23" t="s">
        <v>25</v>
      </c>
      <c r="Q30" s="23">
        <v>190</v>
      </c>
      <c r="R30" s="3" t="str">
        <f>IF(OR(G30="12R",G30="12L"),_xlfn.XLOOKUP(C30,Tabla42[ADEP],Tabla42[SID 12R],""),IF(OR(G30="30L",G30="30R"),_xlfn.XLOOKUP(C30,Tabla42[ADEP],Tabla42[SID 30L],""),""))</f>
        <v>ENEBA</v>
      </c>
      <c r="S30" s="3">
        <f t="shared" si="0"/>
        <v>12</v>
      </c>
      <c r="T30" s="3" t="str">
        <f>_xlfn.XLOOKUP(C30,Tabla42[ADEP],Tabla42[Sector],"")</f>
        <v>Sector 3</v>
      </c>
    </row>
    <row r="31" spans="1:20" x14ac:dyDescent="0.2">
      <c r="A31" s="23" t="s">
        <v>115</v>
      </c>
      <c r="B31" s="23" t="s">
        <v>18</v>
      </c>
      <c r="C31" s="23" t="s">
        <v>116</v>
      </c>
      <c r="D31" s="23" t="s">
        <v>117</v>
      </c>
      <c r="E31" s="23" t="s">
        <v>4630</v>
      </c>
      <c r="F31" s="24">
        <v>46309.545578703706</v>
      </c>
      <c r="G31" s="23" t="s">
        <v>623</v>
      </c>
      <c r="H31" s="23" t="s">
        <v>4631</v>
      </c>
      <c r="I31" s="23">
        <v>360</v>
      </c>
      <c r="J31" s="23" t="s">
        <v>22</v>
      </c>
      <c r="K31" s="23" t="s">
        <v>23</v>
      </c>
      <c r="L31" s="23">
        <v>523</v>
      </c>
      <c r="M31" s="23" t="s">
        <v>123</v>
      </c>
      <c r="N31" s="24">
        <v>46309.573206018518</v>
      </c>
      <c r="O31" s="23">
        <v>360</v>
      </c>
      <c r="P31" s="23" t="s">
        <v>25</v>
      </c>
      <c r="Q31" s="23">
        <v>190</v>
      </c>
      <c r="R31" s="3" t="str">
        <f>IF(OR(G31="12R",G31="12L"),_xlfn.XLOOKUP(C31,Tabla42[ADEP],Tabla42[SID 12R],""),IF(OR(G31="30L",G31="30R"),_xlfn.XLOOKUP(C31,Tabla42[ADEP],Tabla42[SID 30L],""),""))</f>
        <v>ENEBA</v>
      </c>
      <c r="S31" s="3">
        <f t="shared" si="0"/>
        <v>13</v>
      </c>
      <c r="T31" s="3" t="str">
        <f>_xlfn.XLOOKUP(C31,Tabla42[ADEP],Tabla42[Sector],"")</f>
        <v>Sector 3</v>
      </c>
    </row>
    <row r="32" spans="1:20" x14ac:dyDescent="0.2">
      <c r="A32" s="23" t="s">
        <v>119</v>
      </c>
      <c r="B32" s="23" t="s">
        <v>18</v>
      </c>
      <c r="C32" s="23" t="s">
        <v>42</v>
      </c>
      <c r="D32" s="23" t="s">
        <v>43</v>
      </c>
      <c r="E32" s="23" t="s">
        <v>2377</v>
      </c>
      <c r="F32" s="24">
        <v>46309.549432870372</v>
      </c>
      <c r="G32" s="23" t="s">
        <v>21</v>
      </c>
      <c r="H32" s="23" t="s">
        <v>4632</v>
      </c>
      <c r="I32" s="23">
        <v>360</v>
      </c>
      <c r="J32" s="23" t="s">
        <v>22</v>
      </c>
      <c r="K32" s="23" t="s">
        <v>23</v>
      </c>
      <c r="L32" s="23">
        <v>858</v>
      </c>
      <c r="M32" s="23" t="s">
        <v>45</v>
      </c>
      <c r="N32" s="24">
        <v>46309.593252314815</v>
      </c>
      <c r="O32" s="23">
        <v>360</v>
      </c>
      <c r="P32" s="23" t="s">
        <v>25</v>
      </c>
      <c r="Q32" s="23">
        <v>190</v>
      </c>
      <c r="R32" s="3" t="str">
        <f>IF(OR(G32="12R",G32="12L"),_xlfn.XLOOKUP(C32,Tabla42[ADEP],Tabla42[SID 12R],""),IF(OR(G32="30L",G32="30R"),_xlfn.XLOOKUP(C32,Tabla42[ADEP],Tabla42[SID 30L],""),""))</f>
        <v>UDGUV</v>
      </c>
      <c r="S32" s="3">
        <f t="shared" si="0"/>
        <v>13</v>
      </c>
      <c r="T32" s="3" t="str">
        <f>_xlfn.XLOOKUP(C32,Tabla42[ADEP],Tabla42[Sector],"")</f>
        <v>Sector 2</v>
      </c>
    </row>
    <row r="33" spans="1:20" x14ac:dyDescent="0.2">
      <c r="A33" s="23" t="s">
        <v>125</v>
      </c>
      <c r="B33" s="23" t="s">
        <v>18</v>
      </c>
      <c r="C33" s="23" t="s">
        <v>126</v>
      </c>
      <c r="D33" s="23" t="s">
        <v>122</v>
      </c>
      <c r="E33" s="23" t="s">
        <v>4633</v>
      </c>
      <c r="F33" s="24">
        <v>46309.55027777778</v>
      </c>
      <c r="G33" s="23" t="s">
        <v>21</v>
      </c>
      <c r="H33" s="23" t="s">
        <v>4634</v>
      </c>
      <c r="I33" s="23">
        <v>370</v>
      </c>
      <c r="J33" s="23" t="s">
        <v>22</v>
      </c>
      <c r="K33" s="23" t="s">
        <v>23</v>
      </c>
      <c r="L33" s="23">
        <v>356</v>
      </c>
      <c r="M33" s="23" t="s">
        <v>30</v>
      </c>
      <c r="N33" s="24">
        <v>46309.570821759262</v>
      </c>
      <c r="O33" s="23">
        <v>370</v>
      </c>
      <c r="P33" s="23" t="s">
        <v>25</v>
      </c>
      <c r="Q33" s="23">
        <v>40</v>
      </c>
      <c r="R33" s="3" t="str">
        <f>IF(OR(G33="12R",G33="12L"),_xlfn.XLOOKUP(C33,Tabla42[ADEP],Tabla42[SID 12R],""),IF(OR(G33="30L",G33="30R"),_xlfn.XLOOKUP(C33,Tabla42[ADEP],Tabla42[SID 30L],""),""))</f>
        <v>ENEBA</v>
      </c>
      <c r="S33" s="3">
        <f t="shared" si="0"/>
        <v>13</v>
      </c>
      <c r="T33" s="3" t="str">
        <f>_xlfn.XLOOKUP(C33,Tabla42[ADEP],Tabla42[Sector],"")</f>
        <v>Sector 3</v>
      </c>
    </row>
    <row r="34" spans="1:20" x14ac:dyDescent="0.2">
      <c r="A34" s="23" t="s">
        <v>107</v>
      </c>
      <c r="B34" s="23" t="s">
        <v>18</v>
      </c>
      <c r="C34" s="23" t="s">
        <v>42</v>
      </c>
      <c r="D34" s="23" t="s">
        <v>122</v>
      </c>
      <c r="E34" s="23" t="s">
        <v>553</v>
      </c>
      <c r="F34" s="24">
        <v>46309.554120370369</v>
      </c>
      <c r="G34" s="23" t="s">
        <v>623</v>
      </c>
      <c r="H34" s="23" t="s">
        <v>4635</v>
      </c>
      <c r="I34" s="23">
        <v>380</v>
      </c>
      <c r="J34" s="23" t="s">
        <v>22</v>
      </c>
      <c r="K34" s="23" t="s">
        <v>23</v>
      </c>
      <c r="L34" s="23">
        <v>876</v>
      </c>
      <c r="M34" s="23" t="s">
        <v>45</v>
      </c>
      <c r="N34" s="24">
        <v>46309.59820601852</v>
      </c>
      <c r="O34" s="23">
        <v>380</v>
      </c>
      <c r="P34" s="23" t="s">
        <v>25</v>
      </c>
      <c r="Q34" s="23">
        <v>190</v>
      </c>
      <c r="R34" s="3" t="str">
        <f>IF(OR(G34="12R",G34="12L"),_xlfn.XLOOKUP(C34,Tabla42[ADEP],Tabla42[SID 12R],""),IF(OR(G34="30L",G34="30R"),_xlfn.XLOOKUP(C34,Tabla42[ADEP],Tabla42[SID 30L],""),""))</f>
        <v>UDGUV</v>
      </c>
      <c r="S34" s="3">
        <f t="shared" si="0"/>
        <v>13</v>
      </c>
      <c r="T34" s="3" t="str">
        <f>_xlfn.XLOOKUP(C34,Tabla42[ADEP],Tabla42[Sector],"")</f>
        <v>Sector 2</v>
      </c>
    </row>
    <row r="35" spans="1:20" x14ac:dyDescent="0.2">
      <c r="A35" s="23" t="s">
        <v>173</v>
      </c>
      <c r="B35" s="23" t="s">
        <v>18</v>
      </c>
      <c r="C35" s="23" t="s">
        <v>18</v>
      </c>
      <c r="D35" s="23" t="s">
        <v>174</v>
      </c>
      <c r="E35" s="23"/>
      <c r="F35" s="24">
        <v>46309.581759259258</v>
      </c>
      <c r="G35" s="23" t="s">
        <v>21</v>
      </c>
      <c r="H35" s="23" t="s">
        <v>4636</v>
      </c>
      <c r="I35" s="23">
        <v>15</v>
      </c>
      <c r="J35" s="23" t="s">
        <v>130</v>
      </c>
      <c r="K35" s="23" t="s">
        <v>50</v>
      </c>
      <c r="L35" s="23">
        <v>167</v>
      </c>
      <c r="M35" s="23" t="s">
        <v>18</v>
      </c>
      <c r="N35" s="24">
        <v>46309.688333333332</v>
      </c>
      <c r="O35" s="23">
        <v>0</v>
      </c>
      <c r="P35" s="23" t="s">
        <v>129</v>
      </c>
      <c r="Q35" s="23">
        <v>15</v>
      </c>
      <c r="R35" s="3" t="str">
        <f>IF(OR(G35="12R",G35="12L"),_xlfn.XLOOKUP(C35,Tabla42[ADEP],Tabla42[SID 12R],""),IF(OR(G35="30L",G35="30R"),_xlfn.XLOOKUP(C35,Tabla42[ADEP],Tabla42[SID 30L],""),""))</f>
        <v/>
      </c>
      <c r="S35" s="3">
        <f t="shared" si="0"/>
        <v>13</v>
      </c>
      <c r="T35" s="3" t="str">
        <f>_xlfn.XLOOKUP(C35,Tabla42[ADEP],Tabla42[Sector],"")</f>
        <v/>
      </c>
    </row>
    <row r="36" spans="1:20" x14ac:dyDescent="0.2">
      <c r="A36" s="23" t="s">
        <v>127</v>
      </c>
      <c r="B36" s="23" t="s">
        <v>18</v>
      </c>
      <c r="C36" s="23" t="s">
        <v>128</v>
      </c>
      <c r="D36" s="23" t="s">
        <v>43</v>
      </c>
      <c r="E36" s="23" t="s">
        <v>4637</v>
      </c>
      <c r="F36" s="24">
        <v>46309.583738425928</v>
      </c>
      <c r="G36" s="23" t="s">
        <v>21</v>
      </c>
      <c r="H36" s="23" t="s">
        <v>4638</v>
      </c>
      <c r="I36" s="23">
        <v>330</v>
      </c>
      <c r="J36" s="23" t="s">
        <v>22</v>
      </c>
      <c r="K36" s="23" t="s">
        <v>23</v>
      </c>
      <c r="L36" s="23">
        <v>359</v>
      </c>
      <c r="M36" s="23" t="s">
        <v>30</v>
      </c>
      <c r="N36" s="24">
        <v>46309.604375000003</v>
      </c>
      <c r="O36" s="23">
        <v>330</v>
      </c>
      <c r="P36" s="23" t="s">
        <v>25</v>
      </c>
      <c r="Q36" s="23">
        <v>40</v>
      </c>
      <c r="R36" s="3" t="str">
        <f>IF(OR(G36="12R",G36="12L"),_xlfn.XLOOKUP(C36,Tabla42[ADEP],Tabla42[SID 12R],""),IF(OR(G36="30L",G36="30R"),_xlfn.XLOOKUP(C36,Tabla42[ADEP],Tabla42[SID 30L],""),""))</f>
        <v>OMSUK</v>
      </c>
      <c r="S36" s="3">
        <f t="shared" si="0"/>
        <v>14</v>
      </c>
      <c r="T36" s="3" t="str">
        <f>_xlfn.XLOOKUP(C36,Tabla42[ADEP],Tabla42[Sector],"")</f>
        <v>Sector 3</v>
      </c>
    </row>
    <row r="37" spans="1:20" x14ac:dyDescent="0.2">
      <c r="A37" s="23" t="s">
        <v>2076</v>
      </c>
      <c r="B37" s="23" t="s">
        <v>18</v>
      </c>
      <c r="C37" s="23" t="s">
        <v>18</v>
      </c>
      <c r="D37" s="23" t="s">
        <v>2077</v>
      </c>
      <c r="E37" s="23"/>
      <c r="F37" s="24">
        <v>46309.586157407408</v>
      </c>
      <c r="G37" s="23" t="s">
        <v>21</v>
      </c>
      <c r="H37" s="23" t="s">
        <v>4639</v>
      </c>
      <c r="I37" s="23">
        <v>15</v>
      </c>
      <c r="J37" s="23" t="s">
        <v>130</v>
      </c>
      <c r="K37" s="23" t="s">
        <v>50</v>
      </c>
      <c r="L37" s="23">
        <v>79</v>
      </c>
      <c r="M37" s="23" t="s">
        <v>18</v>
      </c>
      <c r="N37" s="24">
        <v>46309.618668981479</v>
      </c>
      <c r="O37" s="23">
        <v>0</v>
      </c>
      <c r="P37" s="23" t="s">
        <v>129</v>
      </c>
      <c r="Q37" s="23">
        <v>15</v>
      </c>
      <c r="R37" s="3" t="str">
        <f>IF(OR(G37="12R",G37="12L"),_xlfn.XLOOKUP(C37,Tabla42[ADEP],Tabla42[SID 12R],""),IF(OR(G37="30L",G37="30R"),_xlfn.XLOOKUP(C37,Tabla42[ADEP],Tabla42[SID 30L],""),""))</f>
        <v/>
      </c>
      <c r="S37" s="3">
        <f t="shared" si="0"/>
        <v>14</v>
      </c>
      <c r="T37" s="3" t="str">
        <f>_xlfn.XLOOKUP(C37,Tabla42[ADEP],Tabla42[Sector],"")</f>
        <v/>
      </c>
    </row>
    <row r="38" spans="1:20" x14ac:dyDescent="0.2">
      <c r="A38" s="23" t="s">
        <v>680</v>
      </c>
      <c r="B38" s="23" t="s">
        <v>18</v>
      </c>
      <c r="C38" s="23" t="s">
        <v>49</v>
      </c>
      <c r="D38" s="23" t="s">
        <v>689</v>
      </c>
      <c r="E38" s="23"/>
      <c r="F38" s="24">
        <v>46309.596666666665</v>
      </c>
      <c r="G38" s="23" t="s">
        <v>21</v>
      </c>
      <c r="H38" s="23" t="s">
        <v>4640</v>
      </c>
      <c r="I38" s="23">
        <v>430</v>
      </c>
      <c r="J38" s="23" t="s">
        <v>22</v>
      </c>
      <c r="K38" s="23" t="s">
        <v>50</v>
      </c>
      <c r="L38" s="23">
        <v>850</v>
      </c>
      <c r="M38" s="23" t="s">
        <v>45</v>
      </c>
      <c r="N38" s="24">
        <v>46309.641203703701</v>
      </c>
      <c r="O38" s="23">
        <v>430</v>
      </c>
      <c r="P38" s="23" t="s">
        <v>25</v>
      </c>
      <c r="Q38" s="23">
        <v>30</v>
      </c>
      <c r="R38" s="3" t="str">
        <f>IF(OR(G38="12R",G38="12L"),_xlfn.XLOOKUP(C38,Tabla42[ADEP],Tabla42[SID 12R],""),IF(OR(G38="30L",G38="30R"),_xlfn.XLOOKUP(C38,Tabla42[ADEP],Tabla42[SID 30L],""),""))</f>
        <v>UDGUV</v>
      </c>
      <c r="S38" s="3">
        <f t="shared" si="0"/>
        <v>14</v>
      </c>
      <c r="T38" s="3" t="str">
        <f>_xlfn.XLOOKUP(C38,Tabla42[ADEP],Tabla42[Sector],"")</f>
        <v>Sector 2</v>
      </c>
    </row>
    <row r="39" spans="1:20" x14ac:dyDescent="0.2">
      <c r="A39" s="23" t="s">
        <v>131</v>
      </c>
      <c r="B39" s="23" t="s">
        <v>18</v>
      </c>
      <c r="C39" s="23" t="s">
        <v>42</v>
      </c>
      <c r="D39" s="23" t="s">
        <v>43</v>
      </c>
      <c r="E39" s="23" t="s">
        <v>2727</v>
      </c>
      <c r="F39" s="24">
        <v>46309.601423611108</v>
      </c>
      <c r="G39" s="23" t="s">
        <v>21</v>
      </c>
      <c r="H39" s="23" t="s">
        <v>4641</v>
      </c>
      <c r="I39" s="23">
        <v>360</v>
      </c>
      <c r="J39" s="23" t="s">
        <v>22</v>
      </c>
      <c r="K39" s="23" t="s">
        <v>23</v>
      </c>
      <c r="L39" s="23">
        <v>857</v>
      </c>
      <c r="M39" s="23" t="s">
        <v>45</v>
      </c>
      <c r="N39" s="24">
        <v>46309.645567129628</v>
      </c>
      <c r="O39" s="23">
        <v>360</v>
      </c>
      <c r="P39" s="23" t="s">
        <v>25</v>
      </c>
      <c r="Q39" s="23">
        <v>190</v>
      </c>
      <c r="R39" s="3" t="str">
        <f>IF(OR(G39="12R",G39="12L"),_xlfn.XLOOKUP(C39,Tabla42[ADEP],Tabla42[SID 12R],""),IF(OR(G39="30L",G39="30R"),_xlfn.XLOOKUP(C39,Tabla42[ADEP],Tabla42[SID 30L],""),""))</f>
        <v>UDGUV</v>
      </c>
      <c r="S39" s="3">
        <f t="shared" si="0"/>
        <v>14</v>
      </c>
      <c r="T39" s="3" t="str">
        <f>_xlfn.XLOOKUP(C39,Tabla42[ADEP],Tabla42[Sector],"")</f>
        <v>Sector 2</v>
      </c>
    </row>
    <row r="40" spans="1:20" x14ac:dyDescent="0.2">
      <c r="A40" s="23" t="s">
        <v>423</v>
      </c>
      <c r="B40" s="23" t="s">
        <v>18</v>
      </c>
      <c r="C40" s="23" t="s">
        <v>154</v>
      </c>
      <c r="D40" s="23" t="s">
        <v>424</v>
      </c>
      <c r="E40" s="23"/>
      <c r="F40" s="24">
        <v>46309.623414351852</v>
      </c>
      <c r="G40" s="23" t="s">
        <v>21</v>
      </c>
      <c r="H40" s="23" t="s">
        <v>155</v>
      </c>
      <c r="I40" s="23">
        <v>15</v>
      </c>
      <c r="J40" s="23" t="s">
        <v>130</v>
      </c>
      <c r="K40" s="23" t="s">
        <v>50</v>
      </c>
      <c r="L40" s="23">
        <v>58</v>
      </c>
      <c r="M40" s="23" t="s">
        <v>154</v>
      </c>
      <c r="N40" s="24">
        <v>46309.635196759256</v>
      </c>
      <c r="O40" s="23">
        <v>0</v>
      </c>
      <c r="P40" s="23" t="s">
        <v>129</v>
      </c>
      <c r="Q40" s="23">
        <v>15</v>
      </c>
      <c r="R40" s="3" t="str">
        <f>IF(OR(G40="12R",G40="12L"),_xlfn.XLOOKUP(C40,Tabla42[ADEP],Tabla42[SID 12R],""),IF(OR(G40="30L",G40="30R"),_xlfn.XLOOKUP(C40,Tabla42[ADEP],Tabla42[SID 30L],""),""))</f>
        <v>CZM</v>
      </c>
      <c r="S40" s="3">
        <f t="shared" si="0"/>
        <v>14</v>
      </c>
      <c r="T40" s="3" t="str">
        <f>_xlfn.XLOOKUP(C40,Tabla42[ADEP],Tabla42[Sector],"")</f>
        <v>Sector 7</v>
      </c>
    </row>
    <row r="41" spans="1:20" x14ac:dyDescent="0.2">
      <c r="A41" s="23" t="s">
        <v>135</v>
      </c>
      <c r="B41" s="23" t="s">
        <v>18</v>
      </c>
      <c r="C41" s="23" t="s">
        <v>32</v>
      </c>
      <c r="D41" s="23" t="s">
        <v>33</v>
      </c>
      <c r="E41" s="23" t="s">
        <v>3051</v>
      </c>
      <c r="F41" s="24">
        <v>46309.631539351853</v>
      </c>
      <c r="G41" s="23" t="s">
        <v>21</v>
      </c>
      <c r="H41" s="23" t="s">
        <v>4642</v>
      </c>
      <c r="I41" s="23">
        <v>380</v>
      </c>
      <c r="J41" s="23" t="s">
        <v>22</v>
      </c>
      <c r="K41" s="23" t="s">
        <v>23</v>
      </c>
      <c r="L41" s="23">
        <v>899</v>
      </c>
      <c r="M41" s="23" t="s">
        <v>35</v>
      </c>
      <c r="N41" s="24">
        <v>46309.67701388889</v>
      </c>
      <c r="O41" s="23">
        <v>380</v>
      </c>
      <c r="P41" s="23" t="s">
        <v>25</v>
      </c>
      <c r="Q41" s="23">
        <v>190</v>
      </c>
      <c r="R41" s="3" t="str">
        <f>IF(OR(G41="12R",G41="12L"),_xlfn.XLOOKUP(C41,Tabla42[ADEP],Tabla42[SID 12R],""),IF(OR(G41="30L",G41="30R"),_xlfn.XLOOKUP(C41,Tabla42[ADEP],Tabla42[SID 30L],""),""))</f>
        <v>UDGUV</v>
      </c>
      <c r="S41" s="3">
        <f t="shared" si="0"/>
        <v>15</v>
      </c>
      <c r="T41" s="3" t="str">
        <f>_xlfn.XLOOKUP(C41,Tabla42[ADEP],Tabla42[Sector],"")</f>
        <v>Sector 2</v>
      </c>
    </row>
    <row r="42" spans="1:20" x14ac:dyDescent="0.2">
      <c r="A42" s="23" t="s">
        <v>146</v>
      </c>
      <c r="B42" s="23" t="s">
        <v>18</v>
      </c>
      <c r="C42" s="23" t="s">
        <v>96</v>
      </c>
      <c r="D42" s="23" t="s">
        <v>33</v>
      </c>
      <c r="E42" s="23" t="s">
        <v>573</v>
      </c>
      <c r="F42" s="24">
        <v>46309.649062500001</v>
      </c>
      <c r="G42" s="23" t="s">
        <v>21</v>
      </c>
      <c r="H42" s="23" t="s">
        <v>4643</v>
      </c>
      <c r="I42" s="23">
        <v>360</v>
      </c>
      <c r="J42" s="23" t="s">
        <v>22</v>
      </c>
      <c r="K42" s="23" t="s">
        <v>23</v>
      </c>
      <c r="L42" s="23">
        <v>855</v>
      </c>
      <c r="M42" s="23" t="s">
        <v>45</v>
      </c>
      <c r="N42" s="24">
        <v>46309.69226851852</v>
      </c>
      <c r="O42" s="23">
        <v>360</v>
      </c>
      <c r="P42" s="23" t="s">
        <v>25</v>
      </c>
      <c r="Q42" s="23">
        <v>190</v>
      </c>
      <c r="R42" s="3" t="str">
        <f>IF(OR(G42="12R",G42="12L"),_xlfn.XLOOKUP(C42,Tabla42[ADEP],Tabla42[SID 12R],""),IF(OR(G42="30L",G42="30R"),_xlfn.XLOOKUP(C42,Tabla42[ADEP],Tabla42[SID 30L],""),""))</f>
        <v>UDGUV</v>
      </c>
      <c r="S42" s="3">
        <f t="shared" si="0"/>
        <v>15</v>
      </c>
      <c r="T42" s="3" t="str">
        <f>_xlfn.XLOOKUP(C42,Tabla42[ADEP],Tabla42[Sector],"")</f>
        <v>Sector 2</v>
      </c>
    </row>
    <row r="43" spans="1:20" x14ac:dyDescent="0.2">
      <c r="A43" s="23" t="s">
        <v>171</v>
      </c>
      <c r="B43" s="23" t="s">
        <v>18</v>
      </c>
      <c r="C43" s="23" t="s">
        <v>2726</v>
      </c>
      <c r="D43" s="23" t="s">
        <v>172</v>
      </c>
      <c r="E43" s="23"/>
      <c r="F43" s="24">
        <v>46309.651226851849</v>
      </c>
      <c r="G43" s="23" t="s">
        <v>21</v>
      </c>
      <c r="H43" s="23" t="s">
        <v>4644</v>
      </c>
      <c r="I43" s="23">
        <v>15</v>
      </c>
      <c r="J43" s="23" t="s">
        <v>130</v>
      </c>
      <c r="K43" s="23" t="s">
        <v>50</v>
      </c>
      <c r="L43" s="23">
        <v>88</v>
      </c>
      <c r="M43" s="23" t="s">
        <v>2726</v>
      </c>
      <c r="N43" s="24">
        <v>46309.668194444443</v>
      </c>
      <c r="O43" s="23">
        <v>0</v>
      </c>
      <c r="P43" s="23" t="s">
        <v>129</v>
      </c>
      <c r="Q43" s="23">
        <v>15</v>
      </c>
      <c r="R43" s="3" t="str">
        <f>IF(OR(G43="12R",G43="12L"),_xlfn.XLOOKUP(C43,Tabla42[ADEP],Tabla42[SID 12R],""),IF(OR(G43="30L",G43="30R"),_xlfn.XLOOKUP(C43,Tabla42[ADEP],Tabla42[SID 30L],""),""))</f>
        <v/>
      </c>
      <c r="S43" s="3">
        <f t="shared" si="0"/>
        <v>15</v>
      </c>
      <c r="T43" s="3" t="str">
        <f>_xlfn.XLOOKUP(C43,Tabla42[ADEP],Tabla42[Sector],"")</f>
        <v/>
      </c>
    </row>
    <row r="44" spans="1:20" x14ac:dyDescent="0.2">
      <c r="A44" s="23" t="s">
        <v>139</v>
      </c>
      <c r="B44" s="23" t="s">
        <v>18</v>
      </c>
      <c r="C44" s="23" t="s">
        <v>49</v>
      </c>
      <c r="D44" s="23" t="s">
        <v>53</v>
      </c>
      <c r="E44" s="23" t="s">
        <v>3541</v>
      </c>
      <c r="F44" s="24">
        <v>46309.653101851851</v>
      </c>
      <c r="G44" s="23" t="s">
        <v>21</v>
      </c>
      <c r="H44" s="23" t="s">
        <v>4645</v>
      </c>
      <c r="I44" s="23">
        <v>380</v>
      </c>
      <c r="J44" s="23" t="s">
        <v>22</v>
      </c>
      <c r="K44" s="23" t="s">
        <v>141</v>
      </c>
      <c r="L44" s="23">
        <v>869</v>
      </c>
      <c r="M44" s="23" t="s">
        <v>45</v>
      </c>
      <c r="N44" s="24">
        <v>46309.697106481479</v>
      </c>
      <c r="O44" s="23">
        <v>380</v>
      </c>
      <c r="P44" s="23" t="s">
        <v>25</v>
      </c>
      <c r="Q44" s="23">
        <v>190</v>
      </c>
      <c r="R44" s="3" t="str">
        <f>IF(OR(G44="12R",G44="12L"),_xlfn.XLOOKUP(C44,Tabla42[ADEP],Tabla42[SID 12R],""),IF(OR(G44="30L",G44="30R"),_xlfn.XLOOKUP(C44,Tabla42[ADEP],Tabla42[SID 30L],""),""))</f>
        <v>UDGUV</v>
      </c>
      <c r="S44" s="3">
        <f t="shared" si="0"/>
        <v>15</v>
      </c>
      <c r="T44" s="3" t="str">
        <f>_xlfn.XLOOKUP(C44,Tabla42[ADEP],Tabla42[Sector],"")</f>
        <v>Sector 2</v>
      </c>
    </row>
    <row r="45" spans="1:20" x14ac:dyDescent="0.2">
      <c r="A45" s="23" t="s">
        <v>136</v>
      </c>
      <c r="B45" s="23" t="s">
        <v>18</v>
      </c>
      <c r="C45" s="23" t="s">
        <v>137</v>
      </c>
      <c r="D45" s="23" t="s">
        <v>63</v>
      </c>
      <c r="E45" s="23" t="s">
        <v>66</v>
      </c>
      <c r="F45" s="24">
        <v>46309.654074074075</v>
      </c>
      <c r="G45" s="23" t="s">
        <v>21</v>
      </c>
      <c r="H45" s="23" t="s">
        <v>2978</v>
      </c>
      <c r="I45" s="23">
        <v>330</v>
      </c>
      <c r="J45" s="23" t="s">
        <v>22</v>
      </c>
      <c r="K45" s="23" t="s">
        <v>23</v>
      </c>
      <c r="L45" s="23">
        <v>133</v>
      </c>
      <c r="M45" s="23" t="s">
        <v>39</v>
      </c>
      <c r="N45" s="24">
        <v>46309.662939814814</v>
      </c>
      <c r="O45" s="23">
        <v>318</v>
      </c>
      <c r="P45" s="23" t="s">
        <v>25</v>
      </c>
      <c r="Q45" s="23">
        <v>190</v>
      </c>
      <c r="R45" s="3" t="str">
        <f>IF(OR(G45="12R",G45="12L"),_xlfn.XLOOKUP(C45,Tabla42[ADEP],Tabla42[SID 12R],""),IF(OR(G45="30L",G45="30R"),_xlfn.XLOOKUP(C45,Tabla42[ADEP],Tabla42[SID 30L],""),""))</f>
        <v>NUDAL</v>
      </c>
      <c r="S45" s="3">
        <f t="shared" si="0"/>
        <v>15</v>
      </c>
      <c r="T45" s="3" t="str">
        <f>_xlfn.XLOOKUP(C45,Tabla42[ADEP],Tabla42[Sector],"")</f>
        <v>Sector 3</v>
      </c>
    </row>
    <row r="46" spans="1:20" x14ac:dyDescent="0.2">
      <c r="A46" s="23" t="s">
        <v>1198</v>
      </c>
      <c r="B46" s="23" t="s">
        <v>18</v>
      </c>
      <c r="C46" s="23" t="s">
        <v>1199</v>
      </c>
      <c r="D46" s="23" t="s">
        <v>394</v>
      </c>
      <c r="E46" s="23"/>
      <c r="F46" s="24">
        <v>46309.656041666669</v>
      </c>
      <c r="G46" s="23" t="s">
        <v>21</v>
      </c>
      <c r="H46" s="23" t="s">
        <v>4646</v>
      </c>
      <c r="I46" s="23">
        <v>280</v>
      </c>
      <c r="J46" s="23" t="s">
        <v>22</v>
      </c>
      <c r="K46" s="23" t="s">
        <v>50</v>
      </c>
      <c r="L46" s="23">
        <v>903</v>
      </c>
      <c r="M46" s="23" t="s">
        <v>45</v>
      </c>
      <c r="N46" s="24">
        <v>46309.742152777777</v>
      </c>
      <c r="O46" s="23">
        <v>280</v>
      </c>
      <c r="P46" s="23" t="s">
        <v>129</v>
      </c>
      <c r="Q46" s="23">
        <v>40</v>
      </c>
      <c r="R46" s="3" t="str">
        <f>IF(OR(G46="12R",G46="12L"),_xlfn.XLOOKUP(C46,Tabla42[ADEP],Tabla42[SID 12R],""),IF(OR(G46="30L",G46="30R"),_xlfn.XLOOKUP(C46,Tabla42[ADEP],Tabla42[SID 30L],""),""))</f>
        <v>UDGUV</v>
      </c>
      <c r="S46" s="3">
        <f t="shared" si="0"/>
        <v>15</v>
      </c>
      <c r="T46" s="3" t="str">
        <f>_xlfn.XLOOKUP(C46,Tabla42[ADEP],Tabla42[Sector],"")</f>
        <v>Sector 2</v>
      </c>
    </row>
    <row r="47" spans="1:20" x14ac:dyDescent="0.2">
      <c r="A47" s="23" t="s">
        <v>425</v>
      </c>
      <c r="B47" s="23" t="s">
        <v>18</v>
      </c>
      <c r="C47" s="23" t="s">
        <v>49</v>
      </c>
      <c r="D47" s="23" t="s">
        <v>53</v>
      </c>
      <c r="E47" s="23" t="s">
        <v>4003</v>
      </c>
      <c r="F47" s="24">
        <v>46309.65896990741</v>
      </c>
      <c r="G47" s="23" t="s">
        <v>21</v>
      </c>
      <c r="H47" s="23" t="s">
        <v>4647</v>
      </c>
      <c r="I47" s="23">
        <v>380</v>
      </c>
      <c r="J47" s="23" t="s">
        <v>22</v>
      </c>
      <c r="K47" s="23" t="s">
        <v>23</v>
      </c>
      <c r="L47" s="23">
        <v>852</v>
      </c>
      <c r="M47" s="23" t="s">
        <v>45</v>
      </c>
      <c r="N47" s="24">
        <v>46309.70207175926</v>
      </c>
      <c r="O47" s="23">
        <v>380</v>
      </c>
      <c r="P47" s="23" t="s">
        <v>25</v>
      </c>
      <c r="Q47" s="23">
        <v>190</v>
      </c>
      <c r="R47" s="3" t="str">
        <f>IF(OR(G47="12R",G47="12L"),_xlfn.XLOOKUP(C47,Tabla42[ADEP],Tabla42[SID 12R],""),IF(OR(G47="30L",G47="30R"),_xlfn.XLOOKUP(C47,Tabla42[ADEP],Tabla42[SID 30L],""),""))</f>
        <v>UDGUV</v>
      </c>
      <c r="S47" s="3">
        <f t="shared" si="0"/>
        <v>15</v>
      </c>
      <c r="T47" s="3" t="str">
        <f>_xlfn.XLOOKUP(C47,Tabla42[ADEP],Tabla42[Sector],"")</f>
        <v>Sector 2</v>
      </c>
    </row>
    <row r="48" spans="1:20" x14ac:dyDescent="0.2">
      <c r="A48" s="23" t="s">
        <v>151</v>
      </c>
      <c r="B48" s="23" t="s">
        <v>18</v>
      </c>
      <c r="C48" s="23" t="s">
        <v>96</v>
      </c>
      <c r="D48" s="23" t="s">
        <v>43</v>
      </c>
      <c r="E48" s="23" t="s">
        <v>565</v>
      </c>
      <c r="F48" s="24">
        <v>46309.66065972222</v>
      </c>
      <c r="G48" s="23" t="s">
        <v>21</v>
      </c>
      <c r="H48" s="23" t="s">
        <v>4648</v>
      </c>
      <c r="I48" s="23">
        <v>380</v>
      </c>
      <c r="J48" s="23" t="s">
        <v>22</v>
      </c>
      <c r="K48" s="23" t="s">
        <v>23</v>
      </c>
      <c r="L48" s="23">
        <v>857</v>
      </c>
      <c r="M48" s="23" t="s">
        <v>45</v>
      </c>
      <c r="N48" s="24">
        <v>46309.703877314816</v>
      </c>
      <c r="O48" s="23">
        <v>380</v>
      </c>
      <c r="P48" s="23" t="s">
        <v>25</v>
      </c>
      <c r="Q48" s="23">
        <v>190</v>
      </c>
      <c r="R48" s="3" t="str">
        <f>IF(OR(G48="12R",G48="12L"),_xlfn.XLOOKUP(C48,Tabla42[ADEP],Tabla42[SID 12R],""),IF(OR(G48="30L",G48="30R"),_xlfn.XLOOKUP(C48,Tabla42[ADEP],Tabla42[SID 30L],""),""))</f>
        <v>UDGUV</v>
      </c>
      <c r="S48" s="3">
        <f t="shared" si="0"/>
        <v>15</v>
      </c>
      <c r="T48" s="3" t="str">
        <f>_xlfn.XLOOKUP(C48,Tabla42[ADEP],Tabla42[Sector],"")</f>
        <v>Sector 2</v>
      </c>
    </row>
    <row r="49" spans="1:20" x14ac:dyDescent="0.2">
      <c r="A49" s="23" t="s">
        <v>145</v>
      </c>
      <c r="B49" s="23" t="s">
        <v>18</v>
      </c>
      <c r="C49" s="23" t="s">
        <v>19</v>
      </c>
      <c r="D49" s="23" t="s">
        <v>53</v>
      </c>
      <c r="E49" s="23" t="s">
        <v>357</v>
      </c>
      <c r="F49" s="24">
        <v>46309.662361111114</v>
      </c>
      <c r="G49" s="23" t="s">
        <v>21</v>
      </c>
      <c r="H49" s="23" t="s">
        <v>4649</v>
      </c>
      <c r="I49" s="23">
        <v>380</v>
      </c>
      <c r="J49" s="23" t="s">
        <v>22</v>
      </c>
      <c r="K49" s="23" t="s">
        <v>23</v>
      </c>
      <c r="L49" s="23">
        <v>859</v>
      </c>
      <c r="M49" s="23" t="s">
        <v>24</v>
      </c>
      <c r="N49" s="24">
        <v>46309.706030092595</v>
      </c>
      <c r="O49" s="23">
        <v>380</v>
      </c>
      <c r="P49" s="23" t="s">
        <v>25</v>
      </c>
      <c r="Q49" s="23">
        <v>190</v>
      </c>
      <c r="R49" s="3" t="str">
        <f>IF(OR(G49="12R",G49="12L"),_xlfn.XLOOKUP(C49,Tabla42[ADEP],Tabla42[SID 12R],""),IF(OR(G49="30L",G49="30R"),_xlfn.XLOOKUP(C49,Tabla42[ADEP],Tabla42[SID 30L],""),""))</f>
        <v>UDGUV</v>
      </c>
      <c r="S49" s="3">
        <f t="shared" si="0"/>
        <v>15</v>
      </c>
      <c r="T49" s="3" t="str">
        <f>_xlfn.XLOOKUP(C49,Tabla42[ADEP],Tabla42[Sector],"")</f>
        <v>Sector 2</v>
      </c>
    </row>
    <row r="50" spans="1:20" x14ac:dyDescent="0.2">
      <c r="A50" s="23" t="s">
        <v>362</v>
      </c>
      <c r="B50" s="23" t="s">
        <v>18</v>
      </c>
      <c r="C50" s="23" t="s">
        <v>27</v>
      </c>
      <c r="D50" s="23" t="s">
        <v>28</v>
      </c>
      <c r="E50" s="23" t="s">
        <v>2697</v>
      </c>
      <c r="F50" s="24">
        <v>46309.663518518515</v>
      </c>
      <c r="G50" s="23" t="s">
        <v>21</v>
      </c>
      <c r="H50" s="23" t="s">
        <v>4650</v>
      </c>
      <c r="I50" s="23">
        <v>370</v>
      </c>
      <c r="J50" s="23" t="s">
        <v>22</v>
      </c>
      <c r="K50" s="23" t="s">
        <v>23</v>
      </c>
      <c r="L50" s="23">
        <v>360</v>
      </c>
      <c r="M50" s="23" t="s">
        <v>30</v>
      </c>
      <c r="N50" s="24">
        <v>46309.684953703705</v>
      </c>
      <c r="O50" s="23">
        <v>370</v>
      </c>
      <c r="P50" s="23" t="s">
        <v>25</v>
      </c>
      <c r="Q50" s="23">
        <v>40</v>
      </c>
      <c r="R50" s="3" t="str">
        <f>IF(OR(G50="12R",G50="12L"),_xlfn.XLOOKUP(C50,Tabla42[ADEP],Tabla42[SID 12R],""),IF(OR(G50="30L",G50="30R"),_xlfn.XLOOKUP(C50,Tabla42[ADEP],Tabla42[SID 30L],""),""))</f>
        <v>OMSUK</v>
      </c>
      <c r="S50" s="3">
        <f t="shared" si="0"/>
        <v>15</v>
      </c>
      <c r="T50" s="3" t="str">
        <f>_xlfn.XLOOKUP(C50,Tabla42[ADEP],Tabla42[Sector],"")</f>
        <v>Sector 3</v>
      </c>
    </row>
    <row r="51" spans="1:20" x14ac:dyDescent="0.2">
      <c r="A51" s="23" t="s">
        <v>364</v>
      </c>
      <c r="B51" s="23" t="s">
        <v>18</v>
      </c>
      <c r="C51" s="23" t="s">
        <v>27</v>
      </c>
      <c r="D51" s="23" t="s">
        <v>28</v>
      </c>
      <c r="E51" s="23" t="s">
        <v>2553</v>
      </c>
      <c r="F51" s="24">
        <v>46309.665578703702</v>
      </c>
      <c r="G51" s="23" t="s">
        <v>21</v>
      </c>
      <c r="H51" s="23" t="s">
        <v>4651</v>
      </c>
      <c r="I51" s="23">
        <v>350</v>
      </c>
      <c r="J51" s="23" t="s">
        <v>22</v>
      </c>
      <c r="K51" s="23" t="s">
        <v>23</v>
      </c>
      <c r="L51" s="23">
        <v>382</v>
      </c>
      <c r="M51" s="23" t="s">
        <v>30</v>
      </c>
      <c r="N51" s="24">
        <v>46309.688449074078</v>
      </c>
      <c r="O51" s="23">
        <v>350</v>
      </c>
      <c r="P51" s="23" t="s">
        <v>25</v>
      </c>
      <c r="Q51" s="23">
        <v>40</v>
      </c>
      <c r="R51" s="3" t="str">
        <f>IF(OR(G51="12R",G51="12L"),_xlfn.XLOOKUP(C51,Tabla42[ADEP],Tabla42[SID 12R],""),IF(OR(G51="30L",G51="30R"),_xlfn.XLOOKUP(C51,Tabla42[ADEP],Tabla42[SID 30L],""),""))</f>
        <v>OMSUK</v>
      </c>
      <c r="S51" s="3">
        <f t="shared" si="0"/>
        <v>15</v>
      </c>
      <c r="T51" s="3" t="str">
        <f>_xlfn.XLOOKUP(C51,Tabla42[ADEP],Tabla42[Sector],"")</f>
        <v>Sector 3</v>
      </c>
    </row>
    <row r="52" spans="1:20" x14ac:dyDescent="0.2">
      <c r="A52" s="23" t="s">
        <v>148</v>
      </c>
      <c r="B52" s="23" t="s">
        <v>18</v>
      </c>
      <c r="C52" s="23" t="s">
        <v>42</v>
      </c>
      <c r="D52" s="23" t="s">
        <v>20</v>
      </c>
      <c r="E52" s="23" t="s">
        <v>431</v>
      </c>
      <c r="F52" s="24">
        <v>46309.666990740741</v>
      </c>
      <c r="G52" s="23" t="s">
        <v>21</v>
      </c>
      <c r="H52" s="23" t="s">
        <v>4652</v>
      </c>
      <c r="I52" s="23">
        <v>360</v>
      </c>
      <c r="J52" s="23" t="s">
        <v>22</v>
      </c>
      <c r="K52" s="23" t="s">
        <v>23</v>
      </c>
      <c r="L52" s="23">
        <v>854</v>
      </c>
      <c r="M52" s="23" t="s">
        <v>45</v>
      </c>
      <c r="N52" s="24">
        <v>46309.70921296296</v>
      </c>
      <c r="O52" s="23">
        <v>360</v>
      </c>
      <c r="P52" s="23" t="s">
        <v>25</v>
      </c>
      <c r="Q52" s="23">
        <v>190</v>
      </c>
      <c r="R52" s="3" t="str">
        <f>IF(OR(G52="12R",G52="12L"),_xlfn.XLOOKUP(C52,Tabla42[ADEP],Tabla42[SID 12R],""),IF(OR(G52="30L",G52="30R"),_xlfn.XLOOKUP(C52,Tabla42[ADEP],Tabla42[SID 30L],""),""))</f>
        <v>UDGUV</v>
      </c>
      <c r="S52" s="3">
        <f t="shared" si="0"/>
        <v>16</v>
      </c>
      <c r="T52" s="3" t="str">
        <f>_xlfn.XLOOKUP(C52,Tabla42[ADEP],Tabla42[Sector],"")</f>
        <v>Sector 2</v>
      </c>
    </row>
    <row r="53" spans="1:20" x14ac:dyDescent="0.2">
      <c r="A53" s="23" t="s">
        <v>208</v>
      </c>
      <c r="B53" s="23" t="s">
        <v>18</v>
      </c>
      <c r="C53" s="23" t="s">
        <v>209</v>
      </c>
      <c r="D53" s="23" t="s">
        <v>122</v>
      </c>
      <c r="E53" s="23" t="s">
        <v>4653</v>
      </c>
      <c r="F53" s="24">
        <v>46309.66814814815</v>
      </c>
      <c r="G53" s="23" t="s">
        <v>21</v>
      </c>
      <c r="H53" s="23" t="s">
        <v>4654</v>
      </c>
      <c r="I53" s="23">
        <v>380</v>
      </c>
      <c r="J53" s="23" t="s">
        <v>22</v>
      </c>
      <c r="K53" s="23" t="s">
        <v>23</v>
      </c>
      <c r="L53" s="23">
        <v>509</v>
      </c>
      <c r="M53" s="23" t="s">
        <v>123</v>
      </c>
      <c r="N53" s="24">
        <v>46309.69462962963</v>
      </c>
      <c r="O53" s="23">
        <v>380</v>
      </c>
      <c r="P53" s="23" t="s">
        <v>25</v>
      </c>
      <c r="Q53" s="23">
        <v>40</v>
      </c>
      <c r="R53" s="3" t="str">
        <f>IF(OR(G53="12R",G53="12L"),_xlfn.XLOOKUP(C53,Tabla42[ADEP],Tabla42[SID 12R],""),IF(OR(G53="30L",G53="30R"),_xlfn.XLOOKUP(C53,Tabla42[ADEP],Tabla42[SID 30L],""),""))</f>
        <v>ENEBA</v>
      </c>
      <c r="S53" s="3">
        <f t="shared" si="0"/>
        <v>16</v>
      </c>
      <c r="T53" s="3" t="str">
        <f>_xlfn.XLOOKUP(C53,Tabla42[ADEP],Tabla42[Sector],"")</f>
        <v>Sector 3</v>
      </c>
    </row>
    <row r="54" spans="1:20" x14ac:dyDescent="0.2">
      <c r="A54" s="23" t="s">
        <v>142</v>
      </c>
      <c r="B54" s="23" t="s">
        <v>18</v>
      </c>
      <c r="C54" s="23" t="s">
        <v>42</v>
      </c>
      <c r="D54" s="23" t="s">
        <v>60</v>
      </c>
      <c r="E54" s="23" t="s">
        <v>2841</v>
      </c>
      <c r="F54" s="24">
        <v>46309.675023148149</v>
      </c>
      <c r="G54" s="23" t="s">
        <v>21</v>
      </c>
      <c r="H54" s="23" t="s">
        <v>4655</v>
      </c>
      <c r="I54" s="23">
        <v>360</v>
      </c>
      <c r="J54" s="23" t="s">
        <v>22</v>
      </c>
      <c r="K54" s="23" t="s">
        <v>23</v>
      </c>
      <c r="L54" s="23">
        <v>870</v>
      </c>
      <c r="M54" s="23" t="s">
        <v>45</v>
      </c>
      <c r="N54" s="24">
        <v>46309.718368055554</v>
      </c>
      <c r="O54" s="23">
        <v>360</v>
      </c>
      <c r="P54" s="23" t="s">
        <v>25</v>
      </c>
      <c r="Q54" s="23">
        <v>190</v>
      </c>
      <c r="R54" s="3" t="str">
        <f>IF(OR(G54="12R",G54="12L"),_xlfn.XLOOKUP(C54,Tabla42[ADEP],Tabla42[SID 12R],""),IF(OR(G54="30L",G54="30R"),_xlfn.XLOOKUP(C54,Tabla42[ADEP],Tabla42[SID 30L],""),""))</f>
        <v>UDGUV</v>
      </c>
      <c r="S54" s="3">
        <f t="shared" si="0"/>
        <v>16</v>
      </c>
      <c r="T54" s="3" t="str">
        <f>_xlfn.XLOOKUP(C54,Tabla42[ADEP],Tabla42[Sector],"")</f>
        <v>Sector 2</v>
      </c>
    </row>
    <row r="55" spans="1:20" x14ac:dyDescent="0.2">
      <c r="A55" s="23" t="s">
        <v>2095</v>
      </c>
      <c r="B55" s="23" t="s">
        <v>18</v>
      </c>
      <c r="C55" s="23" t="s">
        <v>121</v>
      </c>
      <c r="D55" s="23" t="s">
        <v>122</v>
      </c>
      <c r="E55" s="23" t="s">
        <v>2865</v>
      </c>
      <c r="F55" s="24">
        <v>46309.676342592589</v>
      </c>
      <c r="G55" s="23" t="s">
        <v>21</v>
      </c>
      <c r="H55" s="23" t="s">
        <v>4656</v>
      </c>
      <c r="I55" s="23">
        <v>380</v>
      </c>
      <c r="J55" s="23" t="s">
        <v>22</v>
      </c>
      <c r="K55" s="23" t="s">
        <v>23</v>
      </c>
      <c r="L55" s="23">
        <v>516</v>
      </c>
      <c r="M55" s="23" t="s">
        <v>123</v>
      </c>
      <c r="N55" s="24">
        <v>46309.70380787037</v>
      </c>
      <c r="O55" s="23">
        <v>380</v>
      </c>
      <c r="P55" s="23" t="s">
        <v>25</v>
      </c>
      <c r="Q55" s="23">
        <v>40</v>
      </c>
      <c r="R55" s="3" t="str">
        <f>IF(OR(G55="12R",G55="12L"),_xlfn.XLOOKUP(C55,Tabla42[ADEP],Tabla42[SID 12R],""),IF(OR(G55="30L",G55="30R"),_xlfn.XLOOKUP(C55,Tabla42[ADEP],Tabla42[SID 30L],""),""))</f>
        <v>ENEBA</v>
      </c>
      <c r="S55" s="3">
        <f t="shared" si="0"/>
        <v>16</v>
      </c>
      <c r="T55" s="3" t="str">
        <f>_xlfn.XLOOKUP(C55,Tabla42[ADEP],Tabla42[Sector],"")</f>
        <v>Sector 3</v>
      </c>
    </row>
    <row r="56" spans="1:20" x14ac:dyDescent="0.2">
      <c r="A56" s="23" t="s">
        <v>365</v>
      </c>
      <c r="B56" s="23" t="s">
        <v>18</v>
      </c>
      <c r="C56" s="23" t="s">
        <v>96</v>
      </c>
      <c r="D56" s="23" t="s">
        <v>53</v>
      </c>
      <c r="E56" s="23" t="s">
        <v>103</v>
      </c>
      <c r="F56" s="24">
        <v>46309.679212962961</v>
      </c>
      <c r="G56" s="23" t="s">
        <v>21</v>
      </c>
      <c r="H56" s="23" t="s">
        <v>4657</v>
      </c>
      <c r="I56" s="23">
        <v>380</v>
      </c>
      <c r="J56" s="23" t="s">
        <v>22</v>
      </c>
      <c r="K56" s="23" t="s">
        <v>141</v>
      </c>
      <c r="L56" s="23">
        <v>872</v>
      </c>
      <c r="M56" s="23" t="s">
        <v>45</v>
      </c>
      <c r="N56" s="24">
        <v>46309.722881944443</v>
      </c>
      <c r="O56" s="23">
        <v>380</v>
      </c>
      <c r="P56" s="23" t="s">
        <v>25</v>
      </c>
      <c r="Q56" s="23">
        <v>190</v>
      </c>
      <c r="R56" s="3" t="str">
        <f>IF(OR(G56="12R",G56="12L"),_xlfn.XLOOKUP(C56,Tabla42[ADEP],Tabla42[SID 12R],""),IF(OR(G56="30L",G56="30R"),_xlfn.XLOOKUP(C56,Tabla42[ADEP],Tabla42[SID 30L],""),""))</f>
        <v>UDGUV</v>
      </c>
      <c r="S56" s="3">
        <f t="shared" si="0"/>
        <v>16</v>
      </c>
      <c r="T56" s="3" t="str">
        <f>_xlfn.XLOOKUP(C56,Tabla42[ADEP],Tabla42[Sector],"")</f>
        <v>Sector 2</v>
      </c>
    </row>
    <row r="57" spans="1:20" x14ac:dyDescent="0.2">
      <c r="A57" s="23" t="s">
        <v>4658</v>
      </c>
      <c r="B57" s="23" t="s">
        <v>18</v>
      </c>
      <c r="C57" s="23" t="s">
        <v>1241</v>
      </c>
      <c r="D57" s="23" t="s">
        <v>198</v>
      </c>
      <c r="E57" s="23" t="s">
        <v>4659</v>
      </c>
      <c r="F57" s="24">
        <v>46309.679884259262</v>
      </c>
      <c r="G57" s="23" t="s">
        <v>21</v>
      </c>
      <c r="H57" s="23" t="s">
        <v>4660</v>
      </c>
      <c r="I57" s="23">
        <v>450</v>
      </c>
      <c r="J57" s="23" t="s">
        <v>22</v>
      </c>
      <c r="K57" s="23" t="s">
        <v>50</v>
      </c>
      <c r="L57" s="23">
        <v>346</v>
      </c>
      <c r="M57" s="23" t="s">
        <v>30</v>
      </c>
      <c r="N57" s="24">
        <v>46309.704432870371</v>
      </c>
      <c r="O57" s="23">
        <v>450</v>
      </c>
      <c r="P57" s="23" t="s">
        <v>25</v>
      </c>
      <c r="Q57" s="23">
        <v>40</v>
      </c>
      <c r="R57" s="3" t="str">
        <f>IF(OR(G57="12R",G57="12L"),_xlfn.XLOOKUP(C57,Tabla42[ADEP],Tabla42[SID 12R],""),IF(OR(G57="30L",G57="30R"),_xlfn.XLOOKUP(C57,Tabla42[ADEP],Tabla42[SID 30L],""),""))</f>
        <v/>
      </c>
      <c r="S57" s="3">
        <f t="shared" si="0"/>
        <v>16</v>
      </c>
      <c r="T57" s="3" t="str">
        <f>_xlfn.XLOOKUP(C57,Tabla42[ADEP],Tabla42[Sector],"")</f>
        <v/>
      </c>
    </row>
    <row r="58" spans="1:20" x14ac:dyDescent="0.2">
      <c r="A58" s="23" t="s">
        <v>163</v>
      </c>
      <c r="B58" s="23" t="s">
        <v>18</v>
      </c>
      <c r="C58" s="23" t="s">
        <v>164</v>
      </c>
      <c r="D58" s="23" t="s">
        <v>43</v>
      </c>
      <c r="E58" s="23" t="s">
        <v>1061</v>
      </c>
      <c r="F58" s="24">
        <v>46309.683796296296</v>
      </c>
      <c r="G58" s="23" t="s">
        <v>21</v>
      </c>
      <c r="H58" s="23" t="s">
        <v>4661</v>
      </c>
      <c r="I58" s="23">
        <v>330</v>
      </c>
      <c r="J58" s="23" t="s">
        <v>22</v>
      </c>
      <c r="K58" s="23" t="s">
        <v>23</v>
      </c>
      <c r="L58" s="23">
        <v>347</v>
      </c>
      <c r="M58" s="23" t="s">
        <v>30</v>
      </c>
      <c r="N58" s="24">
        <v>46309.703368055554</v>
      </c>
      <c r="O58" s="23">
        <v>330</v>
      </c>
      <c r="P58" s="23" t="s">
        <v>25</v>
      </c>
      <c r="Q58" s="23">
        <v>40</v>
      </c>
      <c r="R58" s="3" t="str">
        <f>IF(OR(G58="12R",G58="12L"),_xlfn.XLOOKUP(C58,Tabla42[ADEP],Tabla42[SID 12R],""),IF(OR(G58="30L",G58="30R"),_xlfn.XLOOKUP(C58,Tabla42[ADEP],Tabla42[SID 30L],""),""))</f>
        <v>OMSUK</v>
      </c>
      <c r="S58" s="3">
        <f t="shared" si="0"/>
        <v>16</v>
      </c>
      <c r="T58" s="3" t="str">
        <f>_xlfn.XLOOKUP(C58,Tabla42[ADEP],Tabla42[Sector],"")</f>
        <v>Sector 3</v>
      </c>
    </row>
    <row r="59" spans="1:20" x14ac:dyDescent="0.2">
      <c r="A59" s="23" t="s">
        <v>161</v>
      </c>
      <c r="B59" s="23" t="s">
        <v>18</v>
      </c>
      <c r="C59" s="23" t="s">
        <v>27</v>
      </c>
      <c r="D59" s="23" t="s">
        <v>60</v>
      </c>
      <c r="E59" s="23" t="s">
        <v>2144</v>
      </c>
      <c r="F59" s="24">
        <v>46309.68613425926</v>
      </c>
      <c r="G59" s="23" t="s">
        <v>21</v>
      </c>
      <c r="H59" s="23" t="s">
        <v>4662</v>
      </c>
      <c r="I59" s="23">
        <v>350</v>
      </c>
      <c r="J59" s="23" t="s">
        <v>22</v>
      </c>
      <c r="K59" s="23" t="s">
        <v>23</v>
      </c>
      <c r="L59" s="23">
        <v>349</v>
      </c>
      <c r="M59" s="23" t="s">
        <v>30</v>
      </c>
      <c r="N59" s="24">
        <v>46309.707002314812</v>
      </c>
      <c r="O59" s="23">
        <v>350</v>
      </c>
      <c r="P59" s="23" t="s">
        <v>25</v>
      </c>
      <c r="Q59" s="23">
        <v>40</v>
      </c>
      <c r="R59" s="3" t="str">
        <f>IF(OR(G59="12R",G59="12L"),_xlfn.XLOOKUP(C59,Tabla42[ADEP],Tabla42[SID 12R],""),IF(OR(G59="30L",G59="30R"),_xlfn.XLOOKUP(C59,Tabla42[ADEP],Tabla42[SID 30L],""),""))</f>
        <v>OMSUK</v>
      </c>
      <c r="S59" s="3">
        <f t="shared" si="0"/>
        <v>16</v>
      </c>
      <c r="T59" s="3" t="str">
        <f>_xlfn.XLOOKUP(C59,Tabla42[ADEP],Tabla42[Sector],"")</f>
        <v>Sector 3</v>
      </c>
    </row>
    <row r="60" spans="1:20" x14ac:dyDescent="0.2">
      <c r="A60" s="23" t="s">
        <v>156</v>
      </c>
      <c r="B60" s="23" t="s">
        <v>18</v>
      </c>
      <c r="C60" s="23" t="s">
        <v>109</v>
      </c>
      <c r="D60" s="23" t="s">
        <v>122</v>
      </c>
      <c r="E60" s="23" t="s">
        <v>2110</v>
      </c>
      <c r="F60" s="24">
        <v>46309.6878125</v>
      </c>
      <c r="G60" s="23" t="s">
        <v>21</v>
      </c>
      <c r="H60" s="23" t="s">
        <v>4663</v>
      </c>
      <c r="I60" s="23">
        <v>350</v>
      </c>
      <c r="J60" s="23" t="s">
        <v>22</v>
      </c>
      <c r="K60" s="23" t="s">
        <v>23</v>
      </c>
      <c r="L60" s="23">
        <v>149</v>
      </c>
      <c r="M60" s="23" t="s">
        <v>111</v>
      </c>
      <c r="N60" s="24">
        <v>46309.698020833333</v>
      </c>
      <c r="O60" s="23">
        <v>290</v>
      </c>
      <c r="P60" s="23" t="s">
        <v>25</v>
      </c>
      <c r="Q60" s="23">
        <v>190</v>
      </c>
      <c r="R60" s="3" t="str">
        <f>IF(OR(G60="12R",G60="12L"),_xlfn.XLOOKUP(C60,Tabla42[ADEP],Tabla42[SID 12R],""),IF(OR(G60="30L",G60="30R"),_xlfn.XLOOKUP(C60,Tabla42[ADEP],Tabla42[SID 30L],""),""))</f>
        <v>TAKUX</v>
      </c>
      <c r="S60" s="3">
        <f t="shared" si="0"/>
        <v>16</v>
      </c>
      <c r="T60" s="3" t="str">
        <f>_xlfn.XLOOKUP(C60,Tabla42[ADEP],Tabla42[Sector],"")</f>
        <v>Sector 7</v>
      </c>
    </row>
    <row r="61" spans="1:20" x14ac:dyDescent="0.2">
      <c r="A61" s="23" t="s">
        <v>143</v>
      </c>
      <c r="B61" s="23" t="s">
        <v>18</v>
      </c>
      <c r="C61" s="23" t="s">
        <v>32</v>
      </c>
      <c r="D61" s="23" t="s">
        <v>20</v>
      </c>
      <c r="E61" s="23" t="s">
        <v>819</v>
      </c>
      <c r="F61" s="24">
        <v>46309.690960648149</v>
      </c>
      <c r="G61" s="23" t="s">
        <v>21</v>
      </c>
      <c r="H61" s="23" t="s">
        <v>4664</v>
      </c>
      <c r="I61" s="23">
        <v>360</v>
      </c>
      <c r="J61" s="23" t="s">
        <v>22</v>
      </c>
      <c r="K61" s="23" t="s">
        <v>23</v>
      </c>
      <c r="L61" s="23">
        <v>860</v>
      </c>
      <c r="M61" s="23" t="s">
        <v>35</v>
      </c>
      <c r="N61" s="24">
        <v>46309.734016203707</v>
      </c>
      <c r="O61" s="23">
        <v>360</v>
      </c>
      <c r="P61" s="23" t="s">
        <v>25</v>
      </c>
      <c r="Q61" s="23">
        <v>190</v>
      </c>
      <c r="R61" s="3" t="str">
        <f>IF(OR(G61="12R",G61="12L"),_xlfn.XLOOKUP(C61,Tabla42[ADEP],Tabla42[SID 12R],""),IF(OR(G61="30L",G61="30R"),_xlfn.XLOOKUP(C61,Tabla42[ADEP],Tabla42[SID 30L],""),""))</f>
        <v>UDGUV</v>
      </c>
      <c r="S61" s="3">
        <f t="shared" si="0"/>
        <v>16</v>
      </c>
      <c r="T61" s="3" t="str">
        <f>_xlfn.XLOOKUP(C61,Tabla42[ADEP],Tabla42[Sector],"")</f>
        <v>Sector 2</v>
      </c>
    </row>
    <row r="62" spans="1:20" x14ac:dyDescent="0.2">
      <c r="A62" s="23" t="s">
        <v>4665</v>
      </c>
      <c r="B62" s="23" t="s">
        <v>18</v>
      </c>
      <c r="C62" s="23" t="s">
        <v>4666</v>
      </c>
      <c r="D62" s="23" t="s">
        <v>626</v>
      </c>
      <c r="E62" s="23"/>
      <c r="F62" s="24">
        <v>46309.692442129628</v>
      </c>
      <c r="G62" s="23" t="s">
        <v>21</v>
      </c>
      <c r="H62" s="23" t="s">
        <v>4667</v>
      </c>
      <c r="I62" s="23">
        <v>400</v>
      </c>
      <c r="J62" s="23" t="s">
        <v>22</v>
      </c>
      <c r="K62" s="23" t="s">
        <v>50</v>
      </c>
      <c r="L62" s="23">
        <v>432</v>
      </c>
      <c r="M62" s="23" t="s">
        <v>189</v>
      </c>
      <c r="N62" s="24">
        <v>46309.721597222226</v>
      </c>
      <c r="O62" s="23">
        <v>400</v>
      </c>
      <c r="P62" s="23" t="s">
        <v>129</v>
      </c>
      <c r="Q62" s="23">
        <v>40</v>
      </c>
      <c r="R62" s="3" t="str">
        <f>IF(OR(G62="12R",G62="12L"),_xlfn.XLOOKUP(C62,Tabla42[ADEP],Tabla42[SID 12R],""),IF(OR(G62="30L",G62="30R"),_xlfn.XLOOKUP(C62,Tabla42[ADEP],Tabla42[SID 30L],""),""))</f>
        <v/>
      </c>
      <c r="S62" s="3">
        <f t="shared" si="0"/>
        <v>16</v>
      </c>
      <c r="T62" s="3" t="str">
        <f>_xlfn.XLOOKUP(C62,Tabla42[ADEP],Tabla42[Sector],"")</f>
        <v/>
      </c>
    </row>
    <row r="63" spans="1:20" x14ac:dyDescent="0.2">
      <c r="A63" s="23" t="s">
        <v>373</v>
      </c>
      <c r="B63" s="23" t="s">
        <v>18</v>
      </c>
      <c r="C63" s="23" t="s">
        <v>32</v>
      </c>
      <c r="D63" s="23" t="s">
        <v>20</v>
      </c>
      <c r="E63" s="23" t="s">
        <v>2024</v>
      </c>
      <c r="F63" s="24">
        <v>46309.694212962961</v>
      </c>
      <c r="G63" s="23" t="s">
        <v>21</v>
      </c>
      <c r="H63" s="23" t="s">
        <v>4668</v>
      </c>
      <c r="I63" s="23">
        <v>360</v>
      </c>
      <c r="J63" s="23" t="s">
        <v>22</v>
      </c>
      <c r="K63" s="23" t="s">
        <v>141</v>
      </c>
      <c r="L63" s="23">
        <v>884</v>
      </c>
      <c r="M63" s="23" t="s">
        <v>35</v>
      </c>
      <c r="N63" s="24">
        <v>46309.738668981481</v>
      </c>
      <c r="O63" s="23">
        <v>360</v>
      </c>
      <c r="P63" s="23" t="s">
        <v>25</v>
      </c>
      <c r="Q63" s="23">
        <v>190</v>
      </c>
      <c r="R63" s="3" t="str">
        <f>IF(OR(G63="12R",G63="12L"),_xlfn.XLOOKUP(C63,Tabla42[ADEP],Tabla42[SID 12R],""),IF(OR(G63="30L",G63="30R"),_xlfn.XLOOKUP(C63,Tabla42[ADEP],Tabla42[SID 30L],""),""))</f>
        <v>UDGUV</v>
      </c>
      <c r="S63" s="3">
        <f t="shared" si="0"/>
        <v>16</v>
      </c>
      <c r="T63" s="3" t="str">
        <f>_xlfn.XLOOKUP(C63,Tabla42[ADEP],Tabla42[Sector],"")</f>
        <v>Sector 2</v>
      </c>
    </row>
    <row r="64" spans="1:20" x14ac:dyDescent="0.2">
      <c r="A64" s="23" t="s">
        <v>2990</v>
      </c>
      <c r="B64" s="23" t="s">
        <v>18</v>
      </c>
      <c r="C64" s="23" t="s">
        <v>444</v>
      </c>
      <c r="D64" s="23" t="s">
        <v>60</v>
      </c>
      <c r="E64" s="23" t="s">
        <v>4669</v>
      </c>
      <c r="F64" s="24">
        <v>46309.695370370369</v>
      </c>
      <c r="G64" s="23" t="s">
        <v>21</v>
      </c>
      <c r="H64" s="23" t="s">
        <v>4670</v>
      </c>
      <c r="I64" s="23">
        <v>380</v>
      </c>
      <c r="J64" s="23" t="s">
        <v>22</v>
      </c>
      <c r="K64" s="23" t="s">
        <v>23</v>
      </c>
      <c r="L64" s="23">
        <v>426</v>
      </c>
      <c r="M64" s="23" t="s">
        <v>189</v>
      </c>
      <c r="N64" s="24">
        <v>46309.719247685185</v>
      </c>
      <c r="O64" s="23">
        <v>380</v>
      </c>
      <c r="P64" s="23" t="s">
        <v>25</v>
      </c>
      <c r="Q64" s="23">
        <v>40</v>
      </c>
      <c r="R64" s="3" t="str">
        <f>IF(OR(G64="12R",G64="12L"),_xlfn.XLOOKUP(C64,Tabla42[ADEP],Tabla42[SID 12R],""),IF(OR(G64="30L",G64="30R"),_xlfn.XLOOKUP(C64,Tabla42[ADEP],Tabla42[SID 30L],""),""))</f>
        <v>ENEBA</v>
      </c>
      <c r="S64" s="3">
        <f t="shared" si="0"/>
        <v>16</v>
      </c>
      <c r="T64" s="3" t="str">
        <f>_xlfn.XLOOKUP(C64,Tabla42[ADEP],Tabla42[Sector],"")</f>
        <v>Sector 3</v>
      </c>
    </row>
    <row r="65" spans="1:20" x14ac:dyDescent="0.2">
      <c r="A65" s="23" t="s">
        <v>159</v>
      </c>
      <c r="B65" s="23" t="s">
        <v>18</v>
      </c>
      <c r="C65" s="23" t="s">
        <v>160</v>
      </c>
      <c r="D65" s="23" t="s">
        <v>53</v>
      </c>
      <c r="E65" s="23" t="s">
        <v>603</v>
      </c>
      <c r="F65" s="24">
        <v>46309.696574074071</v>
      </c>
      <c r="G65" s="23" t="s">
        <v>21</v>
      </c>
      <c r="H65" s="23" t="s">
        <v>4671</v>
      </c>
      <c r="I65" s="23">
        <v>380</v>
      </c>
      <c r="J65" s="23" t="s">
        <v>22</v>
      </c>
      <c r="K65" s="23" t="s">
        <v>23</v>
      </c>
      <c r="L65" s="23">
        <v>331</v>
      </c>
      <c r="M65" s="23" t="s">
        <v>2433</v>
      </c>
      <c r="N65" s="24">
        <v>46309.715763888889</v>
      </c>
      <c r="O65" s="23">
        <v>380</v>
      </c>
      <c r="P65" s="23" t="s">
        <v>25</v>
      </c>
      <c r="Q65" s="23">
        <v>190</v>
      </c>
      <c r="R65" s="3" t="str">
        <f>IF(OR(G65="12R",G65="12L"),_xlfn.XLOOKUP(C65,Tabla42[ADEP],Tabla42[SID 12R],""),IF(OR(G65="30L",G65="30R"),_xlfn.XLOOKUP(C65,Tabla42[ADEP],Tabla42[SID 30L],""),""))</f>
        <v>CZM</v>
      </c>
      <c r="S65" s="3">
        <f t="shared" si="0"/>
        <v>16</v>
      </c>
      <c r="T65" s="3" t="str">
        <f>_xlfn.XLOOKUP(C65,Tabla42[ADEP],Tabla42[Sector],"")</f>
        <v>Sector 7</v>
      </c>
    </row>
    <row r="66" spans="1:20" x14ac:dyDescent="0.2">
      <c r="A66" s="23" t="s">
        <v>2984</v>
      </c>
      <c r="B66" s="23" t="s">
        <v>18</v>
      </c>
      <c r="C66" s="23" t="s">
        <v>188</v>
      </c>
      <c r="D66" s="23" t="s">
        <v>60</v>
      </c>
      <c r="E66" s="23" t="s">
        <v>4472</v>
      </c>
      <c r="F66" s="24">
        <v>46309.697847222225</v>
      </c>
      <c r="G66" s="23" t="s">
        <v>21</v>
      </c>
      <c r="H66" s="23" t="s">
        <v>4672</v>
      </c>
      <c r="I66" s="23">
        <v>380</v>
      </c>
      <c r="J66" s="23" t="s">
        <v>22</v>
      </c>
      <c r="K66" s="23" t="s">
        <v>23</v>
      </c>
      <c r="L66" s="23">
        <v>368</v>
      </c>
      <c r="M66" s="23" t="s">
        <v>250</v>
      </c>
      <c r="N66" s="24">
        <v>46309.718842592592</v>
      </c>
      <c r="O66" s="23">
        <v>360</v>
      </c>
      <c r="P66" s="23" t="s">
        <v>25</v>
      </c>
      <c r="Q66" s="23">
        <v>40</v>
      </c>
      <c r="R66" s="3" t="str">
        <f>IF(OR(G66="12R",G66="12L"),_xlfn.XLOOKUP(C66,Tabla42[ADEP],Tabla42[SID 12R],""),IF(OR(G66="30L",G66="30R"),_xlfn.XLOOKUP(C66,Tabla42[ADEP],Tabla42[SID 30L],""),""))</f>
        <v>ENEBA</v>
      </c>
      <c r="S66" s="3">
        <f t="shared" si="0"/>
        <v>16</v>
      </c>
      <c r="T66" s="3" t="str">
        <f>_xlfn.XLOOKUP(C66,Tabla42[ADEP],Tabla42[Sector],"")</f>
        <v>Sector 3</v>
      </c>
    </row>
    <row r="67" spans="1:20" x14ac:dyDescent="0.2">
      <c r="A67" s="23" t="s">
        <v>181</v>
      </c>
      <c r="B67" s="23" t="s">
        <v>18</v>
      </c>
      <c r="C67" s="23" t="s">
        <v>42</v>
      </c>
      <c r="D67" s="23" t="s">
        <v>43</v>
      </c>
      <c r="E67" s="23" t="s">
        <v>269</v>
      </c>
      <c r="F67" s="24">
        <v>46309.698831018519</v>
      </c>
      <c r="G67" s="23" t="s">
        <v>21</v>
      </c>
      <c r="H67" s="23" t="s">
        <v>4673</v>
      </c>
      <c r="I67" s="23">
        <v>340</v>
      </c>
      <c r="J67" s="23" t="s">
        <v>22</v>
      </c>
      <c r="K67" s="23" t="s">
        <v>23</v>
      </c>
      <c r="L67" s="23">
        <v>860</v>
      </c>
      <c r="M67" s="23" t="s">
        <v>45</v>
      </c>
      <c r="N67" s="24">
        <v>46309.742581018516</v>
      </c>
      <c r="O67" s="23">
        <v>360</v>
      </c>
      <c r="P67" s="23" t="s">
        <v>25</v>
      </c>
      <c r="Q67" s="23">
        <v>190</v>
      </c>
      <c r="R67" s="3" t="str">
        <f>IF(OR(G67="12R",G67="12L"),_xlfn.XLOOKUP(C67,Tabla42[ADEP],Tabla42[SID 12R],""),IF(OR(G67="30L",G67="30R"),_xlfn.XLOOKUP(C67,Tabla42[ADEP],Tabla42[SID 30L],""),""))</f>
        <v>UDGUV</v>
      </c>
      <c r="S67" s="3">
        <f t="shared" ref="S67:S130" si="1">HOUR(F67)</f>
        <v>16</v>
      </c>
      <c r="T67" s="3" t="str">
        <f>_xlfn.XLOOKUP(C67,Tabla42[ADEP],Tabla42[Sector],"")</f>
        <v>Sector 2</v>
      </c>
    </row>
    <row r="68" spans="1:20" x14ac:dyDescent="0.2">
      <c r="A68" s="23" t="s">
        <v>152</v>
      </c>
      <c r="B68" s="23" t="s">
        <v>18</v>
      </c>
      <c r="C68" s="23" t="s">
        <v>153</v>
      </c>
      <c r="D68" s="23" t="s">
        <v>33</v>
      </c>
      <c r="E68" s="23" t="s">
        <v>147</v>
      </c>
      <c r="F68" s="24">
        <v>46309.701354166667</v>
      </c>
      <c r="G68" s="23" t="s">
        <v>21</v>
      </c>
      <c r="H68" s="23" t="s">
        <v>4674</v>
      </c>
      <c r="I68" s="23">
        <v>360</v>
      </c>
      <c r="J68" s="23" t="s">
        <v>22</v>
      </c>
      <c r="K68" s="23" t="s">
        <v>23</v>
      </c>
      <c r="L68" s="23">
        <v>866</v>
      </c>
      <c r="M68" s="23" t="s">
        <v>35</v>
      </c>
      <c r="N68" s="24">
        <v>46309.745416666665</v>
      </c>
      <c r="O68" s="23">
        <v>360</v>
      </c>
      <c r="P68" s="23" t="s">
        <v>25</v>
      </c>
      <c r="Q68" s="23">
        <v>190</v>
      </c>
      <c r="R68" s="3" t="str">
        <f>IF(OR(G68="12R",G68="12L"),_xlfn.XLOOKUP(C68,Tabla42[ADEP],Tabla42[SID 12R],""),IF(OR(G68="30L",G68="30R"),_xlfn.XLOOKUP(C68,Tabla42[ADEP],Tabla42[SID 30L],""),""))</f>
        <v>UDGUV</v>
      </c>
      <c r="S68" s="3">
        <f t="shared" si="1"/>
        <v>16</v>
      </c>
      <c r="T68" s="3" t="str">
        <f>_xlfn.XLOOKUP(C68,Tabla42[ADEP],Tabla42[Sector],"")</f>
        <v>Sector 2</v>
      </c>
    </row>
    <row r="69" spans="1:20" x14ac:dyDescent="0.2">
      <c r="A69" s="23" t="s">
        <v>2076</v>
      </c>
      <c r="B69" s="23" t="s">
        <v>18</v>
      </c>
      <c r="C69" s="23" t="s">
        <v>154</v>
      </c>
      <c r="D69" s="23" t="s">
        <v>2077</v>
      </c>
      <c r="E69" s="23"/>
      <c r="F69" s="24">
        <v>46309.702951388892</v>
      </c>
      <c r="G69" s="23" t="s">
        <v>21</v>
      </c>
      <c r="H69" s="23" t="s">
        <v>155</v>
      </c>
      <c r="I69" s="23">
        <v>15</v>
      </c>
      <c r="J69" s="23" t="s">
        <v>130</v>
      </c>
      <c r="K69" s="23" t="s">
        <v>50</v>
      </c>
      <c r="L69" s="23">
        <v>58</v>
      </c>
      <c r="M69" s="23" t="s">
        <v>154</v>
      </c>
      <c r="N69" s="24">
        <v>46309.72111111111</v>
      </c>
      <c r="O69" s="23">
        <v>0</v>
      </c>
      <c r="P69" s="23" t="s">
        <v>129</v>
      </c>
      <c r="Q69" s="23">
        <v>15</v>
      </c>
      <c r="R69" s="3" t="str">
        <f>IF(OR(G69="12R",G69="12L"),_xlfn.XLOOKUP(C69,Tabla42[ADEP],Tabla42[SID 12R],""),IF(OR(G69="30L",G69="30R"),_xlfn.XLOOKUP(C69,Tabla42[ADEP],Tabla42[SID 30L],""),""))</f>
        <v>CZM</v>
      </c>
      <c r="S69" s="3">
        <f t="shared" si="1"/>
        <v>16</v>
      </c>
      <c r="T69" s="3" t="str">
        <f>_xlfn.XLOOKUP(C69,Tabla42[ADEP],Tabla42[Sector],"")</f>
        <v>Sector 7</v>
      </c>
    </row>
    <row r="70" spans="1:20" x14ac:dyDescent="0.2">
      <c r="A70" s="23" t="s">
        <v>173</v>
      </c>
      <c r="B70" s="23" t="s">
        <v>18</v>
      </c>
      <c r="C70" s="23" t="s">
        <v>18</v>
      </c>
      <c r="D70" s="23" t="s">
        <v>174</v>
      </c>
      <c r="E70" s="23"/>
      <c r="F70" s="24">
        <v>46309.704861111109</v>
      </c>
      <c r="G70" s="23" t="s">
        <v>21</v>
      </c>
      <c r="H70" s="23" t="s">
        <v>2078</v>
      </c>
      <c r="I70" s="23">
        <v>15</v>
      </c>
      <c r="J70" s="23" t="s">
        <v>130</v>
      </c>
      <c r="K70" s="23" t="s">
        <v>50</v>
      </c>
      <c r="L70" s="23">
        <v>122</v>
      </c>
      <c r="M70" s="23" t="s">
        <v>18</v>
      </c>
      <c r="N70" s="24">
        <v>46309.765625</v>
      </c>
      <c r="O70" s="23">
        <v>0</v>
      </c>
      <c r="P70" s="23" t="s">
        <v>129</v>
      </c>
      <c r="Q70" s="23">
        <v>15</v>
      </c>
      <c r="R70" s="3" t="str">
        <f>IF(OR(G70="12R",G70="12L"),_xlfn.XLOOKUP(C70,Tabla42[ADEP],Tabla42[SID 12R],""),IF(OR(G70="30L",G70="30R"),_xlfn.XLOOKUP(C70,Tabla42[ADEP],Tabla42[SID 30L],""),""))</f>
        <v/>
      </c>
      <c r="S70" s="3">
        <f t="shared" si="1"/>
        <v>16</v>
      </c>
      <c r="T70" s="3" t="str">
        <f>_xlfn.XLOOKUP(C70,Tabla42[ADEP],Tabla42[Sector],"")</f>
        <v/>
      </c>
    </row>
    <row r="71" spans="1:20" x14ac:dyDescent="0.2">
      <c r="A71" s="23" t="s">
        <v>177</v>
      </c>
      <c r="B71" s="23" t="s">
        <v>18</v>
      </c>
      <c r="C71" s="23" t="s">
        <v>109</v>
      </c>
      <c r="D71" s="23" t="s">
        <v>122</v>
      </c>
      <c r="E71" s="23" t="s">
        <v>4675</v>
      </c>
      <c r="F71" s="24">
        <v>46309.706562500003</v>
      </c>
      <c r="G71" s="23" t="s">
        <v>21</v>
      </c>
      <c r="H71" s="23" t="s">
        <v>4676</v>
      </c>
      <c r="I71" s="23">
        <v>350</v>
      </c>
      <c r="J71" s="23" t="s">
        <v>22</v>
      </c>
      <c r="K71" s="23" t="s">
        <v>23</v>
      </c>
      <c r="L71" s="23">
        <v>150</v>
      </c>
      <c r="M71" s="23" t="s">
        <v>111</v>
      </c>
      <c r="N71" s="24">
        <v>46309.716412037036</v>
      </c>
      <c r="O71" s="23">
        <v>261</v>
      </c>
      <c r="P71" s="23" t="s">
        <v>25</v>
      </c>
      <c r="Q71" s="23">
        <v>190</v>
      </c>
      <c r="R71" s="3" t="str">
        <f>IF(OR(G71="12R",G71="12L"),_xlfn.XLOOKUP(C71,Tabla42[ADEP],Tabla42[SID 12R],""),IF(OR(G71="30L",G71="30R"),_xlfn.XLOOKUP(C71,Tabla42[ADEP],Tabla42[SID 30L],""),""))</f>
        <v>TAKUX</v>
      </c>
      <c r="S71" s="3">
        <f t="shared" si="1"/>
        <v>16</v>
      </c>
      <c r="T71" s="3" t="str">
        <f>_xlfn.XLOOKUP(C71,Tabla42[ADEP],Tabla42[Sector],"")</f>
        <v>Sector 7</v>
      </c>
    </row>
    <row r="72" spans="1:20" x14ac:dyDescent="0.2">
      <c r="A72" s="23" t="s">
        <v>180</v>
      </c>
      <c r="B72" s="23" t="s">
        <v>18</v>
      </c>
      <c r="C72" s="23" t="s">
        <v>133</v>
      </c>
      <c r="D72" s="23" t="s">
        <v>60</v>
      </c>
      <c r="E72" s="23" t="s">
        <v>803</v>
      </c>
      <c r="F72" s="24">
        <v>46309.71025462963</v>
      </c>
      <c r="G72" s="23" t="s">
        <v>21</v>
      </c>
      <c r="H72" s="23" t="s">
        <v>4677</v>
      </c>
      <c r="I72" s="23">
        <v>330</v>
      </c>
      <c r="J72" s="23" t="s">
        <v>22</v>
      </c>
      <c r="K72" s="23" t="s">
        <v>23</v>
      </c>
      <c r="L72" s="23">
        <v>371</v>
      </c>
      <c r="M72" s="23" t="s">
        <v>30</v>
      </c>
      <c r="N72" s="24">
        <v>46309.731909722221</v>
      </c>
      <c r="O72" s="23">
        <v>330</v>
      </c>
      <c r="P72" s="23" t="s">
        <v>25</v>
      </c>
      <c r="Q72" s="23">
        <v>40</v>
      </c>
      <c r="R72" s="3" t="str">
        <f>IF(OR(G72="12R",G72="12L"),_xlfn.XLOOKUP(C72,Tabla42[ADEP],Tabla42[SID 12R],""),IF(OR(G72="30L",G72="30R"),_xlfn.XLOOKUP(C72,Tabla42[ADEP],Tabla42[SID 30L],""),""))</f>
        <v>OMSUK</v>
      </c>
      <c r="S72" s="3">
        <f t="shared" si="1"/>
        <v>17</v>
      </c>
      <c r="T72" s="3" t="str">
        <f>_xlfn.XLOOKUP(C72,Tabla42[ADEP],Tabla42[Sector],"")</f>
        <v>Sector 3</v>
      </c>
    </row>
    <row r="73" spans="1:20" x14ac:dyDescent="0.2">
      <c r="A73" s="23" t="s">
        <v>186</v>
      </c>
      <c r="B73" s="23" t="s">
        <v>18</v>
      </c>
      <c r="C73" s="23" t="s">
        <v>121</v>
      </c>
      <c r="D73" s="23" t="s">
        <v>20</v>
      </c>
      <c r="E73" s="23" t="s">
        <v>4232</v>
      </c>
      <c r="F73" s="24">
        <v>46309.713217592594</v>
      </c>
      <c r="G73" s="23" t="s">
        <v>21</v>
      </c>
      <c r="H73" s="23" t="s">
        <v>4678</v>
      </c>
      <c r="I73" s="23">
        <v>360</v>
      </c>
      <c r="J73" s="23" t="s">
        <v>22</v>
      </c>
      <c r="K73" s="23" t="s">
        <v>23</v>
      </c>
      <c r="L73" s="23">
        <v>524</v>
      </c>
      <c r="M73" s="23" t="s">
        <v>123</v>
      </c>
      <c r="N73" s="24">
        <v>46309.741782407407</v>
      </c>
      <c r="O73" s="23">
        <v>360</v>
      </c>
      <c r="P73" s="23" t="s">
        <v>25</v>
      </c>
      <c r="Q73" s="23">
        <v>40</v>
      </c>
      <c r="R73" s="3" t="str">
        <f>IF(OR(G73="12R",G73="12L"),_xlfn.XLOOKUP(C73,Tabla42[ADEP],Tabla42[SID 12R],""),IF(OR(G73="30L",G73="30R"),_xlfn.XLOOKUP(C73,Tabla42[ADEP],Tabla42[SID 30L],""),""))</f>
        <v>ENEBA</v>
      </c>
      <c r="S73" s="3">
        <f t="shared" si="1"/>
        <v>17</v>
      </c>
      <c r="T73" s="3" t="str">
        <f>_xlfn.XLOOKUP(C73,Tabla42[ADEP],Tabla42[Sector],"")</f>
        <v>Sector 3</v>
      </c>
    </row>
    <row r="74" spans="1:20" x14ac:dyDescent="0.2">
      <c r="A74" s="23" t="s">
        <v>178</v>
      </c>
      <c r="B74" s="23" t="s">
        <v>18</v>
      </c>
      <c r="C74" s="23" t="s">
        <v>179</v>
      </c>
      <c r="D74" s="23" t="s">
        <v>53</v>
      </c>
      <c r="E74" s="23" t="s">
        <v>393</v>
      </c>
      <c r="F74" s="24">
        <v>46309.714861111112</v>
      </c>
      <c r="G74" s="23" t="s">
        <v>21</v>
      </c>
      <c r="H74" s="23" t="s">
        <v>4679</v>
      </c>
      <c r="I74" s="23">
        <v>380</v>
      </c>
      <c r="J74" s="23" t="s">
        <v>22</v>
      </c>
      <c r="K74" s="23" t="s">
        <v>23</v>
      </c>
      <c r="L74" s="23">
        <v>828</v>
      </c>
      <c r="M74" s="23" t="s">
        <v>179</v>
      </c>
      <c r="N74" s="24">
        <v>46309.760393518518</v>
      </c>
      <c r="O74" s="23">
        <v>15</v>
      </c>
      <c r="P74" s="23" t="s">
        <v>25</v>
      </c>
      <c r="Q74" s="23">
        <v>190</v>
      </c>
      <c r="R74" s="3" t="str">
        <f>IF(OR(G74="12R",G74="12L"),_xlfn.XLOOKUP(C74,Tabla42[ADEP],Tabla42[SID 12R],""),IF(OR(G74="30L",G74="30R"),_xlfn.XLOOKUP(C74,Tabla42[ADEP],Tabla42[SID 30L],""),""))</f>
        <v>UDGUV</v>
      </c>
      <c r="S74" s="3">
        <f t="shared" si="1"/>
        <v>17</v>
      </c>
      <c r="T74" s="3" t="str">
        <f>_xlfn.XLOOKUP(C74,Tabla42[ADEP],Tabla42[Sector],"")</f>
        <v>Sector 2</v>
      </c>
    </row>
    <row r="75" spans="1:20" x14ac:dyDescent="0.2">
      <c r="A75" s="23" t="s">
        <v>378</v>
      </c>
      <c r="B75" s="23" t="s">
        <v>18</v>
      </c>
      <c r="C75" s="23" t="s">
        <v>62</v>
      </c>
      <c r="D75" s="23" t="s">
        <v>53</v>
      </c>
      <c r="E75" s="23" t="s">
        <v>956</v>
      </c>
      <c r="F75" s="24">
        <v>46309.716446759259</v>
      </c>
      <c r="G75" s="23" t="s">
        <v>21</v>
      </c>
      <c r="H75" s="23" t="s">
        <v>4680</v>
      </c>
      <c r="I75" s="23">
        <v>380</v>
      </c>
      <c r="J75" s="23" t="s">
        <v>22</v>
      </c>
      <c r="K75" s="23" t="s">
        <v>23</v>
      </c>
      <c r="L75" s="23">
        <v>864</v>
      </c>
      <c r="M75" s="23" t="s">
        <v>167</v>
      </c>
      <c r="N75" s="24">
        <v>46309.760636574072</v>
      </c>
      <c r="O75" s="23">
        <v>380</v>
      </c>
      <c r="P75" s="23" t="s">
        <v>25</v>
      </c>
      <c r="Q75" s="23">
        <v>190</v>
      </c>
      <c r="R75" s="3" t="str">
        <f>IF(OR(G75="12R",G75="12L"),_xlfn.XLOOKUP(C75,Tabla42[ADEP],Tabla42[SID 12R],""),IF(OR(G75="30L",G75="30R"),_xlfn.XLOOKUP(C75,Tabla42[ADEP],Tabla42[SID 30L],""),""))</f>
        <v>UDGUV</v>
      </c>
      <c r="S75" s="3">
        <f t="shared" si="1"/>
        <v>17</v>
      </c>
      <c r="T75" s="3" t="str">
        <f>_xlfn.XLOOKUP(C75,Tabla42[ADEP],Tabla42[Sector],"")</f>
        <v>Sector 2</v>
      </c>
    </row>
    <row r="76" spans="1:20" x14ac:dyDescent="0.2">
      <c r="A76" s="23" t="s">
        <v>3027</v>
      </c>
      <c r="B76" s="23" t="s">
        <v>18</v>
      </c>
      <c r="C76" s="23" t="s">
        <v>190</v>
      </c>
      <c r="D76" s="23" t="s">
        <v>33</v>
      </c>
      <c r="E76" s="23" t="s">
        <v>4681</v>
      </c>
      <c r="F76" s="24">
        <v>46309.717407407406</v>
      </c>
      <c r="G76" s="23" t="s">
        <v>21</v>
      </c>
      <c r="H76" s="23" t="s">
        <v>4682</v>
      </c>
      <c r="I76" s="23">
        <v>350</v>
      </c>
      <c r="J76" s="23" t="s">
        <v>22</v>
      </c>
      <c r="K76" s="23" t="s">
        <v>23</v>
      </c>
      <c r="L76" s="23">
        <v>360</v>
      </c>
      <c r="M76" s="23" t="s">
        <v>30</v>
      </c>
      <c r="N76" s="24">
        <v>46309.737372685187</v>
      </c>
      <c r="O76" s="23">
        <v>350</v>
      </c>
      <c r="P76" s="23" t="s">
        <v>25</v>
      </c>
      <c r="Q76" s="23">
        <v>40</v>
      </c>
      <c r="R76" s="3" t="str">
        <f>IF(OR(G76="12R",G76="12L"),_xlfn.XLOOKUP(C76,Tabla42[ADEP],Tabla42[SID 12R],""),IF(OR(G76="30L",G76="30R"),_xlfn.XLOOKUP(C76,Tabla42[ADEP],Tabla42[SID 30L],""),""))</f>
        <v>NUDAL</v>
      </c>
      <c r="S76" s="3">
        <f t="shared" si="1"/>
        <v>17</v>
      </c>
      <c r="T76" s="3" t="str">
        <f>_xlfn.XLOOKUP(C76,Tabla42[ADEP],Tabla42[Sector],"")</f>
        <v>Sector 3</v>
      </c>
    </row>
    <row r="77" spans="1:20" x14ac:dyDescent="0.2">
      <c r="A77" s="23" t="s">
        <v>3915</v>
      </c>
      <c r="B77" s="23" t="s">
        <v>18</v>
      </c>
      <c r="C77" s="23" t="s">
        <v>388</v>
      </c>
      <c r="D77" s="23" t="s">
        <v>122</v>
      </c>
      <c r="E77" s="23" t="s">
        <v>4683</v>
      </c>
      <c r="F77" s="24">
        <v>46309.718738425923</v>
      </c>
      <c r="G77" s="23" t="s">
        <v>21</v>
      </c>
      <c r="H77" s="23" t="s">
        <v>4684</v>
      </c>
      <c r="I77" s="23">
        <v>400</v>
      </c>
      <c r="J77" s="23" t="s">
        <v>22</v>
      </c>
      <c r="K77" s="23" t="s">
        <v>23</v>
      </c>
      <c r="L77" s="23">
        <v>446</v>
      </c>
      <c r="M77" s="23" t="s">
        <v>189</v>
      </c>
      <c r="N77" s="24">
        <v>46309.742743055554</v>
      </c>
      <c r="O77" s="23">
        <v>400</v>
      </c>
      <c r="P77" s="23" t="s">
        <v>25</v>
      </c>
      <c r="Q77" s="23">
        <v>40</v>
      </c>
      <c r="R77" s="3" t="str">
        <f>IF(OR(G77="12R",G77="12L"),_xlfn.XLOOKUP(C77,Tabla42[ADEP],Tabla42[SID 12R],""),IF(OR(G77="30L",G77="30R"),_xlfn.XLOOKUP(C77,Tabla42[ADEP],Tabla42[SID 30L],""),""))</f>
        <v>ENEBA</v>
      </c>
      <c r="S77" s="3">
        <f t="shared" si="1"/>
        <v>17</v>
      </c>
      <c r="T77" s="3" t="str">
        <f>_xlfn.XLOOKUP(C77,Tabla42[ADEP],Tabla42[Sector],"")</f>
        <v>Sector 3</v>
      </c>
    </row>
    <row r="78" spans="1:20" x14ac:dyDescent="0.2">
      <c r="A78" s="23" t="s">
        <v>270</v>
      </c>
      <c r="B78" s="23" t="s">
        <v>18</v>
      </c>
      <c r="C78" s="23" t="s">
        <v>93</v>
      </c>
      <c r="D78" s="23" t="s">
        <v>53</v>
      </c>
      <c r="E78" s="23" t="s">
        <v>106</v>
      </c>
      <c r="F78" s="24">
        <v>46309.719895833332</v>
      </c>
      <c r="G78" s="23" t="s">
        <v>21</v>
      </c>
      <c r="H78" s="23" t="s">
        <v>4685</v>
      </c>
      <c r="I78" s="23">
        <v>380</v>
      </c>
      <c r="J78" s="23" t="s">
        <v>22</v>
      </c>
      <c r="K78" s="23" t="s">
        <v>23</v>
      </c>
      <c r="L78" s="23">
        <v>880</v>
      </c>
      <c r="M78" s="23" t="s">
        <v>4686</v>
      </c>
      <c r="N78" s="24">
        <v>46309.764733796299</v>
      </c>
      <c r="O78" s="23">
        <v>278</v>
      </c>
      <c r="P78" s="23" t="s">
        <v>25</v>
      </c>
      <c r="Q78" s="23">
        <v>190</v>
      </c>
      <c r="R78" s="3" t="str">
        <f>IF(OR(G78="12R",G78="12L"),_xlfn.XLOOKUP(C78,Tabla42[ADEP],Tabla42[SID 12R],""),IF(OR(G78="30L",G78="30R"),_xlfn.XLOOKUP(C78,Tabla42[ADEP],Tabla42[SID 30L],""),""))</f>
        <v>UDGUV</v>
      </c>
      <c r="S78" s="3">
        <f t="shared" si="1"/>
        <v>17</v>
      </c>
      <c r="T78" s="3" t="str">
        <f>_xlfn.XLOOKUP(C78,Tabla42[ADEP],Tabla42[Sector],"")</f>
        <v>Sector 2</v>
      </c>
    </row>
    <row r="79" spans="1:20" x14ac:dyDescent="0.2">
      <c r="A79" s="23" t="s">
        <v>187</v>
      </c>
      <c r="B79" s="23" t="s">
        <v>18</v>
      </c>
      <c r="C79" s="23" t="s">
        <v>188</v>
      </c>
      <c r="D79" s="23" t="s">
        <v>117</v>
      </c>
      <c r="E79" s="23" t="s">
        <v>796</v>
      </c>
      <c r="F79" s="24">
        <v>46309.720891203702</v>
      </c>
      <c r="G79" s="23" t="s">
        <v>21</v>
      </c>
      <c r="H79" s="23" t="s">
        <v>4687</v>
      </c>
      <c r="I79" s="23">
        <v>320</v>
      </c>
      <c r="J79" s="23" t="s">
        <v>22</v>
      </c>
      <c r="K79" s="23" t="s">
        <v>23</v>
      </c>
      <c r="L79" s="23">
        <v>433</v>
      </c>
      <c r="M79" s="23" t="s">
        <v>189</v>
      </c>
      <c r="N79" s="24">
        <v>46309.744849537034</v>
      </c>
      <c r="O79" s="23">
        <v>320</v>
      </c>
      <c r="P79" s="23" t="s">
        <v>25</v>
      </c>
      <c r="Q79" s="23">
        <v>40</v>
      </c>
      <c r="R79" s="3" t="str">
        <f>IF(OR(G79="12R",G79="12L"),_xlfn.XLOOKUP(C79,Tabla42[ADEP],Tabla42[SID 12R],""),IF(OR(G79="30L",G79="30R"),_xlfn.XLOOKUP(C79,Tabla42[ADEP],Tabla42[SID 30L],""),""))</f>
        <v>ENEBA</v>
      </c>
      <c r="S79" s="3">
        <f t="shared" si="1"/>
        <v>17</v>
      </c>
      <c r="T79" s="3" t="str">
        <f>_xlfn.XLOOKUP(C79,Tabla42[ADEP],Tabla42[Sector],"")</f>
        <v>Sector 3</v>
      </c>
    </row>
    <row r="80" spans="1:20" x14ac:dyDescent="0.2">
      <c r="A80" s="23" t="s">
        <v>4688</v>
      </c>
      <c r="B80" s="23" t="s">
        <v>18</v>
      </c>
      <c r="C80" s="23" t="s">
        <v>197</v>
      </c>
      <c r="D80" s="23" t="s">
        <v>520</v>
      </c>
      <c r="E80" s="23" t="s">
        <v>735</v>
      </c>
      <c r="F80" s="24">
        <v>46309.722800925927</v>
      </c>
      <c r="G80" s="23" t="s">
        <v>21</v>
      </c>
      <c r="H80" s="23" t="s">
        <v>4689</v>
      </c>
      <c r="I80" s="23">
        <v>430</v>
      </c>
      <c r="J80" s="23" t="s">
        <v>22</v>
      </c>
      <c r="K80" s="23" t="s">
        <v>141</v>
      </c>
      <c r="L80" s="23">
        <v>858</v>
      </c>
      <c r="M80" s="23" t="s">
        <v>35</v>
      </c>
      <c r="N80" s="24">
        <v>46309.766736111109</v>
      </c>
      <c r="O80" s="23">
        <v>430</v>
      </c>
      <c r="P80" s="23" t="s">
        <v>25</v>
      </c>
      <c r="Q80" s="23">
        <v>30</v>
      </c>
      <c r="R80" s="3" t="str">
        <f>IF(OR(G80="12R",G80="12L"),_xlfn.XLOOKUP(C80,Tabla42[ADEP],Tabla42[SID 12R],""),IF(OR(G80="30L",G80="30R"),_xlfn.XLOOKUP(C80,Tabla42[ADEP],Tabla42[SID 30L],""),""))</f>
        <v>UDGUV</v>
      </c>
      <c r="S80" s="3">
        <f t="shared" si="1"/>
        <v>17</v>
      </c>
      <c r="T80" s="3" t="str">
        <f>_xlfn.XLOOKUP(C80,Tabla42[ADEP],Tabla42[Sector],"")</f>
        <v>Sector 2</v>
      </c>
    </row>
    <row r="81" spans="1:20" x14ac:dyDescent="0.2">
      <c r="A81" s="23" t="s">
        <v>4690</v>
      </c>
      <c r="B81" s="23" t="s">
        <v>18</v>
      </c>
      <c r="C81" s="23" t="s">
        <v>4691</v>
      </c>
      <c r="D81" s="23" t="s">
        <v>4692</v>
      </c>
      <c r="E81" s="23"/>
      <c r="F81" s="24">
        <v>46309.723877314813</v>
      </c>
      <c r="G81" s="23" t="s">
        <v>21</v>
      </c>
      <c r="H81" s="23" t="s">
        <v>4693</v>
      </c>
      <c r="I81" s="23">
        <v>430</v>
      </c>
      <c r="J81" s="23" t="s">
        <v>22</v>
      </c>
      <c r="K81" s="23" t="s">
        <v>50</v>
      </c>
      <c r="L81" s="23">
        <v>446</v>
      </c>
      <c r="M81" s="23" t="s">
        <v>189</v>
      </c>
      <c r="N81" s="24">
        <v>46309.74690972222</v>
      </c>
      <c r="O81" s="23">
        <v>430</v>
      </c>
      <c r="P81" s="23" t="s">
        <v>25</v>
      </c>
      <c r="Q81" s="23">
        <v>40</v>
      </c>
      <c r="R81" s="3" t="str">
        <f>IF(OR(G81="12R",G81="12L"),_xlfn.XLOOKUP(C81,Tabla42[ADEP],Tabla42[SID 12R],""),IF(OR(G81="30L",G81="30R"),_xlfn.XLOOKUP(C81,Tabla42[ADEP],Tabla42[SID 30L],""),""))</f>
        <v/>
      </c>
      <c r="S81" s="3">
        <f t="shared" si="1"/>
        <v>17</v>
      </c>
      <c r="T81" s="3" t="str">
        <f>_xlfn.XLOOKUP(C81,Tabla42[ADEP],Tabla42[Sector],"")</f>
        <v/>
      </c>
    </row>
    <row r="82" spans="1:20" x14ac:dyDescent="0.2">
      <c r="A82" s="23" t="s">
        <v>183</v>
      </c>
      <c r="B82" s="23" t="s">
        <v>18</v>
      </c>
      <c r="C82" s="23" t="s">
        <v>184</v>
      </c>
      <c r="D82" s="23" t="s">
        <v>60</v>
      </c>
      <c r="E82" s="23" t="s">
        <v>1736</v>
      </c>
      <c r="F82" s="24">
        <v>46309.726678240739</v>
      </c>
      <c r="G82" s="23" t="s">
        <v>21</v>
      </c>
      <c r="H82" s="23" t="s">
        <v>4694</v>
      </c>
      <c r="I82" s="23">
        <v>350</v>
      </c>
      <c r="J82" s="23" t="s">
        <v>22</v>
      </c>
      <c r="K82" s="23" t="s">
        <v>23</v>
      </c>
      <c r="L82" s="23">
        <v>358</v>
      </c>
      <c r="M82" s="23" t="s">
        <v>30</v>
      </c>
      <c r="N82" s="24">
        <v>46309.747986111113</v>
      </c>
      <c r="O82" s="23">
        <v>350</v>
      </c>
      <c r="P82" s="23" t="s">
        <v>25</v>
      </c>
      <c r="Q82" s="23">
        <v>40</v>
      </c>
      <c r="R82" s="3" t="str">
        <f>IF(OR(G82="12R",G82="12L"),_xlfn.XLOOKUP(C82,Tabla42[ADEP],Tabla42[SID 12R],""),IF(OR(G82="30L",G82="30R"),_xlfn.XLOOKUP(C82,Tabla42[ADEP],Tabla42[SID 30L],""),""))</f>
        <v>OMSUK</v>
      </c>
      <c r="S82" s="3">
        <f t="shared" si="1"/>
        <v>17</v>
      </c>
      <c r="T82" s="3" t="str">
        <f>_xlfn.XLOOKUP(C82,Tabla42[ADEP],Tabla42[Sector],"")</f>
        <v>Sector 3</v>
      </c>
    </row>
    <row r="83" spans="1:20" x14ac:dyDescent="0.2">
      <c r="A83" s="23" t="s">
        <v>214</v>
      </c>
      <c r="B83" s="23" t="s">
        <v>18</v>
      </c>
      <c r="C83" s="23" t="s">
        <v>215</v>
      </c>
      <c r="D83" s="23" t="s">
        <v>60</v>
      </c>
      <c r="E83" s="23" t="s">
        <v>2543</v>
      </c>
      <c r="F83" s="24">
        <v>46309.73269675926</v>
      </c>
      <c r="G83" s="23" t="s">
        <v>21</v>
      </c>
      <c r="H83" s="23" t="s">
        <v>4695</v>
      </c>
      <c r="I83" s="23">
        <v>350</v>
      </c>
      <c r="J83" s="23" t="s">
        <v>22</v>
      </c>
      <c r="K83" s="23" t="s">
        <v>23</v>
      </c>
      <c r="L83" s="23">
        <v>376</v>
      </c>
      <c r="M83" s="23" t="s">
        <v>1493</v>
      </c>
      <c r="N83" s="24">
        <v>46309.753668981481</v>
      </c>
      <c r="O83" s="23">
        <v>330</v>
      </c>
      <c r="P83" s="23" t="s">
        <v>25</v>
      </c>
      <c r="Q83" s="23">
        <v>40</v>
      </c>
      <c r="R83" s="3" t="str">
        <f>IF(OR(G83="12R",G83="12L"),_xlfn.XLOOKUP(C83,Tabla42[ADEP],Tabla42[SID 12R],""),IF(OR(G83="30L",G83="30R"),_xlfn.XLOOKUP(C83,Tabla42[ADEP],Tabla42[SID 30L],""),""))</f>
        <v>OMSUK</v>
      </c>
      <c r="S83" s="3">
        <f t="shared" si="1"/>
        <v>17</v>
      </c>
      <c r="T83" s="3" t="str">
        <f>_xlfn.XLOOKUP(C83,Tabla42[ADEP],Tabla42[Sector],"")</f>
        <v>Sector 3</v>
      </c>
    </row>
    <row r="84" spans="1:20" x14ac:dyDescent="0.2">
      <c r="A84" s="23" t="s">
        <v>244</v>
      </c>
      <c r="B84" s="23" t="s">
        <v>18</v>
      </c>
      <c r="C84" s="23" t="s">
        <v>126</v>
      </c>
      <c r="D84" s="23" t="s">
        <v>60</v>
      </c>
      <c r="E84" s="23" t="s">
        <v>1636</v>
      </c>
      <c r="F84" s="24">
        <v>46309.734814814816</v>
      </c>
      <c r="G84" s="23" t="s">
        <v>21</v>
      </c>
      <c r="H84" s="23" t="s">
        <v>4696</v>
      </c>
      <c r="I84" s="23">
        <v>350</v>
      </c>
      <c r="J84" s="23" t="s">
        <v>22</v>
      </c>
      <c r="K84" s="23" t="s">
        <v>23</v>
      </c>
      <c r="L84" s="23">
        <v>394</v>
      </c>
      <c r="M84" s="23" t="s">
        <v>609</v>
      </c>
      <c r="N84" s="24">
        <v>46309.756574074076</v>
      </c>
      <c r="O84" s="23">
        <v>350</v>
      </c>
      <c r="P84" s="23" t="s">
        <v>25</v>
      </c>
      <c r="Q84" s="23">
        <v>40</v>
      </c>
      <c r="R84" s="3" t="str">
        <f>IF(OR(G84="12R",G84="12L"),_xlfn.XLOOKUP(C84,Tabla42[ADEP],Tabla42[SID 12R],""),IF(OR(G84="30L",G84="30R"),_xlfn.XLOOKUP(C84,Tabla42[ADEP],Tabla42[SID 30L],""),""))</f>
        <v>ENEBA</v>
      </c>
      <c r="S84" s="3">
        <f t="shared" si="1"/>
        <v>17</v>
      </c>
      <c r="T84" s="3" t="str">
        <f>_xlfn.XLOOKUP(C84,Tabla42[ADEP],Tabla42[Sector],"")</f>
        <v>Sector 3</v>
      </c>
    </row>
    <row r="85" spans="1:20" x14ac:dyDescent="0.2">
      <c r="A85" s="23" t="s">
        <v>192</v>
      </c>
      <c r="B85" s="23" t="s">
        <v>18</v>
      </c>
      <c r="C85" s="23" t="s">
        <v>193</v>
      </c>
      <c r="D85" s="23" t="s">
        <v>60</v>
      </c>
      <c r="E85" s="23" t="s">
        <v>1661</v>
      </c>
      <c r="F85" s="24">
        <v>46309.737557870372</v>
      </c>
      <c r="G85" s="23" t="s">
        <v>21</v>
      </c>
      <c r="H85" s="23" t="s">
        <v>4697</v>
      </c>
      <c r="I85" s="23">
        <v>310</v>
      </c>
      <c r="J85" s="23" t="s">
        <v>22</v>
      </c>
      <c r="K85" s="23" t="s">
        <v>23</v>
      </c>
      <c r="L85" s="23">
        <v>400</v>
      </c>
      <c r="M85" s="23" t="s">
        <v>30</v>
      </c>
      <c r="N85" s="24">
        <v>46309.76059027778</v>
      </c>
      <c r="O85" s="23">
        <v>310</v>
      </c>
      <c r="P85" s="23" t="s">
        <v>25</v>
      </c>
      <c r="Q85" s="23">
        <v>40</v>
      </c>
      <c r="R85" s="3" t="str">
        <f>IF(OR(G85="12R",G85="12L"),_xlfn.XLOOKUP(C85,Tabla42[ADEP],Tabla42[SID 12R],""),IF(OR(G85="30L",G85="30R"),_xlfn.XLOOKUP(C85,Tabla42[ADEP],Tabla42[SID 30L],""),""))</f>
        <v>ENEBA</v>
      </c>
      <c r="S85" s="3">
        <f t="shared" si="1"/>
        <v>17</v>
      </c>
      <c r="T85" s="3" t="str">
        <f>_xlfn.XLOOKUP(C85,Tabla42[ADEP],Tabla42[Sector],"")</f>
        <v>Sector 3</v>
      </c>
    </row>
    <row r="86" spans="1:20" x14ac:dyDescent="0.2">
      <c r="A86" s="23" t="s">
        <v>203</v>
      </c>
      <c r="B86" s="23" t="s">
        <v>18</v>
      </c>
      <c r="C86" s="23" t="s">
        <v>204</v>
      </c>
      <c r="D86" s="23" t="s">
        <v>53</v>
      </c>
      <c r="E86" s="23" t="s">
        <v>4698</v>
      </c>
      <c r="F86" s="24">
        <v>46309.739606481482</v>
      </c>
      <c r="G86" s="23" t="s">
        <v>21</v>
      </c>
      <c r="H86" s="23" t="s">
        <v>4699</v>
      </c>
      <c r="I86" s="23">
        <v>370</v>
      </c>
      <c r="J86" s="23" t="s">
        <v>22</v>
      </c>
      <c r="K86" s="23" t="s">
        <v>23</v>
      </c>
      <c r="L86" s="23">
        <v>149</v>
      </c>
      <c r="M86" s="23" t="s">
        <v>111</v>
      </c>
      <c r="N86" s="24">
        <v>46309.7496875</v>
      </c>
      <c r="O86" s="23">
        <v>285</v>
      </c>
      <c r="P86" s="23" t="s">
        <v>25</v>
      </c>
      <c r="Q86" s="23">
        <v>190</v>
      </c>
      <c r="R86" s="3" t="str">
        <f>IF(OR(G86="12R",G86="12L"),_xlfn.XLOOKUP(C86,Tabla42[ADEP],Tabla42[SID 12R],""),IF(OR(G86="30L",G86="30R"),_xlfn.XLOOKUP(C86,Tabla42[ADEP],Tabla42[SID 30L],""),""))</f>
        <v>TAKUX</v>
      </c>
      <c r="S86" s="3">
        <f t="shared" si="1"/>
        <v>17</v>
      </c>
      <c r="T86" s="3" t="str">
        <f>_xlfn.XLOOKUP(C86,Tabla42[ADEP],Tabla42[Sector],"")</f>
        <v>Sector 7</v>
      </c>
    </row>
    <row r="87" spans="1:20" x14ac:dyDescent="0.2">
      <c r="A87" s="23" t="s">
        <v>284</v>
      </c>
      <c r="B87" s="23" t="s">
        <v>18</v>
      </c>
      <c r="C87" s="23" t="s">
        <v>137</v>
      </c>
      <c r="D87" s="23" t="s">
        <v>60</v>
      </c>
      <c r="E87" s="23" t="s">
        <v>723</v>
      </c>
      <c r="F87" s="24">
        <v>46309.745370370372</v>
      </c>
      <c r="G87" s="23" t="s">
        <v>21</v>
      </c>
      <c r="H87" s="23" t="s">
        <v>4700</v>
      </c>
      <c r="I87" s="23">
        <v>350</v>
      </c>
      <c r="J87" s="23" t="s">
        <v>22</v>
      </c>
      <c r="K87" s="23" t="s">
        <v>23</v>
      </c>
      <c r="L87" s="23">
        <v>250</v>
      </c>
      <c r="M87" s="23" t="s">
        <v>4701</v>
      </c>
      <c r="N87" s="24">
        <v>46309.760150462964</v>
      </c>
      <c r="O87" s="23">
        <v>306</v>
      </c>
      <c r="P87" s="23" t="s">
        <v>25</v>
      </c>
      <c r="Q87" s="23">
        <v>40</v>
      </c>
      <c r="R87" s="3" t="str">
        <f>IF(OR(G87="12R",G87="12L"),_xlfn.XLOOKUP(C87,Tabla42[ADEP],Tabla42[SID 12R],""),IF(OR(G87="30L",G87="30R"),_xlfn.XLOOKUP(C87,Tabla42[ADEP],Tabla42[SID 30L],""),""))</f>
        <v>NUDAL</v>
      </c>
      <c r="S87" s="3">
        <f t="shared" si="1"/>
        <v>17</v>
      </c>
      <c r="T87" s="3" t="str">
        <f>_xlfn.XLOOKUP(C87,Tabla42[ADEP],Tabla42[Sector],"")</f>
        <v>Sector 3</v>
      </c>
    </row>
    <row r="88" spans="1:20" x14ac:dyDescent="0.2">
      <c r="A88" s="23" t="s">
        <v>213</v>
      </c>
      <c r="B88" s="23" t="s">
        <v>18</v>
      </c>
      <c r="C88" s="23" t="s">
        <v>19</v>
      </c>
      <c r="D88" s="23" t="s">
        <v>53</v>
      </c>
      <c r="E88" s="23" t="s">
        <v>4529</v>
      </c>
      <c r="F88" s="24">
        <v>46309.746782407405</v>
      </c>
      <c r="G88" s="23" t="s">
        <v>21</v>
      </c>
      <c r="H88" s="23" t="s">
        <v>4702</v>
      </c>
      <c r="I88" s="23">
        <v>380</v>
      </c>
      <c r="J88" s="23" t="s">
        <v>22</v>
      </c>
      <c r="K88" s="23" t="s">
        <v>23</v>
      </c>
      <c r="L88" s="23">
        <v>859</v>
      </c>
      <c r="M88" s="23" t="s">
        <v>24</v>
      </c>
      <c r="N88" s="24">
        <v>46309.790601851855</v>
      </c>
      <c r="O88" s="23">
        <v>380</v>
      </c>
      <c r="P88" s="23" t="s">
        <v>25</v>
      </c>
      <c r="Q88" s="23">
        <v>190</v>
      </c>
      <c r="R88" s="3" t="str">
        <f>IF(OR(G88="12R",G88="12L"),_xlfn.XLOOKUP(C88,Tabla42[ADEP],Tabla42[SID 12R],""),IF(OR(G88="30L",G88="30R"),_xlfn.XLOOKUP(C88,Tabla42[ADEP],Tabla42[SID 30L],""),""))</f>
        <v>UDGUV</v>
      </c>
      <c r="S88" s="3">
        <f t="shared" si="1"/>
        <v>17</v>
      </c>
      <c r="T88" s="3" t="str">
        <f>_xlfn.XLOOKUP(C88,Tabla42[ADEP],Tabla42[Sector],"")</f>
        <v>Sector 2</v>
      </c>
    </row>
    <row r="89" spans="1:20" x14ac:dyDescent="0.2">
      <c r="A89" s="23" t="s">
        <v>211</v>
      </c>
      <c r="B89" s="23" t="s">
        <v>18</v>
      </c>
      <c r="C89" s="23" t="s">
        <v>212</v>
      </c>
      <c r="D89" s="23" t="s">
        <v>53</v>
      </c>
      <c r="E89" s="23" t="s">
        <v>3160</v>
      </c>
      <c r="F89" s="24">
        <v>46309.752523148149</v>
      </c>
      <c r="G89" s="23" t="s">
        <v>21</v>
      </c>
      <c r="H89" s="23" t="s">
        <v>4703</v>
      </c>
      <c r="I89" s="23">
        <v>370</v>
      </c>
      <c r="J89" s="23" t="s">
        <v>22</v>
      </c>
      <c r="K89" s="23" t="s">
        <v>23</v>
      </c>
      <c r="L89" s="23">
        <v>147</v>
      </c>
      <c r="M89" s="23" t="s">
        <v>753</v>
      </c>
      <c r="N89" s="24">
        <v>46309.762256944443</v>
      </c>
      <c r="O89" s="23">
        <v>288</v>
      </c>
      <c r="P89" s="23" t="s">
        <v>25</v>
      </c>
      <c r="Q89" s="23">
        <v>190</v>
      </c>
      <c r="R89" s="3" t="str">
        <f>IF(OR(G89="12R",G89="12L"),_xlfn.XLOOKUP(C89,Tabla42[ADEP],Tabla42[SID 12R],""),IF(OR(G89="30L",G89="30R"),_xlfn.XLOOKUP(C89,Tabla42[ADEP],Tabla42[SID 30L],""),""))</f>
        <v>TAKUX</v>
      </c>
      <c r="S89" s="3">
        <f t="shared" si="1"/>
        <v>18</v>
      </c>
      <c r="T89" s="3" t="str">
        <f>_xlfn.XLOOKUP(C89,Tabla42[ADEP],Tabla42[Sector],"")</f>
        <v>Sector 7</v>
      </c>
    </row>
    <row r="90" spans="1:20" x14ac:dyDescent="0.2">
      <c r="A90" s="23" t="s">
        <v>202</v>
      </c>
      <c r="B90" s="23" t="s">
        <v>18</v>
      </c>
      <c r="C90" s="23" t="s">
        <v>32</v>
      </c>
      <c r="D90" s="23" t="s">
        <v>20</v>
      </c>
      <c r="E90" s="23" t="s">
        <v>374</v>
      </c>
      <c r="F90" s="24">
        <v>46309.753761574073</v>
      </c>
      <c r="G90" s="23" t="s">
        <v>21</v>
      </c>
      <c r="H90" s="23" t="s">
        <v>4704</v>
      </c>
      <c r="I90" s="23">
        <v>360</v>
      </c>
      <c r="J90" s="23" t="s">
        <v>22</v>
      </c>
      <c r="K90" s="23" t="s">
        <v>23</v>
      </c>
      <c r="L90" s="23">
        <v>876</v>
      </c>
      <c r="M90" s="23" t="s">
        <v>35</v>
      </c>
      <c r="N90" s="24">
        <v>46309.797685185185</v>
      </c>
      <c r="O90" s="23">
        <v>340</v>
      </c>
      <c r="P90" s="23" t="s">
        <v>25</v>
      </c>
      <c r="Q90" s="23">
        <v>190</v>
      </c>
      <c r="R90" s="3" t="str">
        <f>IF(OR(G90="12R",G90="12L"),_xlfn.XLOOKUP(C90,Tabla42[ADEP],Tabla42[SID 12R],""),IF(OR(G90="30L",G90="30R"),_xlfn.XLOOKUP(C90,Tabla42[ADEP],Tabla42[SID 30L],""),""))</f>
        <v>UDGUV</v>
      </c>
      <c r="S90" s="3">
        <f t="shared" si="1"/>
        <v>18</v>
      </c>
      <c r="T90" s="3" t="str">
        <f>_xlfn.XLOOKUP(C90,Tabla42[ADEP],Tabla42[Sector],"")</f>
        <v>Sector 2</v>
      </c>
    </row>
    <row r="91" spans="1:20" x14ac:dyDescent="0.2">
      <c r="A91" s="23" t="s">
        <v>217</v>
      </c>
      <c r="B91" s="23" t="s">
        <v>18</v>
      </c>
      <c r="C91" s="23" t="s">
        <v>158</v>
      </c>
      <c r="D91" s="23" t="s">
        <v>20</v>
      </c>
      <c r="E91" s="23" t="s">
        <v>4705</v>
      </c>
      <c r="F91" s="24">
        <v>46309.754884259259</v>
      </c>
      <c r="G91" s="23" t="s">
        <v>21</v>
      </c>
      <c r="H91" s="23" t="s">
        <v>4706</v>
      </c>
      <c r="I91" s="23">
        <v>350</v>
      </c>
      <c r="J91" s="23" t="s">
        <v>22</v>
      </c>
      <c r="K91" s="23" t="s">
        <v>23</v>
      </c>
      <c r="L91" s="23">
        <v>382</v>
      </c>
      <c r="M91" s="23" t="s">
        <v>30</v>
      </c>
      <c r="N91" s="24">
        <v>46309.776250000003</v>
      </c>
      <c r="O91" s="23">
        <v>350</v>
      </c>
      <c r="P91" s="23" t="s">
        <v>25</v>
      </c>
      <c r="Q91" s="23">
        <v>40</v>
      </c>
      <c r="R91" s="3" t="str">
        <f>IF(OR(G91="12R",G91="12L"),_xlfn.XLOOKUP(C91,Tabla42[ADEP],Tabla42[SID 12R],""),IF(OR(G91="30L",G91="30R"),_xlfn.XLOOKUP(C91,Tabla42[ADEP],Tabla42[SID 30L],""),""))</f>
        <v>OMSUK</v>
      </c>
      <c r="S91" s="3">
        <f t="shared" si="1"/>
        <v>18</v>
      </c>
      <c r="T91" s="3" t="str">
        <f>_xlfn.XLOOKUP(C91,Tabla42[ADEP],Tabla42[Sector],"")</f>
        <v>Sector 3</v>
      </c>
    </row>
    <row r="92" spans="1:20" x14ac:dyDescent="0.2">
      <c r="A92" s="23" t="s">
        <v>597</v>
      </c>
      <c r="B92" s="23" t="s">
        <v>18</v>
      </c>
      <c r="C92" s="23" t="s">
        <v>598</v>
      </c>
      <c r="D92" s="23" t="s">
        <v>28</v>
      </c>
      <c r="E92" s="23" t="s">
        <v>1202</v>
      </c>
      <c r="F92" s="24">
        <v>46309.757870370369</v>
      </c>
      <c r="G92" s="23" t="s">
        <v>21</v>
      </c>
      <c r="H92" s="23" t="s">
        <v>4707</v>
      </c>
      <c r="I92" s="23">
        <v>360</v>
      </c>
      <c r="J92" s="23" t="s">
        <v>22</v>
      </c>
      <c r="K92" s="23" t="s">
        <v>23</v>
      </c>
      <c r="L92" s="23">
        <v>457</v>
      </c>
      <c r="M92" s="23" t="s">
        <v>189</v>
      </c>
      <c r="N92" s="24">
        <v>46309.782743055555</v>
      </c>
      <c r="O92" s="23">
        <v>360</v>
      </c>
      <c r="P92" s="23" t="s">
        <v>25</v>
      </c>
      <c r="Q92" s="23">
        <v>40</v>
      </c>
      <c r="R92" s="3" t="str">
        <f>IF(OR(G92="12R",G92="12L"),_xlfn.XLOOKUP(C92,Tabla42[ADEP],Tabla42[SID 12R],""),IF(OR(G92="30L",G92="30R"),_xlfn.XLOOKUP(C92,Tabla42[ADEP],Tabla42[SID 30L],""),""))</f>
        <v>OMSUK</v>
      </c>
      <c r="S92" s="3">
        <f t="shared" si="1"/>
        <v>18</v>
      </c>
      <c r="T92" s="3" t="str">
        <f>_xlfn.XLOOKUP(C92,Tabla42[ADEP],Tabla42[Sector],"")</f>
        <v>Sector 3</v>
      </c>
    </row>
    <row r="93" spans="1:20" x14ac:dyDescent="0.2">
      <c r="A93" s="23" t="s">
        <v>4708</v>
      </c>
      <c r="B93" s="23" t="s">
        <v>18</v>
      </c>
      <c r="C93" s="23" t="s">
        <v>197</v>
      </c>
      <c r="D93" s="23" t="s">
        <v>492</v>
      </c>
      <c r="E93" s="23" t="s">
        <v>4709</v>
      </c>
      <c r="F93" s="24">
        <v>46309.759074074071</v>
      </c>
      <c r="G93" s="23" t="s">
        <v>21</v>
      </c>
      <c r="H93" s="23" t="s">
        <v>4710</v>
      </c>
      <c r="I93" s="23">
        <v>430</v>
      </c>
      <c r="J93" s="23" t="s">
        <v>22</v>
      </c>
      <c r="K93" s="23" t="s">
        <v>50</v>
      </c>
      <c r="L93" s="23">
        <v>870</v>
      </c>
      <c r="M93" s="23" t="s">
        <v>35</v>
      </c>
      <c r="N93" s="24">
        <v>46309.806354166663</v>
      </c>
      <c r="O93" s="23">
        <v>430</v>
      </c>
      <c r="P93" s="23" t="s">
        <v>25</v>
      </c>
      <c r="Q93" s="23">
        <v>30</v>
      </c>
      <c r="R93" s="3" t="str">
        <f>IF(OR(G93="12R",G93="12L"),_xlfn.XLOOKUP(C93,Tabla42[ADEP],Tabla42[SID 12R],""),IF(OR(G93="30L",G93="30R"),_xlfn.XLOOKUP(C93,Tabla42[ADEP],Tabla42[SID 30L],""),""))</f>
        <v>UDGUV</v>
      </c>
      <c r="S93" s="3">
        <f t="shared" si="1"/>
        <v>18</v>
      </c>
      <c r="T93" s="3" t="str">
        <f>_xlfn.XLOOKUP(C93,Tabla42[ADEP],Tabla42[Sector],"")</f>
        <v>Sector 2</v>
      </c>
    </row>
    <row r="94" spans="1:20" x14ac:dyDescent="0.2">
      <c r="A94" s="23" t="s">
        <v>221</v>
      </c>
      <c r="B94" s="23" t="s">
        <v>18</v>
      </c>
      <c r="C94" s="23" t="s">
        <v>42</v>
      </c>
      <c r="D94" s="23" t="s">
        <v>43</v>
      </c>
      <c r="E94" s="23" t="s">
        <v>2255</v>
      </c>
      <c r="F94" s="24">
        <v>46309.760509259257</v>
      </c>
      <c r="G94" s="23" t="s">
        <v>21</v>
      </c>
      <c r="H94" s="23" t="s">
        <v>4711</v>
      </c>
      <c r="I94" s="23">
        <v>360</v>
      </c>
      <c r="J94" s="23" t="s">
        <v>22</v>
      </c>
      <c r="K94" s="23" t="s">
        <v>23</v>
      </c>
      <c r="L94" s="23">
        <v>870</v>
      </c>
      <c r="M94" s="23" t="s">
        <v>45</v>
      </c>
      <c r="N94" s="24">
        <v>46309.804930555554</v>
      </c>
      <c r="O94" s="23">
        <v>360</v>
      </c>
      <c r="P94" s="23" t="s">
        <v>25</v>
      </c>
      <c r="Q94" s="23">
        <v>190</v>
      </c>
      <c r="R94" s="3" t="str">
        <f>IF(OR(G94="12R",G94="12L"),_xlfn.XLOOKUP(C94,Tabla42[ADEP],Tabla42[SID 12R],""),IF(OR(G94="30L",G94="30R"),_xlfn.XLOOKUP(C94,Tabla42[ADEP],Tabla42[SID 30L],""),""))</f>
        <v>UDGUV</v>
      </c>
      <c r="S94" s="3">
        <f t="shared" si="1"/>
        <v>18</v>
      </c>
      <c r="T94" s="3" t="str">
        <f>_xlfn.XLOOKUP(C94,Tabla42[ADEP],Tabla42[Sector],"")</f>
        <v>Sector 2</v>
      </c>
    </row>
    <row r="95" spans="1:20" x14ac:dyDescent="0.2">
      <c r="A95" s="23" t="s">
        <v>218</v>
      </c>
      <c r="B95" s="23" t="s">
        <v>18</v>
      </c>
      <c r="C95" s="23" t="s">
        <v>219</v>
      </c>
      <c r="D95" s="23" t="s">
        <v>43</v>
      </c>
      <c r="E95" s="23" t="s">
        <v>4712</v>
      </c>
      <c r="F95" s="24">
        <v>46309.761863425927</v>
      </c>
      <c r="G95" s="23" t="s">
        <v>21</v>
      </c>
      <c r="H95" s="23" t="s">
        <v>4713</v>
      </c>
      <c r="I95" s="23">
        <v>320</v>
      </c>
      <c r="J95" s="23" t="s">
        <v>22</v>
      </c>
      <c r="K95" s="23" t="s">
        <v>23</v>
      </c>
      <c r="L95" s="23">
        <v>874</v>
      </c>
      <c r="M95" s="23" t="s">
        <v>35</v>
      </c>
      <c r="N95" s="24">
        <v>46309.805219907408</v>
      </c>
      <c r="O95" s="23">
        <v>320</v>
      </c>
      <c r="P95" s="23" t="s">
        <v>25</v>
      </c>
      <c r="Q95" s="23">
        <v>190</v>
      </c>
      <c r="R95" s="3" t="str">
        <f>IF(OR(G95="12R",G95="12L"),_xlfn.XLOOKUP(C95,Tabla42[ADEP],Tabla42[SID 12R],""),IF(OR(G95="30L",G95="30R"),_xlfn.XLOOKUP(C95,Tabla42[ADEP],Tabla42[SID 30L],""),""))</f>
        <v>UDGUV</v>
      </c>
      <c r="S95" s="3">
        <f t="shared" si="1"/>
        <v>18</v>
      </c>
      <c r="T95" s="3" t="str">
        <f>_xlfn.XLOOKUP(C95,Tabla42[ADEP],Tabla42[Sector],"")</f>
        <v>Sector 2</v>
      </c>
    </row>
    <row r="96" spans="1:20" x14ac:dyDescent="0.2">
      <c r="A96" s="23" t="s">
        <v>246</v>
      </c>
      <c r="B96" s="23" t="s">
        <v>18</v>
      </c>
      <c r="C96" s="23" t="s">
        <v>209</v>
      </c>
      <c r="D96" s="23" t="s">
        <v>28</v>
      </c>
      <c r="E96" s="23" t="s">
        <v>4714</v>
      </c>
      <c r="F96" s="24">
        <v>46309.762962962966</v>
      </c>
      <c r="G96" s="23" t="s">
        <v>21</v>
      </c>
      <c r="H96" s="23" t="s">
        <v>4715</v>
      </c>
      <c r="I96" s="23">
        <v>360</v>
      </c>
      <c r="J96" s="23" t="s">
        <v>22</v>
      </c>
      <c r="K96" s="23" t="s">
        <v>23</v>
      </c>
      <c r="L96" s="23">
        <v>557</v>
      </c>
      <c r="M96" s="23" t="s">
        <v>123</v>
      </c>
      <c r="N96" s="24">
        <v>46309.791516203702</v>
      </c>
      <c r="O96" s="23">
        <v>360</v>
      </c>
      <c r="P96" s="23" t="s">
        <v>25</v>
      </c>
      <c r="Q96" s="23">
        <v>40</v>
      </c>
      <c r="R96" s="3" t="str">
        <f>IF(OR(G96="12R",G96="12L"),_xlfn.XLOOKUP(C96,Tabla42[ADEP],Tabla42[SID 12R],""),IF(OR(G96="30L",G96="30R"),_xlfn.XLOOKUP(C96,Tabla42[ADEP],Tabla42[SID 30L],""),""))</f>
        <v>ENEBA</v>
      </c>
      <c r="S96" s="3">
        <f t="shared" si="1"/>
        <v>18</v>
      </c>
      <c r="T96" s="3" t="str">
        <f>_xlfn.XLOOKUP(C96,Tabla42[ADEP],Tabla42[Sector],"")</f>
        <v>Sector 3</v>
      </c>
    </row>
    <row r="97" spans="1:20" x14ac:dyDescent="0.2">
      <c r="A97" s="23" t="s">
        <v>216</v>
      </c>
      <c r="B97" s="23" t="s">
        <v>18</v>
      </c>
      <c r="C97" s="23" t="s">
        <v>32</v>
      </c>
      <c r="D97" s="23" t="s">
        <v>20</v>
      </c>
      <c r="E97" s="23" t="s">
        <v>484</v>
      </c>
      <c r="F97" s="24">
        <v>46309.766469907408</v>
      </c>
      <c r="G97" s="23" t="s">
        <v>21</v>
      </c>
      <c r="H97" s="23" t="s">
        <v>4716</v>
      </c>
      <c r="I97" s="23">
        <v>360</v>
      </c>
      <c r="J97" s="23" t="s">
        <v>22</v>
      </c>
      <c r="K97" s="23" t="s">
        <v>23</v>
      </c>
      <c r="L97" s="23">
        <v>884</v>
      </c>
      <c r="M97" s="23" t="s">
        <v>35</v>
      </c>
      <c r="N97" s="24">
        <v>46309.811041666668</v>
      </c>
      <c r="O97" s="23">
        <v>360</v>
      </c>
      <c r="P97" s="23" t="s">
        <v>25</v>
      </c>
      <c r="Q97" s="23">
        <v>190</v>
      </c>
      <c r="R97" s="3" t="str">
        <f>IF(OR(G97="12R",G97="12L"),_xlfn.XLOOKUP(C97,Tabla42[ADEP],Tabla42[SID 12R],""),IF(OR(G97="30L",G97="30R"),_xlfn.XLOOKUP(C97,Tabla42[ADEP],Tabla42[SID 30L],""),""))</f>
        <v>UDGUV</v>
      </c>
      <c r="S97" s="3">
        <f t="shared" si="1"/>
        <v>18</v>
      </c>
      <c r="T97" s="3" t="str">
        <f>_xlfn.XLOOKUP(C97,Tabla42[ADEP],Tabla42[Sector],"")</f>
        <v>Sector 2</v>
      </c>
    </row>
    <row r="98" spans="1:20" x14ac:dyDescent="0.2">
      <c r="A98" s="23" t="s">
        <v>2157</v>
      </c>
      <c r="B98" s="23" t="s">
        <v>18</v>
      </c>
      <c r="C98" s="23" t="s">
        <v>188</v>
      </c>
      <c r="D98" s="23" t="s">
        <v>60</v>
      </c>
      <c r="E98" s="23" t="s">
        <v>4717</v>
      </c>
      <c r="F98" s="24">
        <v>46309.768993055557</v>
      </c>
      <c r="G98" s="23" t="s">
        <v>21</v>
      </c>
      <c r="H98" s="23" t="s">
        <v>4718</v>
      </c>
      <c r="I98" s="23">
        <v>360</v>
      </c>
      <c r="J98" s="23" t="s">
        <v>22</v>
      </c>
      <c r="K98" s="23" t="s">
        <v>23</v>
      </c>
      <c r="L98" s="23">
        <v>422</v>
      </c>
      <c r="M98" s="23" t="s">
        <v>189</v>
      </c>
      <c r="N98" s="24">
        <v>46309.79142361111</v>
      </c>
      <c r="O98" s="23">
        <v>340</v>
      </c>
      <c r="P98" s="23" t="s">
        <v>25</v>
      </c>
      <c r="Q98" s="23">
        <v>40</v>
      </c>
      <c r="R98" s="3" t="str">
        <f>IF(OR(G98="12R",G98="12L"),_xlfn.XLOOKUP(C98,Tabla42[ADEP],Tabla42[SID 12R],""),IF(OR(G98="30L",G98="30R"),_xlfn.XLOOKUP(C98,Tabla42[ADEP],Tabla42[SID 30L],""),""))</f>
        <v>ENEBA</v>
      </c>
      <c r="S98" s="3">
        <f t="shared" si="1"/>
        <v>18</v>
      </c>
      <c r="T98" s="3" t="str">
        <f>_xlfn.XLOOKUP(C98,Tabla42[ADEP],Tabla42[Sector],"")</f>
        <v>Sector 3</v>
      </c>
    </row>
    <row r="99" spans="1:20" x14ac:dyDescent="0.2">
      <c r="A99" s="23" t="s">
        <v>237</v>
      </c>
      <c r="B99" s="23" t="s">
        <v>18</v>
      </c>
      <c r="C99" s="23" t="s">
        <v>116</v>
      </c>
      <c r="D99" s="23" t="s">
        <v>117</v>
      </c>
      <c r="E99" s="23" t="s">
        <v>3631</v>
      </c>
      <c r="F99" s="24">
        <v>46309.770902777775</v>
      </c>
      <c r="G99" s="23" t="s">
        <v>21</v>
      </c>
      <c r="H99" s="23" t="s">
        <v>4719</v>
      </c>
      <c r="I99" s="23">
        <v>340</v>
      </c>
      <c r="J99" s="23" t="s">
        <v>22</v>
      </c>
      <c r="K99" s="23" t="s">
        <v>23</v>
      </c>
      <c r="L99" s="23">
        <v>553</v>
      </c>
      <c r="M99" s="23" t="s">
        <v>123</v>
      </c>
      <c r="N99" s="24">
        <v>46309.799803240741</v>
      </c>
      <c r="O99" s="23">
        <v>340</v>
      </c>
      <c r="P99" s="23" t="s">
        <v>25</v>
      </c>
      <c r="Q99" s="23">
        <v>40</v>
      </c>
      <c r="R99" s="3" t="str">
        <f>IF(OR(G99="12R",G99="12L"),_xlfn.XLOOKUP(C99,Tabla42[ADEP],Tabla42[SID 12R],""),IF(OR(G99="30L",G99="30R"),_xlfn.XLOOKUP(C99,Tabla42[ADEP],Tabla42[SID 30L],""),""))</f>
        <v>ENEBA</v>
      </c>
      <c r="S99" s="3">
        <f t="shared" si="1"/>
        <v>18</v>
      </c>
      <c r="T99" s="3" t="str">
        <f>_xlfn.XLOOKUP(C99,Tabla42[ADEP],Tabla42[Sector],"")</f>
        <v>Sector 3</v>
      </c>
    </row>
    <row r="100" spans="1:20" x14ac:dyDescent="0.2">
      <c r="A100" s="23" t="s">
        <v>227</v>
      </c>
      <c r="B100" s="23" t="s">
        <v>18</v>
      </c>
      <c r="C100" s="23" t="s">
        <v>133</v>
      </c>
      <c r="D100" s="23" t="s">
        <v>60</v>
      </c>
      <c r="E100" s="23" t="s">
        <v>3356</v>
      </c>
      <c r="F100" s="24">
        <v>46309.772847222222</v>
      </c>
      <c r="G100" s="23" t="s">
        <v>21</v>
      </c>
      <c r="H100" s="23" t="s">
        <v>4720</v>
      </c>
      <c r="I100" s="23">
        <v>330</v>
      </c>
      <c r="J100" s="23" t="s">
        <v>22</v>
      </c>
      <c r="K100" s="23" t="s">
        <v>23</v>
      </c>
      <c r="L100" s="23">
        <v>361</v>
      </c>
      <c r="M100" s="23" t="s">
        <v>30</v>
      </c>
      <c r="N100" s="24">
        <v>46309.793715277781</v>
      </c>
      <c r="O100" s="23">
        <v>330</v>
      </c>
      <c r="P100" s="23" t="s">
        <v>25</v>
      </c>
      <c r="Q100" s="23">
        <v>40</v>
      </c>
      <c r="R100" s="3" t="str">
        <f>IF(OR(G100="12R",G100="12L"),_xlfn.XLOOKUP(C100,Tabla42[ADEP],Tabla42[SID 12R],""),IF(OR(G100="30L",G100="30R"),_xlfn.XLOOKUP(C100,Tabla42[ADEP],Tabla42[SID 30L],""),""))</f>
        <v>OMSUK</v>
      </c>
      <c r="S100" s="3">
        <f t="shared" si="1"/>
        <v>18</v>
      </c>
      <c r="T100" s="3" t="str">
        <f>_xlfn.XLOOKUP(C100,Tabla42[ADEP],Tabla42[Sector],"")</f>
        <v>Sector 3</v>
      </c>
    </row>
    <row r="101" spans="1:20" x14ac:dyDescent="0.2">
      <c r="A101" s="23" t="s">
        <v>228</v>
      </c>
      <c r="B101" s="23" t="s">
        <v>18</v>
      </c>
      <c r="C101" s="23" t="s">
        <v>27</v>
      </c>
      <c r="D101" s="23" t="s">
        <v>28</v>
      </c>
      <c r="E101" s="23" t="s">
        <v>692</v>
      </c>
      <c r="F101" s="24">
        <v>46309.776724537034</v>
      </c>
      <c r="G101" s="23" t="s">
        <v>21</v>
      </c>
      <c r="H101" s="23" t="s">
        <v>4721</v>
      </c>
      <c r="I101" s="23">
        <v>380</v>
      </c>
      <c r="J101" s="23" t="s">
        <v>22</v>
      </c>
      <c r="K101" s="23" t="s">
        <v>23</v>
      </c>
      <c r="L101" s="23">
        <v>370</v>
      </c>
      <c r="M101" s="23" t="s">
        <v>250</v>
      </c>
      <c r="N101" s="24">
        <v>46309.798611111109</v>
      </c>
      <c r="O101" s="23">
        <v>360</v>
      </c>
      <c r="P101" s="23" t="s">
        <v>25</v>
      </c>
      <c r="Q101" s="23">
        <v>40</v>
      </c>
      <c r="R101" s="3" t="str">
        <f>IF(OR(G101="12R",G101="12L"),_xlfn.XLOOKUP(C101,Tabla42[ADEP],Tabla42[SID 12R],""),IF(OR(G101="30L",G101="30R"),_xlfn.XLOOKUP(C101,Tabla42[ADEP],Tabla42[SID 30L],""),""))</f>
        <v>OMSUK</v>
      </c>
      <c r="S101" s="3">
        <f t="shared" si="1"/>
        <v>18</v>
      </c>
      <c r="T101" s="3" t="str">
        <f>_xlfn.XLOOKUP(C101,Tabla42[ADEP],Tabla42[Sector],"")</f>
        <v>Sector 3</v>
      </c>
    </row>
    <row r="102" spans="1:20" x14ac:dyDescent="0.2">
      <c r="A102" s="23" t="s">
        <v>225</v>
      </c>
      <c r="B102" s="23" t="s">
        <v>18</v>
      </c>
      <c r="C102" s="23" t="s">
        <v>27</v>
      </c>
      <c r="D102" s="23" t="s">
        <v>226</v>
      </c>
      <c r="E102" s="23" t="s">
        <v>4722</v>
      </c>
      <c r="F102" s="24">
        <v>46309.778391203705</v>
      </c>
      <c r="G102" s="23" t="s">
        <v>21</v>
      </c>
      <c r="H102" s="23" t="s">
        <v>4723</v>
      </c>
      <c r="I102" s="23">
        <v>370</v>
      </c>
      <c r="J102" s="23" t="s">
        <v>22</v>
      </c>
      <c r="K102" s="23" t="s">
        <v>23</v>
      </c>
      <c r="L102" s="23">
        <v>372</v>
      </c>
      <c r="M102" s="23" t="s">
        <v>30</v>
      </c>
      <c r="N102" s="24">
        <v>46309.799756944441</v>
      </c>
      <c r="O102" s="23">
        <v>350</v>
      </c>
      <c r="P102" s="23" t="s">
        <v>25</v>
      </c>
      <c r="Q102" s="23">
        <v>40</v>
      </c>
      <c r="R102" s="3" t="str">
        <f>IF(OR(G102="12R",G102="12L"),_xlfn.XLOOKUP(C102,Tabla42[ADEP],Tabla42[SID 12R],""),IF(OR(G102="30L",G102="30R"),_xlfn.XLOOKUP(C102,Tabla42[ADEP],Tabla42[SID 30L],""),""))</f>
        <v>OMSUK</v>
      </c>
      <c r="S102" s="3">
        <f t="shared" si="1"/>
        <v>18</v>
      </c>
      <c r="T102" s="3" t="str">
        <f>_xlfn.XLOOKUP(C102,Tabla42[ADEP],Tabla42[Sector],"")</f>
        <v>Sector 3</v>
      </c>
    </row>
    <row r="103" spans="1:20" x14ac:dyDescent="0.2">
      <c r="A103" s="23" t="s">
        <v>384</v>
      </c>
      <c r="B103" s="23" t="s">
        <v>18</v>
      </c>
      <c r="C103" s="23" t="s">
        <v>96</v>
      </c>
      <c r="D103" s="23" t="s">
        <v>33</v>
      </c>
      <c r="E103" s="23" t="s">
        <v>368</v>
      </c>
      <c r="F103" s="24">
        <v>46309.781631944446</v>
      </c>
      <c r="G103" s="23" t="s">
        <v>21</v>
      </c>
      <c r="H103" s="23" t="s">
        <v>4724</v>
      </c>
      <c r="I103" s="23">
        <v>360</v>
      </c>
      <c r="J103" s="23" t="s">
        <v>22</v>
      </c>
      <c r="K103" s="23" t="s">
        <v>141</v>
      </c>
      <c r="L103" s="23">
        <v>874</v>
      </c>
      <c r="M103" s="23" t="s">
        <v>2402</v>
      </c>
      <c r="N103" s="24">
        <v>46309.826215277775</v>
      </c>
      <c r="O103" s="23">
        <v>360</v>
      </c>
      <c r="P103" s="23" t="s">
        <v>25</v>
      </c>
      <c r="Q103" s="23">
        <v>190</v>
      </c>
      <c r="R103" s="3" t="str">
        <f>IF(OR(G103="12R",G103="12L"),_xlfn.XLOOKUP(C103,Tabla42[ADEP],Tabla42[SID 12R],""),IF(OR(G103="30L",G103="30R"),_xlfn.XLOOKUP(C103,Tabla42[ADEP],Tabla42[SID 30L],""),""))</f>
        <v>UDGUV</v>
      </c>
      <c r="S103" s="3">
        <f t="shared" si="1"/>
        <v>18</v>
      </c>
      <c r="T103" s="3" t="str">
        <f>_xlfn.XLOOKUP(C103,Tabla42[ADEP],Tabla42[Sector],"")</f>
        <v>Sector 2</v>
      </c>
    </row>
    <row r="104" spans="1:20" x14ac:dyDescent="0.2">
      <c r="A104" s="23" t="s">
        <v>235</v>
      </c>
      <c r="B104" s="23" t="s">
        <v>18</v>
      </c>
      <c r="C104" s="23" t="s">
        <v>62</v>
      </c>
      <c r="D104" s="23" t="s">
        <v>33</v>
      </c>
      <c r="E104" s="23" t="s">
        <v>4725</v>
      </c>
      <c r="F104" s="24">
        <v>46309.78534722222</v>
      </c>
      <c r="G104" s="23" t="s">
        <v>21</v>
      </c>
      <c r="H104" s="23" t="s">
        <v>4726</v>
      </c>
      <c r="I104" s="23">
        <v>360</v>
      </c>
      <c r="J104" s="23" t="s">
        <v>22</v>
      </c>
      <c r="K104" s="23" t="s">
        <v>23</v>
      </c>
      <c r="L104" s="23">
        <v>875</v>
      </c>
      <c r="M104" s="23" t="s">
        <v>167</v>
      </c>
      <c r="N104" s="24">
        <v>46309.830069444448</v>
      </c>
      <c r="O104" s="23">
        <v>360</v>
      </c>
      <c r="P104" s="23" t="s">
        <v>25</v>
      </c>
      <c r="Q104" s="23">
        <v>190</v>
      </c>
      <c r="R104" s="3" t="str">
        <f>IF(OR(G104="12R",G104="12L"),_xlfn.XLOOKUP(C104,Tabla42[ADEP],Tabla42[SID 12R],""),IF(OR(G104="30L",G104="30R"),_xlfn.XLOOKUP(C104,Tabla42[ADEP],Tabla42[SID 30L],""),""))</f>
        <v>UDGUV</v>
      </c>
      <c r="S104" s="3">
        <f t="shared" si="1"/>
        <v>18</v>
      </c>
      <c r="T104" s="3" t="str">
        <f>_xlfn.XLOOKUP(C104,Tabla42[ADEP],Tabla42[Sector],"")</f>
        <v>Sector 2</v>
      </c>
    </row>
    <row r="105" spans="1:20" x14ac:dyDescent="0.2">
      <c r="A105" s="23" t="s">
        <v>443</v>
      </c>
      <c r="B105" s="23" t="s">
        <v>18</v>
      </c>
      <c r="C105" s="23" t="s">
        <v>444</v>
      </c>
      <c r="D105" s="23" t="s">
        <v>28</v>
      </c>
      <c r="E105" s="23" t="s">
        <v>4727</v>
      </c>
      <c r="F105" s="24">
        <v>46309.790439814817</v>
      </c>
      <c r="G105" s="23" t="s">
        <v>21</v>
      </c>
      <c r="H105" s="23" t="s">
        <v>4728</v>
      </c>
      <c r="I105" s="23">
        <v>360</v>
      </c>
      <c r="J105" s="23" t="s">
        <v>22</v>
      </c>
      <c r="K105" s="23" t="s">
        <v>23</v>
      </c>
      <c r="L105" s="23">
        <v>437</v>
      </c>
      <c r="M105" s="23" t="s">
        <v>189</v>
      </c>
      <c r="N105" s="24">
        <v>46309.814166666663</v>
      </c>
      <c r="O105" s="23">
        <v>360</v>
      </c>
      <c r="P105" s="23" t="s">
        <v>25</v>
      </c>
      <c r="Q105" s="23">
        <v>40</v>
      </c>
      <c r="R105" s="3" t="str">
        <f>IF(OR(G105="12R",G105="12L"),_xlfn.XLOOKUP(C105,Tabla42[ADEP],Tabla42[SID 12R],""),IF(OR(G105="30L",G105="30R"),_xlfn.XLOOKUP(C105,Tabla42[ADEP],Tabla42[SID 30L],""),""))</f>
        <v>ENEBA</v>
      </c>
      <c r="S105" s="3">
        <f t="shared" si="1"/>
        <v>18</v>
      </c>
      <c r="T105" s="3" t="str">
        <f>_xlfn.XLOOKUP(C105,Tabla42[ADEP],Tabla42[Sector],"")</f>
        <v>Sector 3</v>
      </c>
    </row>
    <row r="106" spans="1:20" x14ac:dyDescent="0.2">
      <c r="A106" s="23" t="s">
        <v>240</v>
      </c>
      <c r="B106" s="23" t="s">
        <v>18</v>
      </c>
      <c r="C106" s="23" t="s">
        <v>116</v>
      </c>
      <c r="D106" s="23" t="s">
        <v>117</v>
      </c>
      <c r="E106" s="23" t="s">
        <v>4729</v>
      </c>
      <c r="F106" s="24">
        <v>46309.796909722223</v>
      </c>
      <c r="G106" s="23" t="s">
        <v>21</v>
      </c>
      <c r="H106" s="23" t="s">
        <v>4730</v>
      </c>
      <c r="I106" s="23">
        <v>340</v>
      </c>
      <c r="J106" s="23" t="s">
        <v>22</v>
      </c>
      <c r="K106" s="23" t="s">
        <v>23</v>
      </c>
      <c r="L106" s="23">
        <v>547</v>
      </c>
      <c r="M106" s="23" t="s">
        <v>123</v>
      </c>
      <c r="N106" s="24">
        <v>46309.824201388888</v>
      </c>
      <c r="O106" s="23">
        <v>340</v>
      </c>
      <c r="P106" s="23" t="s">
        <v>25</v>
      </c>
      <c r="Q106" s="23">
        <v>40</v>
      </c>
      <c r="R106" s="3" t="str">
        <f>IF(OR(G106="12R",G106="12L"),_xlfn.XLOOKUP(C106,Tabla42[ADEP],Tabla42[SID 12R],""),IF(OR(G106="30L",G106="30R"),_xlfn.XLOOKUP(C106,Tabla42[ADEP],Tabla42[SID 30L],""),""))</f>
        <v>ENEBA</v>
      </c>
      <c r="S106" s="3">
        <f t="shared" si="1"/>
        <v>19</v>
      </c>
      <c r="T106" s="3" t="str">
        <f>_xlfn.XLOOKUP(C106,Tabla42[ADEP],Tabla42[Sector],"")</f>
        <v>Sector 3</v>
      </c>
    </row>
    <row r="107" spans="1:20" x14ac:dyDescent="0.2">
      <c r="A107" s="23" t="s">
        <v>4731</v>
      </c>
      <c r="B107" s="23" t="s">
        <v>18</v>
      </c>
      <c r="C107" s="23" t="s">
        <v>206</v>
      </c>
      <c r="D107" s="23" t="s">
        <v>492</v>
      </c>
      <c r="E107" s="23" t="s">
        <v>4732</v>
      </c>
      <c r="F107" s="24">
        <v>46309.797685185185</v>
      </c>
      <c r="G107" s="23" t="s">
        <v>21</v>
      </c>
      <c r="H107" s="23" t="s">
        <v>4733</v>
      </c>
      <c r="I107" s="23">
        <v>430</v>
      </c>
      <c r="J107" s="23" t="s">
        <v>22</v>
      </c>
      <c r="K107" s="23" t="s">
        <v>141</v>
      </c>
      <c r="L107" s="23">
        <v>864</v>
      </c>
      <c r="M107" s="23" t="s">
        <v>45</v>
      </c>
      <c r="N107" s="24">
        <v>46309.844340277778</v>
      </c>
      <c r="O107" s="23">
        <v>430</v>
      </c>
      <c r="P107" s="23" t="s">
        <v>25</v>
      </c>
      <c r="Q107" s="23">
        <v>30</v>
      </c>
      <c r="R107" s="3" t="str">
        <f>IF(OR(G107="12R",G107="12L"),_xlfn.XLOOKUP(C107,Tabla42[ADEP],Tabla42[SID 12R],""),IF(OR(G107="30L",G107="30R"),_xlfn.XLOOKUP(C107,Tabla42[ADEP],Tabla42[SID 30L],""),""))</f>
        <v>UDGUV</v>
      </c>
      <c r="S107" s="3">
        <f t="shared" si="1"/>
        <v>19</v>
      </c>
      <c r="T107" s="3" t="str">
        <f>_xlfn.XLOOKUP(C107,Tabla42[ADEP],Tabla42[Sector],"")</f>
        <v>Sector 2</v>
      </c>
    </row>
    <row r="108" spans="1:20" x14ac:dyDescent="0.2">
      <c r="A108" s="23" t="s">
        <v>229</v>
      </c>
      <c r="B108" s="23" t="s">
        <v>18</v>
      </c>
      <c r="C108" s="23" t="s">
        <v>230</v>
      </c>
      <c r="D108" s="23" t="s">
        <v>231</v>
      </c>
      <c r="E108" s="23" t="s">
        <v>591</v>
      </c>
      <c r="F108" s="24">
        <v>46309.799212962964</v>
      </c>
      <c r="G108" s="23" t="s">
        <v>21</v>
      </c>
      <c r="H108" s="23" t="s">
        <v>4734</v>
      </c>
      <c r="I108" s="23">
        <v>100</v>
      </c>
      <c r="J108" s="23" t="s">
        <v>22</v>
      </c>
      <c r="K108" s="23" t="s">
        <v>23</v>
      </c>
      <c r="L108" s="23">
        <v>363</v>
      </c>
      <c r="M108" s="23" t="s">
        <v>230</v>
      </c>
      <c r="N108" s="24">
        <v>46309.863761574074</v>
      </c>
      <c r="O108" s="23">
        <v>0</v>
      </c>
      <c r="P108" s="23" t="s">
        <v>129</v>
      </c>
      <c r="Q108" s="23">
        <v>40</v>
      </c>
      <c r="R108" s="3" t="str">
        <f>IF(OR(G108="12R",G108="12L"),_xlfn.XLOOKUP(C108,Tabla42[ADEP],Tabla42[SID 12R],""),IF(OR(G108="30L",G108="30R"),_xlfn.XLOOKUP(C108,Tabla42[ADEP],Tabla42[SID 30L],""),""))</f>
        <v>CZM</v>
      </c>
      <c r="S108" s="3">
        <f t="shared" si="1"/>
        <v>19</v>
      </c>
      <c r="T108" s="3" t="str">
        <f>_xlfn.XLOOKUP(C108,Tabla42[ADEP],Tabla42[Sector],"")</f>
        <v>Sector 7</v>
      </c>
    </row>
    <row r="109" spans="1:20" x14ac:dyDescent="0.2">
      <c r="A109" s="23" t="s">
        <v>3094</v>
      </c>
      <c r="B109" s="23" t="s">
        <v>18</v>
      </c>
      <c r="C109" s="23" t="s">
        <v>190</v>
      </c>
      <c r="D109" s="23" t="s">
        <v>33</v>
      </c>
      <c r="E109" s="23" t="s">
        <v>4735</v>
      </c>
      <c r="F109" s="24">
        <v>46309.800451388888</v>
      </c>
      <c r="G109" s="23" t="s">
        <v>21</v>
      </c>
      <c r="H109" s="23" t="s">
        <v>4736</v>
      </c>
      <c r="I109" s="23">
        <v>370</v>
      </c>
      <c r="J109" s="23" t="s">
        <v>22</v>
      </c>
      <c r="K109" s="23" t="s">
        <v>23</v>
      </c>
      <c r="L109" s="23">
        <v>131</v>
      </c>
      <c r="M109" s="23" t="s">
        <v>39</v>
      </c>
      <c r="N109" s="24">
        <v>46309.809537037036</v>
      </c>
      <c r="O109" s="23">
        <v>279</v>
      </c>
      <c r="P109" s="23" t="s">
        <v>25</v>
      </c>
      <c r="Q109" s="23">
        <v>190</v>
      </c>
      <c r="R109" s="3" t="str">
        <f>IF(OR(G109="12R",G109="12L"),_xlfn.XLOOKUP(C109,Tabla42[ADEP],Tabla42[SID 12R],""),IF(OR(G109="30L",G109="30R"),_xlfn.XLOOKUP(C109,Tabla42[ADEP],Tabla42[SID 30L],""),""))</f>
        <v>NUDAL</v>
      </c>
      <c r="S109" s="3">
        <f t="shared" si="1"/>
        <v>19</v>
      </c>
      <c r="T109" s="3" t="str">
        <f>_xlfn.XLOOKUP(C109,Tabla42[ADEP],Tabla42[Sector],"")</f>
        <v>Sector 3</v>
      </c>
    </row>
    <row r="110" spans="1:20" x14ac:dyDescent="0.2">
      <c r="A110" s="23" t="s">
        <v>285</v>
      </c>
      <c r="B110" s="23" t="s">
        <v>18</v>
      </c>
      <c r="C110" s="23" t="s">
        <v>160</v>
      </c>
      <c r="D110" s="23" t="s">
        <v>53</v>
      </c>
      <c r="E110" s="23" t="s">
        <v>2197</v>
      </c>
      <c r="F110" s="24">
        <v>46309.801574074074</v>
      </c>
      <c r="G110" s="23" t="s">
        <v>21</v>
      </c>
      <c r="H110" s="23" t="s">
        <v>4737</v>
      </c>
      <c r="I110" s="23">
        <v>360</v>
      </c>
      <c r="J110" s="23" t="s">
        <v>22</v>
      </c>
      <c r="K110" s="23" t="s">
        <v>23</v>
      </c>
      <c r="L110" s="23">
        <v>329</v>
      </c>
      <c r="M110" s="23" t="s">
        <v>4738</v>
      </c>
      <c r="N110" s="24">
        <v>46309.819849537038</v>
      </c>
      <c r="O110" s="23">
        <v>360</v>
      </c>
      <c r="P110" s="23" t="s">
        <v>25</v>
      </c>
      <c r="Q110" s="23">
        <v>190</v>
      </c>
      <c r="R110" s="3" t="str">
        <f>IF(OR(G110="12R",G110="12L"),_xlfn.XLOOKUP(C110,Tabla42[ADEP],Tabla42[SID 12R],""),IF(OR(G110="30L",G110="30R"),_xlfn.XLOOKUP(C110,Tabla42[ADEP],Tabla42[SID 30L],""),""))</f>
        <v>CZM</v>
      </c>
      <c r="S110" s="3">
        <f t="shared" si="1"/>
        <v>19</v>
      </c>
      <c r="T110" s="3" t="str">
        <f>_xlfn.XLOOKUP(C110,Tabla42[ADEP],Tabla42[Sector],"")</f>
        <v>Sector 7</v>
      </c>
    </row>
    <row r="111" spans="1:20" x14ac:dyDescent="0.2">
      <c r="A111" s="23" t="s">
        <v>4739</v>
      </c>
      <c r="B111" s="23" t="s">
        <v>18</v>
      </c>
      <c r="C111" s="23" t="s">
        <v>388</v>
      </c>
      <c r="D111" s="23" t="s">
        <v>122</v>
      </c>
      <c r="E111" s="23" t="s">
        <v>4740</v>
      </c>
      <c r="F111" s="24">
        <v>46309.802708333336</v>
      </c>
      <c r="G111" s="23" t="s">
        <v>21</v>
      </c>
      <c r="H111" s="23" t="s">
        <v>4741</v>
      </c>
      <c r="I111" s="23">
        <v>380</v>
      </c>
      <c r="J111" s="23" t="s">
        <v>22</v>
      </c>
      <c r="K111" s="23" t="s">
        <v>23</v>
      </c>
      <c r="L111" s="23">
        <v>446</v>
      </c>
      <c r="M111" s="23" t="s">
        <v>189</v>
      </c>
      <c r="N111" s="24">
        <v>46309.82571759259</v>
      </c>
      <c r="O111" s="23">
        <v>400</v>
      </c>
      <c r="P111" s="23" t="s">
        <v>25</v>
      </c>
      <c r="Q111" s="23">
        <v>40</v>
      </c>
      <c r="R111" s="3" t="str">
        <f>IF(OR(G111="12R",G111="12L"),_xlfn.XLOOKUP(C111,Tabla42[ADEP],Tabla42[SID 12R],""),IF(OR(G111="30L",G111="30R"),_xlfn.XLOOKUP(C111,Tabla42[ADEP],Tabla42[SID 30L],""),""))</f>
        <v>ENEBA</v>
      </c>
      <c r="S111" s="3">
        <f t="shared" si="1"/>
        <v>19</v>
      </c>
      <c r="T111" s="3" t="str">
        <f>_xlfn.XLOOKUP(C111,Tabla42[ADEP],Tabla42[Sector],"")</f>
        <v>Sector 3</v>
      </c>
    </row>
    <row r="112" spans="1:20" x14ac:dyDescent="0.2">
      <c r="A112" s="23" t="s">
        <v>241</v>
      </c>
      <c r="B112" s="23" t="s">
        <v>18</v>
      </c>
      <c r="C112" s="23" t="s">
        <v>121</v>
      </c>
      <c r="D112" s="23" t="s">
        <v>60</v>
      </c>
      <c r="E112" s="23" t="s">
        <v>4742</v>
      </c>
      <c r="F112" s="24">
        <v>46309.803819444445</v>
      </c>
      <c r="G112" s="23" t="s">
        <v>21</v>
      </c>
      <c r="H112" s="23" t="s">
        <v>4743</v>
      </c>
      <c r="I112" s="23">
        <v>360</v>
      </c>
      <c r="J112" s="23" t="s">
        <v>22</v>
      </c>
      <c r="K112" s="23" t="s">
        <v>23</v>
      </c>
      <c r="L112" s="23">
        <v>549</v>
      </c>
      <c r="M112" s="23" t="s">
        <v>123</v>
      </c>
      <c r="N112" s="24">
        <v>46309.832638888889</v>
      </c>
      <c r="O112" s="23">
        <v>360</v>
      </c>
      <c r="P112" s="23" t="s">
        <v>25</v>
      </c>
      <c r="Q112" s="23">
        <v>40</v>
      </c>
      <c r="R112" s="3" t="str">
        <f>IF(OR(G112="12R",G112="12L"),_xlfn.XLOOKUP(C112,Tabla42[ADEP],Tabla42[SID 12R],""),IF(OR(G112="30L",G112="30R"),_xlfn.XLOOKUP(C112,Tabla42[ADEP],Tabla42[SID 30L],""),""))</f>
        <v>ENEBA</v>
      </c>
      <c r="S112" s="3">
        <f t="shared" si="1"/>
        <v>19</v>
      </c>
      <c r="T112" s="3" t="str">
        <f>_xlfn.XLOOKUP(C112,Tabla42[ADEP],Tabla42[Sector],"")</f>
        <v>Sector 3</v>
      </c>
    </row>
    <row r="113" spans="1:20" x14ac:dyDescent="0.2">
      <c r="A113" s="23" t="s">
        <v>245</v>
      </c>
      <c r="B113" s="23" t="s">
        <v>18</v>
      </c>
      <c r="C113" s="23" t="s">
        <v>109</v>
      </c>
      <c r="D113" s="23" t="s">
        <v>122</v>
      </c>
      <c r="E113" s="23" t="s">
        <v>1022</v>
      </c>
      <c r="F113" s="24">
        <v>46309.805092592593</v>
      </c>
      <c r="G113" s="23" t="s">
        <v>21</v>
      </c>
      <c r="H113" s="23" t="s">
        <v>2297</v>
      </c>
      <c r="I113" s="23">
        <v>350</v>
      </c>
      <c r="J113" s="23" t="s">
        <v>22</v>
      </c>
      <c r="K113" s="23" t="s">
        <v>23</v>
      </c>
      <c r="L113" s="23">
        <v>153</v>
      </c>
      <c r="M113" s="23" t="s">
        <v>111</v>
      </c>
      <c r="N113" s="24">
        <v>46309.815787037034</v>
      </c>
      <c r="O113" s="23">
        <v>290</v>
      </c>
      <c r="P113" s="23" t="s">
        <v>25</v>
      </c>
      <c r="Q113" s="23">
        <v>190</v>
      </c>
      <c r="R113" s="3" t="str">
        <f>IF(OR(G113="12R",G113="12L"),_xlfn.XLOOKUP(C113,Tabla42[ADEP],Tabla42[SID 12R],""),IF(OR(G113="30L",G113="30R"),_xlfn.XLOOKUP(C113,Tabla42[ADEP],Tabla42[SID 30L],""),""))</f>
        <v>TAKUX</v>
      </c>
      <c r="S113" s="3">
        <f t="shared" si="1"/>
        <v>19</v>
      </c>
      <c r="T113" s="3" t="str">
        <f>_xlfn.XLOOKUP(C113,Tabla42[ADEP],Tabla42[Sector],"")</f>
        <v>Sector 7</v>
      </c>
    </row>
    <row r="114" spans="1:20" x14ac:dyDescent="0.2">
      <c r="A114" s="23" t="s">
        <v>387</v>
      </c>
      <c r="B114" s="23" t="s">
        <v>18</v>
      </c>
      <c r="C114" s="23" t="s">
        <v>388</v>
      </c>
      <c r="D114" s="23" t="s">
        <v>60</v>
      </c>
      <c r="E114" s="23" t="s">
        <v>3608</v>
      </c>
      <c r="F114" s="24">
        <v>46309.806030092594</v>
      </c>
      <c r="G114" s="23" t="s">
        <v>21</v>
      </c>
      <c r="H114" s="23" t="s">
        <v>4744</v>
      </c>
      <c r="I114" s="23">
        <v>340</v>
      </c>
      <c r="J114" s="23" t="s">
        <v>22</v>
      </c>
      <c r="K114" s="23" t="s">
        <v>23</v>
      </c>
      <c r="L114" s="23">
        <v>383</v>
      </c>
      <c r="M114" s="23" t="s">
        <v>250</v>
      </c>
      <c r="N114" s="24">
        <v>46309.828113425923</v>
      </c>
      <c r="O114" s="23">
        <v>340</v>
      </c>
      <c r="P114" s="23" t="s">
        <v>25</v>
      </c>
      <c r="Q114" s="23">
        <v>40</v>
      </c>
      <c r="R114" s="3" t="str">
        <f>IF(OR(G114="12R",G114="12L"),_xlfn.XLOOKUP(C114,Tabla42[ADEP],Tabla42[SID 12R],""),IF(OR(G114="30L",G114="30R"),_xlfn.XLOOKUP(C114,Tabla42[ADEP],Tabla42[SID 30L],""),""))</f>
        <v>ENEBA</v>
      </c>
      <c r="S114" s="3">
        <f t="shared" si="1"/>
        <v>19</v>
      </c>
      <c r="T114" s="3" t="str">
        <f>_xlfn.XLOOKUP(C114,Tabla42[ADEP],Tabla42[Sector],"")</f>
        <v>Sector 3</v>
      </c>
    </row>
    <row r="115" spans="1:20" x14ac:dyDescent="0.2">
      <c r="A115" s="23" t="s">
        <v>389</v>
      </c>
      <c r="B115" s="23" t="s">
        <v>18</v>
      </c>
      <c r="C115" s="23" t="s">
        <v>242</v>
      </c>
      <c r="D115" s="23" t="s">
        <v>243</v>
      </c>
      <c r="E115" s="23" t="s">
        <v>3673</v>
      </c>
      <c r="F115" s="24">
        <v>46309.80746527778</v>
      </c>
      <c r="G115" s="23" t="s">
        <v>21</v>
      </c>
      <c r="H115" s="23" t="s">
        <v>4745</v>
      </c>
      <c r="I115" s="23">
        <v>330</v>
      </c>
      <c r="J115" s="23" t="s">
        <v>22</v>
      </c>
      <c r="K115" s="23" t="s">
        <v>23</v>
      </c>
      <c r="L115" s="23">
        <v>133</v>
      </c>
      <c r="M115" s="23" t="s">
        <v>39</v>
      </c>
      <c r="N115" s="24">
        <v>46309.817048611112</v>
      </c>
      <c r="O115" s="23">
        <v>219</v>
      </c>
      <c r="P115" s="23" t="s">
        <v>40</v>
      </c>
      <c r="Q115" s="23">
        <v>190</v>
      </c>
      <c r="R115" s="3" t="str">
        <f>IF(OR(G115="12R",G115="12L"),_xlfn.XLOOKUP(C115,Tabla42[ADEP],Tabla42[SID 12R],""),IF(OR(G115="30L",G115="30R"),_xlfn.XLOOKUP(C115,Tabla42[ADEP],Tabla42[SID 30L],""),""))</f>
        <v>NUDAL</v>
      </c>
      <c r="S115" s="3">
        <f t="shared" si="1"/>
        <v>19</v>
      </c>
      <c r="T115" s="3" t="str">
        <f>_xlfn.XLOOKUP(C115,Tabla42[ADEP],Tabla42[Sector],"")</f>
        <v>Sector 3</v>
      </c>
    </row>
    <row r="116" spans="1:20" x14ac:dyDescent="0.2">
      <c r="A116" s="23" t="s">
        <v>247</v>
      </c>
      <c r="B116" s="23" t="s">
        <v>18</v>
      </c>
      <c r="C116" s="23" t="s">
        <v>137</v>
      </c>
      <c r="D116" s="23" t="s">
        <v>28</v>
      </c>
      <c r="E116" s="23" t="s">
        <v>4746</v>
      </c>
      <c r="F116" s="24">
        <v>46309.809166666666</v>
      </c>
      <c r="G116" s="23" t="s">
        <v>21</v>
      </c>
      <c r="H116" s="23" t="s">
        <v>4747</v>
      </c>
      <c r="I116" s="23">
        <v>310</v>
      </c>
      <c r="J116" s="23" t="s">
        <v>22</v>
      </c>
      <c r="K116" s="23" t="s">
        <v>23</v>
      </c>
      <c r="L116" s="23">
        <v>133</v>
      </c>
      <c r="M116" s="23" t="s">
        <v>39</v>
      </c>
      <c r="N116" s="24">
        <v>46309.818761574075</v>
      </c>
      <c r="O116" s="23">
        <v>249</v>
      </c>
      <c r="P116" s="23" t="s">
        <v>25</v>
      </c>
      <c r="Q116" s="23">
        <v>190</v>
      </c>
      <c r="R116" s="3" t="str">
        <f>IF(OR(G116="12R",G116="12L"),_xlfn.XLOOKUP(C116,Tabla42[ADEP],Tabla42[SID 12R],""),IF(OR(G116="30L",G116="30R"),_xlfn.XLOOKUP(C116,Tabla42[ADEP],Tabla42[SID 30L],""),""))</f>
        <v>NUDAL</v>
      </c>
      <c r="S116" s="3">
        <f t="shared" si="1"/>
        <v>19</v>
      </c>
      <c r="T116" s="3" t="str">
        <f>_xlfn.XLOOKUP(C116,Tabla42[ADEP],Tabla42[Sector],"")</f>
        <v>Sector 3</v>
      </c>
    </row>
    <row r="117" spans="1:20" x14ac:dyDescent="0.2">
      <c r="A117" s="23" t="s">
        <v>173</v>
      </c>
      <c r="B117" s="23" t="s">
        <v>18</v>
      </c>
      <c r="C117" s="23" t="s">
        <v>18</v>
      </c>
      <c r="D117" s="23" t="s">
        <v>174</v>
      </c>
      <c r="E117" s="23"/>
      <c r="F117" s="24">
        <v>46309.810914351852</v>
      </c>
      <c r="G117" s="23" t="s">
        <v>21</v>
      </c>
      <c r="H117" s="23" t="s">
        <v>4748</v>
      </c>
      <c r="I117" s="23">
        <v>15</v>
      </c>
      <c r="J117" s="23" t="s">
        <v>130</v>
      </c>
      <c r="K117" s="23" t="s">
        <v>50</v>
      </c>
      <c r="L117" s="23">
        <v>128</v>
      </c>
      <c r="M117" s="23" t="s">
        <v>18</v>
      </c>
      <c r="N117" s="24">
        <v>46309.841527777775</v>
      </c>
      <c r="O117" s="23">
        <v>0</v>
      </c>
      <c r="P117" s="23" t="s">
        <v>129</v>
      </c>
      <c r="Q117" s="23">
        <v>15</v>
      </c>
      <c r="R117" s="3" t="str">
        <f>IF(OR(G117="12R",G117="12L"),_xlfn.XLOOKUP(C117,Tabla42[ADEP],Tabla42[SID 12R],""),IF(OR(G117="30L",G117="30R"),_xlfn.XLOOKUP(C117,Tabla42[ADEP],Tabla42[SID 30L],""),""))</f>
        <v/>
      </c>
      <c r="S117" s="3">
        <f t="shared" si="1"/>
        <v>19</v>
      </c>
      <c r="T117" s="3" t="str">
        <f>_xlfn.XLOOKUP(C117,Tabla42[ADEP],Tabla42[Sector],"")</f>
        <v/>
      </c>
    </row>
    <row r="118" spans="1:20" x14ac:dyDescent="0.2">
      <c r="A118" s="23" t="s">
        <v>261</v>
      </c>
      <c r="B118" s="23" t="s">
        <v>18</v>
      </c>
      <c r="C118" s="23" t="s">
        <v>158</v>
      </c>
      <c r="D118" s="23" t="s">
        <v>33</v>
      </c>
      <c r="E118" s="23" t="s">
        <v>1911</v>
      </c>
      <c r="F118" s="24">
        <v>46309.812152777777</v>
      </c>
      <c r="G118" s="23" t="s">
        <v>21</v>
      </c>
      <c r="H118" s="23" t="s">
        <v>4749</v>
      </c>
      <c r="I118" s="23">
        <v>330</v>
      </c>
      <c r="J118" s="23" t="s">
        <v>22</v>
      </c>
      <c r="K118" s="23" t="s">
        <v>23</v>
      </c>
      <c r="L118" s="23">
        <v>359</v>
      </c>
      <c r="M118" s="23" t="s">
        <v>30</v>
      </c>
      <c r="N118" s="24">
        <v>46309.831597222219</v>
      </c>
      <c r="O118" s="23">
        <v>310</v>
      </c>
      <c r="P118" s="23" t="s">
        <v>25</v>
      </c>
      <c r="Q118" s="23">
        <v>40</v>
      </c>
      <c r="R118" s="3" t="str">
        <f>IF(OR(G118="12R",G118="12L"),_xlfn.XLOOKUP(C118,Tabla42[ADEP],Tabla42[SID 12R],""),IF(OR(G118="30L",G118="30R"),_xlfn.XLOOKUP(C118,Tabla42[ADEP],Tabla42[SID 30L],""),""))</f>
        <v>OMSUK</v>
      </c>
      <c r="S118" s="3">
        <f t="shared" si="1"/>
        <v>19</v>
      </c>
      <c r="T118" s="3" t="str">
        <f>_xlfn.XLOOKUP(C118,Tabla42[ADEP],Tabla42[Sector],"")</f>
        <v>Sector 3</v>
      </c>
    </row>
    <row r="119" spans="1:20" x14ac:dyDescent="0.2">
      <c r="A119" s="23" t="s">
        <v>205</v>
      </c>
      <c r="B119" s="23" t="s">
        <v>18</v>
      </c>
      <c r="C119" s="23" t="s">
        <v>206</v>
      </c>
      <c r="D119" s="23" t="s">
        <v>60</v>
      </c>
      <c r="E119" s="23" t="s">
        <v>529</v>
      </c>
      <c r="F119" s="24">
        <v>46309.813807870371</v>
      </c>
      <c r="G119" s="23" t="s">
        <v>21</v>
      </c>
      <c r="H119" s="23" t="s">
        <v>4750</v>
      </c>
      <c r="I119" s="23">
        <v>360</v>
      </c>
      <c r="J119" s="23" t="s">
        <v>22</v>
      </c>
      <c r="K119" s="23" t="s">
        <v>23</v>
      </c>
      <c r="L119" s="23">
        <v>868</v>
      </c>
      <c r="M119" s="23" t="s">
        <v>599</v>
      </c>
      <c r="N119" s="24">
        <v>46309.857986111114</v>
      </c>
      <c r="O119" s="23">
        <v>360</v>
      </c>
      <c r="P119" s="23" t="s">
        <v>25</v>
      </c>
      <c r="Q119" s="23">
        <v>190</v>
      </c>
      <c r="R119" s="3" t="str">
        <f>IF(OR(G119="12R",G119="12L"),_xlfn.XLOOKUP(C119,Tabla42[ADEP],Tabla42[SID 12R],""),IF(OR(G119="30L",G119="30R"),_xlfn.XLOOKUP(C119,Tabla42[ADEP],Tabla42[SID 30L],""),""))</f>
        <v>UDGUV</v>
      </c>
      <c r="S119" s="3">
        <f t="shared" si="1"/>
        <v>19</v>
      </c>
      <c r="T119" s="3" t="str">
        <f>_xlfn.XLOOKUP(C119,Tabla42[ADEP],Tabla42[Sector],"")</f>
        <v>Sector 2</v>
      </c>
    </row>
    <row r="120" spans="1:20" x14ac:dyDescent="0.2">
      <c r="A120" s="23" t="s">
        <v>266</v>
      </c>
      <c r="B120" s="23" t="s">
        <v>18</v>
      </c>
      <c r="C120" s="23" t="s">
        <v>184</v>
      </c>
      <c r="D120" s="23" t="s">
        <v>60</v>
      </c>
      <c r="E120" s="23" t="s">
        <v>4751</v>
      </c>
      <c r="F120" s="24">
        <v>46309.815208333333</v>
      </c>
      <c r="G120" s="23" t="s">
        <v>21</v>
      </c>
      <c r="H120" s="23" t="s">
        <v>4752</v>
      </c>
      <c r="I120" s="23">
        <v>350</v>
      </c>
      <c r="J120" s="23" t="s">
        <v>22</v>
      </c>
      <c r="K120" s="23" t="s">
        <v>23</v>
      </c>
      <c r="L120" s="23">
        <v>359</v>
      </c>
      <c r="M120" s="23" t="s">
        <v>30</v>
      </c>
      <c r="N120" s="24">
        <v>46309.835289351853</v>
      </c>
      <c r="O120" s="23">
        <v>350</v>
      </c>
      <c r="P120" s="23" t="s">
        <v>25</v>
      </c>
      <c r="Q120" s="23">
        <v>40</v>
      </c>
      <c r="R120" s="3" t="str">
        <f>IF(OR(G120="12R",G120="12L"),_xlfn.XLOOKUP(C120,Tabla42[ADEP],Tabla42[SID 12R],""),IF(OR(G120="30L",G120="30R"),_xlfn.XLOOKUP(C120,Tabla42[ADEP],Tabla42[SID 30L],""),""))</f>
        <v>OMSUK</v>
      </c>
      <c r="S120" s="3">
        <f t="shared" si="1"/>
        <v>19</v>
      </c>
      <c r="T120" s="3" t="str">
        <f>_xlfn.XLOOKUP(C120,Tabla42[ADEP],Tabla42[Sector],"")</f>
        <v>Sector 3</v>
      </c>
    </row>
    <row r="121" spans="1:20" x14ac:dyDescent="0.2">
      <c r="A121" s="23" t="s">
        <v>238</v>
      </c>
      <c r="B121" s="23" t="s">
        <v>18</v>
      </c>
      <c r="C121" s="23" t="s">
        <v>239</v>
      </c>
      <c r="D121" s="23" t="s">
        <v>33</v>
      </c>
      <c r="E121" s="23" t="s">
        <v>726</v>
      </c>
      <c r="F121" s="24">
        <v>46309.817673611113</v>
      </c>
      <c r="G121" s="23" t="s">
        <v>21</v>
      </c>
      <c r="H121" s="23" t="s">
        <v>4753</v>
      </c>
      <c r="I121" s="23">
        <v>360</v>
      </c>
      <c r="J121" s="23" t="s">
        <v>22</v>
      </c>
      <c r="K121" s="23" t="s">
        <v>23</v>
      </c>
      <c r="L121" s="23">
        <v>884</v>
      </c>
      <c r="M121" s="23" t="s">
        <v>35</v>
      </c>
      <c r="N121" s="24">
        <v>46309.862280092595</v>
      </c>
      <c r="O121" s="23">
        <v>360</v>
      </c>
      <c r="P121" s="23" t="s">
        <v>25</v>
      </c>
      <c r="Q121" s="23">
        <v>40</v>
      </c>
      <c r="R121" s="3" t="str">
        <f>IF(OR(G121="12R",G121="12L"),_xlfn.XLOOKUP(C121,Tabla42[ADEP],Tabla42[SID 12R],""),IF(OR(G121="30L",G121="30R"),_xlfn.XLOOKUP(C121,Tabla42[ADEP],Tabla42[SID 30L],""),""))</f>
        <v>UDGUV</v>
      </c>
      <c r="S121" s="3">
        <f t="shared" si="1"/>
        <v>19</v>
      </c>
      <c r="T121" s="3" t="str">
        <f>_xlfn.XLOOKUP(C121,Tabla42[ADEP],Tabla42[Sector],"")</f>
        <v>Sector 2</v>
      </c>
    </row>
    <row r="122" spans="1:20" x14ac:dyDescent="0.2">
      <c r="A122" s="23" t="s">
        <v>600</v>
      </c>
      <c r="B122" s="23" t="s">
        <v>18</v>
      </c>
      <c r="C122" s="23" t="s">
        <v>293</v>
      </c>
      <c r="D122" s="23" t="s">
        <v>20</v>
      </c>
      <c r="E122" s="23" t="s">
        <v>4754</v>
      </c>
      <c r="F122" s="24">
        <v>46309.818518518521</v>
      </c>
      <c r="G122" s="23" t="s">
        <v>21</v>
      </c>
      <c r="H122" s="23" t="s">
        <v>4755</v>
      </c>
      <c r="I122" s="23">
        <v>340</v>
      </c>
      <c r="J122" s="23" t="s">
        <v>22</v>
      </c>
      <c r="K122" s="23" t="s">
        <v>23</v>
      </c>
      <c r="L122" s="23">
        <v>577</v>
      </c>
      <c r="M122" s="23" t="s">
        <v>123</v>
      </c>
      <c r="N122" s="24">
        <v>46309.848460648151</v>
      </c>
      <c r="O122" s="23">
        <v>340</v>
      </c>
      <c r="P122" s="23" t="s">
        <v>25</v>
      </c>
      <c r="Q122" s="23">
        <v>40</v>
      </c>
      <c r="R122" s="3" t="str">
        <f>IF(OR(G122="12R",G122="12L"),_xlfn.XLOOKUP(C122,Tabla42[ADEP],Tabla42[SID 12R],""),IF(OR(G122="30L",G122="30R"),_xlfn.XLOOKUP(C122,Tabla42[ADEP],Tabla42[SID 30L],""),""))</f>
        <v>UDGUV</v>
      </c>
      <c r="S122" s="3">
        <f t="shared" si="1"/>
        <v>19</v>
      </c>
      <c r="T122" s="3" t="str">
        <f>_xlfn.XLOOKUP(C122,Tabla42[ADEP],Tabla42[Sector],"")</f>
        <v>Sector 2</v>
      </c>
    </row>
    <row r="123" spans="1:20" x14ac:dyDescent="0.2">
      <c r="A123" s="23" t="s">
        <v>256</v>
      </c>
      <c r="B123" s="23" t="s">
        <v>18</v>
      </c>
      <c r="C123" s="23" t="s">
        <v>257</v>
      </c>
      <c r="D123" s="23" t="s">
        <v>43</v>
      </c>
      <c r="E123" s="23" t="s">
        <v>4756</v>
      </c>
      <c r="F123" s="24">
        <v>46309.820416666669</v>
      </c>
      <c r="G123" s="23" t="s">
        <v>21</v>
      </c>
      <c r="H123" s="23" t="s">
        <v>4757</v>
      </c>
      <c r="I123" s="23">
        <v>340</v>
      </c>
      <c r="J123" s="23" t="s">
        <v>22</v>
      </c>
      <c r="K123" s="23" t="s">
        <v>23</v>
      </c>
      <c r="L123" s="23">
        <v>886</v>
      </c>
      <c r="M123" s="23" t="s">
        <v>35</v>
      </c>
      <c r="N123" s="24">
        <v>46309.865358796298</v>
      </c>
      <c r="O123" s="23">
        <v>340</v>
      </c>
      <c r="P123" s="23" t="s">
        <v>25</v>
      </c>
      <c r="Q123" s="23">
        <v>190</v>
      </c>
      <c r="R123" s="3" t="str">
        <f>IF(OR(G123="12R",G123="12L"),_xlfn.XLOOKUP(C123,Tabla42[ADEP],Tabla42[SID 12R],""),IF(OR(G123="30L",G123="30R"),_xlfn.XLOOKUP(C123,Tabla42[ADEP],Tabla42[SID 30L],""),""))</f>
        <v>UDGUV</v>
      </c>
      <c r="S123" s="3">
        <f t="shared" si="1"/>
        <v>19</v>
      </c>
      <c r="T123" s="3" t="str">
        <f>_xlfn.XLOOKUP(C123,Tabla42[ADEP],Tabla42[Sector],"")</f>
        <v>Sector 2</v>
      </c>
    </row>
    <row r="124" spans="1:20" x14ac:dyDescent="0.2">
      <c r="A124" s="23" t="s">
        <v>222</v>
      </c>
      <c r="B124" s="23" t="s">
        <v>18</v>
      </c>
      <c r="C124" s="23" t="s">
        <v>223</v>
      </c>
      <c r="D124" s="23" t="s">
        <v>122</v>
      </c>
      <c r="E124" s="23" t="s">
        <v>3370</v>
      </c>
      <c r="F124" s="24">
        <v>46309.821539351855</v>
      </c>
      <c r="G124" s="23" t="s">
        <v>21</v>
      </c>
      <c r="H124" s="23" t="s">
        <v>4758</v>
      </c>
      <c r="I124" s="23">
        <v>350</v>
      </c>
      <c r="J124" s="23" t="s">
        <v>22</v>
      </c>
      <c r="K124" s="23" t="s">
        <v>23</v>
      </c>
      <c r="L124" s="23">
        <v>359</v>
      </c>
      <c r="M124" s="23" t="s">
        <v>30</v>
      </c>
      <c r="N124" s="24">
        <v>46309.840902777774</v>
      </c>
      <c r="O124" s="23">
        <v>330</v>
      </c>
      <c r="P124" s="23" t="s">
        <v>25</v>
      </c>
      <c r="Q124" s="23">
        <v>40</v>
      </c>
      <c r="R124" s="3" t="str">
        <f>IF(OR(G124="12R",G124="12L"),_xlfn.XLOOKUP(C124,Tabla42[ADEP],Tabla42[SID 12R],""),IF(OR(G124="30L",G124="30R"),_xlfn.XLOOKUP(C124,Tabla42[ADEP],Tabla42[SID 30L],""),""))</f>
        <v>OMSUK</v>
      </c>
      <c r="S124" s="3">
        <f t="shared" si="1"/>
        <v>19</v>
      </c>
      <c r="T124" s="3" t="str">
        <f>_xlfn.XLOOKUP(C124,Tabla42[ADEP],Tabla42[Sector],"")</f>
        <v>Sector 3</v>
      </c>
    </row>
    <row r="125" spans="1:20" x14ac:dyDescent="0.2">
      <c r="A125" s="23" t="s">
        <v>259</v>
      </c>
      <c r="B125" s="23" t="s">
        <v>18</v>
      </c>
      <c r="C125" s="23" t="s">
        <v>32</v>
      </c>
      <c r="D125" s="23" t="s">
        <v>33</v>
      </c>
      <c r="E125" s="23" t="s">
        <v>4402</v>
      </c>
      <c r="F125" s="24">
        <v>46309.822962962964</v>
      </c>
      <c r="G125" s="23" t="s">
        <v>21</v>
      </c>
      <c r="H125" s="23" t="s">
        <v>4759</v>
      </c>
      <c r="I125" s="23">
        <v>360</v>
      </c>
      <c r="J125" s="23" t="s">
        <v>22</v>
      </c>
      <c r="K125" s="23" t="s">
        <v>23</v>
      </c>
      <c r="L125" s="23">
        <v>846</v>
      </c>
      <c r="M125" s="23" t="s">
        <v>35</v>
      </c>
      <c r="N125" s="24">
        <v>46309.867048611108</v>
      </c>
      <c r="O125" s="23">
        <v>360</v>
      </c>
      <c r="P125" s="23" t="s">
        <v>25</v>
      </c>
      <c r="Q125" s="23">
        <v>190</v>
      </c>
      <c r="R125" s="3" t="str">
        <f>IF(OR(G125="12R",G125="12L"),_xlfn.XLOOKUP(C125,Tabla42[ADEP],Tabla42[SID 12R],""),IF(OR(G125="30L",G125="30R"),_xlfn.XLOOKUP(C125,Tabla42[ADEP],Tabla42[SID 30L],""),""))</f>
        <v>UDGUV</v>
      </c>
      <c r="S125" s="3">
        <f t="shared" si="1"/>
        <v>19</v>
      </c>
      <c r="T125" s="3" t="str">
        <f>_xlfn.XLOOKUP(C125,Tabla42[ADEP],Tabla42[Sector],"")</f>
        <v>Sector 2</v>
      </c>
    </row>
    <row r="126" spans="1:20" x14ac:dyDescent="0.2">
      <c r="A126" s="23" t="s">
        <v>445</v>
      </c>
      <c r="B126" s="23" t="s">
        <v>18</v>
      </c>
      <c r="C126" s="23" t="s">
        <v>263</v>
      </c>
      <c r="D126" s="23" t="s">
        <v>122</v>
      </c>
      <c r="E126" s="23" t="s">
        <v>3597</v>
      </c>
      <c r="F126" s="24">
        <v>46309.82476851852</v>
      </c>
      <c r="G126" s="23" t="s">
        <v>21</v>
      </c>
      <c r="H126" s="23" t="s">
        <v>4760</v>
      </c>
      <c r="I126" s="23">
        <v>350</v>
      </c>
      <c r="J126" s="23" t="s">
        <v>22</v>
      </c>
      <c r="K126" s="23" t="s">
        <v>23</v>
      </c>
      <c r="L126" s="23">
        <v>133</v>
      </c>
      <c r="M126" s="23" t="s">
        <v>39</v>
      </c>
      <c r="N126" s="24">
        <v>46309.833819444444</v>
      </c>
      <c r="O126" s="23">
        <v>248</v>
      </c>
      <c r="P126" s="23" t="s">
        <v>25</v>
      </c>
      <c r="Q126" s="23">
        <v>190</v>
      </c>
      <c r="R126" s="3" t="str">
        <f>IF(OR(G126="12R",G126="12L"),_xlfn.XLOOKUP(C126,Tabla42[ADEP],Tabla42[SID 12R],""),IF(OR(G126="30L",G126="30R"),_xlfn.XLOOKUP(C126,Tabla42[ADEP],Tabla42[SID 30L],""),""))</f>
        <v>OMSUK</v>
      </c>
      <c r="S126" s="3">
        <f t="shared" si="1"/>
        <v>19</v>
      </c>
      <c r="T126" s="3" t="str">
        <f>_xlfn.XLOOKUP(C126,Tabla42[ADEP],Tabla42[Sector],"")</f>
        <v>Sector 3</v>
      </c>
    </row>
    <row r="127" spans="1:20" x14ac:dyDescent="0.2">
      <c r="A127" s="23" t="s">
        <v>251</v>
      </c>
      <c r="B127" s="23" t="s">
        <v>18</v>
      </c>
      <c r="C127" s="23" t="s">
        <v>126</v>
      </c>
      <c r="D127" s="23" t="s">
        <v>60</v>
      </c>
      <c r="E127" s="23" t="s">
        <v>4761</v>
      </c>
      <c r="F127" s="24">
        <v>46309.825914351852</v>
      </c>
      <c r="G127" s="23" t="s">
        <v>21</v>
      </c>
      <c r="H127" s="23" t="s">
        <v>4762</v>
      </c>
      <c r="I127" s="23">
        <v>350</v>
      </c>
      <c r="J127" s="23" t="s">
        <v>22</v>
      </c>
      <c r="K127" s="23" t="s">
        <v>23</v>
      </c>
      <c r="L127" s="23">
        <v>345</v>
      </c>
      <c r="M127" s="23" t="s">
        <v>30</v>
      </c>
      <c r="N127" s="24">
        <v>46309.846377314818</v>
      </c>
      <c r="O127" s="23">
        <v>350</v>
      </c>
      <c r="P127" s="23" t="s">
        <v>25</v>
      </c>
      <c r="Q127" s="23">
        <v>40</v>
      </c>
      <c r="R127" s="3" t="str">
        <f>IF(OR(G127="12R",G127="12L"),_xlfn.XLOOKUP(C127,Tabla42[ADEP],Tabla42[SID 12R],""),IF(OR(G127="30L",G127="30R"),_xlfn.XLOOKUP(C127,Tabla42[ADEP],Tabla42[SID 30L],""),""))</f>
        <v>ENEBA</v>
      </c>
      <c r="S127" s="3">
        <f t="shared" si="1"/>
        <v>19</v>
      </c>
      <c r="T127" s="3" t="str">
        <f>_xlfn.XLOOKUP(C127,Tabla42[ADEP],Tabla42[Sector],"")</f>
        <v>Sector 3</v>
      </c>
    </row>
    <row r="128" spans="1:20" x14ac:dyDescent="0.2">
      <c r="A128" s="23" t="s">
        <v>268</v>
      </c>
      <c r="B128" s="23" t="s">
        <v>18</v>
      </c>
      <c r="C128" s="23" t="s">
        <v>42</v>
      </c>
      <c r="D128" s="23" t="s">
        <v>43</v>
      </c>
      <c r="E128" s="23" t="s">
        <v>182</v>
      </c>
      <c r="F128" s="24">
        <v>46309.827141203707</v>
      </c>
      <c r="G128" s="23" t="s">
        <v>21</v>
      </c>
      <c r="H128" s="23" t="s">
        <v>4763</v>
      </c>
      <c r="I128" s="23">
        <v>360</v>
      </c>
      <c r="J128" s="23" t="s">
        <v>22</v>
      </c>
      <c r="K128" s="23" t="s">
        <v>23</v>
      </c>
      <c r="L128" s="23">
        <v>869</v>
      </c>
      <c r="M128" s="23" t="s">
        <v>2430</v>
      </c>
      <c r="N128" s="24">
        <v>46309.871782407405</v>
      </c>
      <c r="O128" s="23">
        <v>360</v>
      </c>
      <c r="P128" s="23" t="s">
        <v>25</v>
      </c>
      <c r="Q128" s="23">
        <v>190</v>
      </c>
      <c r="R128" s="3" t="str">
        <f>IF(OR(G128="12R",G128="12L"),_xlfn.XLOOKUP(C128,Tabla42[ADEP],Tabla42[SID 12R],""),IF(OR(G128="30L",G128="30R"),_xlfn.XLOOKUP(C128,Tabla42[ADEP],Tabla42[SID 30L],""),""))</f>
        <v>UDGUV</v>
      </c>
      <c r="S128" s="3">
        <f t="shared" si="1"/>
        <v>19</v>
      </c>
      <c r="T128" s="3" t="str">
        <f>_xlfn.XLOOKUP(C128,Tabla42[ADEP],Tabla42[Sector],"")</f>
        <v>Sector 2</v>
      </c>
    </row>
    <row r="129" spans="1:20" x14ac:dyDescent="0.2">
      <c r="A129" s="23" t="s">
        <v>271</v>
      </c>
      <c r="B129" s="23" t="s">
        <v>18</v>
      </c>
      <c r="C129" s="23" t="s">
        <v>116</v>
      </c>
      <c r="D129" s="23" t="s">
        <v>43</v>
      </c>
      <c r="E129" s="23" t="s">
        <v>4764</v>
      </c>
      <c r="F129" s="24">
        <v>46309.828483796293</v>
      </c>
      <c r="G129" s="23" t="s">
        <v>21</v>
      </c>
      <c r="H129" s="23" t="s">
        <v>4765</v>
      </c>
      <c r="I129" s="23">
        <v>340</v>
      </c>
      <c r="J129" s="23" t="s">
        <v>22</v>
      </c>
      <c r="K129" s="23" t="s">
        <v>23</v>
      </c>
      <c r="L129" s="23">
        <v>540</v>
      </c>
      <c r="M129" s="23" t="s">
        <v>123</v>
      </c>
      <c r="N129" s="24">
        <v>46309.857060185182</v>
      </c>
      <c r="O129" s="23">
        <v>340</v>
      </c>
      <c r="P129" s="23" t="s">
        <v>25</v>
      </c>
      <c r="Q129" s="23">
        <v>40</v>
      </c>
      <c r="R129" s="3" t="str">
        <f>IF(OR(G129="12R",G129="12L"),_xlfn.XLOOKUP(C129,Tabla42[ADEP],Tabla42[SID 12R],""),IF(OR(G129="30L",G129="30R"),_xlfn.XLOOKUP(C129,Tabla42[ADEP],Tabla42[SID 30L],""),""))</f>
        <v>ENEBA</v>
      </c>
      <c r="S129" s="3">
        <f t="shared" si="1"/>
        <v>19</v>
      </c>
      <c r="T129" s="3" t="str">
        <f>_xlfn.XLOOKUP(C129,Tabla42[ADEP],Tabla42[Sector],"")</f>
        <v>Sector 3</v>
      </c>
    </row>
    <row r="130" spans="1:20" x14ac:dyDescent="0.2">
      <c r="A130" s="23" t="s">
        <v>744</v>
      </c>
      <c r="B130" s="23" t="s">
        <v>18</v>
      </c>
      <c r="C130" s="23" t="s">
        <v>188</v>
      </c>
      <c r="D130" s="23" t="s">
        <v>122</v>
      </c>
      <c r="E130" s="23" t="s">
        <v>2911</v>
      </c>
      <c r="F130" s="24">
        <v>46309.83021990741</v>
      </c>
      <c r="G130" s="23" t="s">
        <v>21</v>
      </c>
      <c r="H130" s="23" t="s">
        <v>4766</v>
      </c>
      <c r="I130" s="23">
        <v>360</v>
      </c>
      <c r="J130" s="23" t="s">
        <v>22</v>
      </c>
      <c r="K130" s="23" t="s">
        <v>23</v>
      </c>
      <c r="L130" s="23">
        <v>434</v>
      </c>
      <c r="M130" s="23" t="s">
        <v>189</v>
      </c>
      <c r="N130" s="24">
        <v>46309.853807870371</v>
      </c>
      <c r="O130" s="23">
        <v>360</v>
      </c>
      <c r="P130" s="23" t="s">
        <v>25</v>
      </c>
      <c r="Q130" s="23">
        <v>40</v>
      </c>
      <c r="R130" s="3" t="str">
        <f>IF(OR(G130="12R",G130="12L"),_xlfn.XLOOKUP(C130,Tabla42[ADEP],Tabla42[SID 12R],""),IF(OR(G130="30L",G130="30R"),_xlfn.XLOOKUP(C130,Tabla42[ADEP],Tabla42[SID 30L],""),""))</f>
        <v>ENEBA</v>
      </c>
      <c r="S130" s="3">
        <f t="shared" si="1"/>
        <v>19</v>
      </c>
      <c r="T130" s="3" t="str">
        <f>_xlfn.XLOOKUP(C130,Tabla42[ADEP],Tabla42[Sector],"")</f>
        <v>Sector 3</v>
      </c>
    </row>
    <row r="131" spans="1:20" x14ac:dyDescent="0.2">
      <c r="A131" s="23" t="s">
        <v>253</v>
      </c>
      <c r="B131" s="23" t="s">
        <v>18</v>
      </c>
      <c r="C131" s="23" t="s">
        <v>254</v>
      </c>
      <c r="D131" s="23" t="s">
        <v>20</v>
      </c>
      <c r="E131" s="23" t="s">
        <v>2940</v>
      </c>
      <c r="F131" s="24">
        <v>46309.833449074074</v>
      </c>
      <c r="G131" s="23" t="s">
        <v>21</v>
      </c>
      <c r="H131" s="23" t="s">
        <v>4767</v>
      </c>
      <c r="I131" s="23">
        <v>340</v>
      </c>
      <c r="J131" s="23" t="s">
        <v>22</v>
      </c>
      <c r="K131" s="23" t="s">
        <v>23</v>
      </c>
      <c r="L131" s="23">
        <v>878</v>
      </c>
      <c r="M131" s="23" t="s">
        <v>35</v>
      </c>
      <c r="N131" s="24">
        <v>46309.878761574073</v>
      </c>
      <c r="O131" s="23">
        <v>340</v>
      </c>
      <c r="P131" s="23" t="s">
        <v>25</v>
      </c>
      <c r="Q131" s="23">
        <v>190</v>
      </c>
      <c r="R131" s="3" t="str">
        <f>IF(OR(G131="12R",G131="12L"),_xlfn.XLOOKUP(C131,Tabla42[ADEP],Tabla42[SID 12R],""),IF(OR(G131="30L",G131="30R"),_xlfn.XLOOKUP(C131,Tabla42[ADEP],Tabla42[SID 30L],""),""))</f>
        <v>UDGUV</v>
      </c>
      <c r="S131" s="3">
        <f t="shared" ref="S131:S194" si="2">HOUR(F131)</f>
        <v>20</v>
      </c>
      <c r="T131" s="3" t="str">
        <f>_xlfn.XLOOKUP(C131,Tabla42[ADEP],Tabla42[Sector],"")</f>
        <v>Sector 2</v>
      </c>
    </row>
    <row r="132" spans="1:20" x14ac:dyDescent="0.2">
      <c r="A132" s="23" t="s">
        <v>264</v>
      </c>
      <c r="B132" s="23" t="s">
        <v>18</v>
      </c>
      <c r="C132" s="23" t="s">
        <v>265</v>
      </c>
      <c r="D132" s="23" t="s">
        <v>33</v>
      </c>
      <c r="E132" s="23" t="s">
        <v>2816</v>
      </c>
      <c r="F132" s="24">
        <v>46309.834768518522</v>
      </c>
      <c r="G132" s="23" t="s">
        <v>21</v>
      </c>
      <c r="H132" s="23" t="s">
        <v>4768</v>
      </c>
      <c r="I132" s="23">
        <v>380</v>
      </c>
      <c r="J132" s="23" t="s">
        <v>22</v>
      </c>
      <c r="K132" s="23" t="s">
        <v>23</v>
      </c>
      <c r="L132" s="23">
        <v>887</v>
      </c>
      <c r="M132" s="23" t="s">
        <v>167</v>
      </c>
      <c r="N132" s="24">
        <v>46309.879780092589</v>
      </c>
      <c r="O132" s="23">
        <v>380</v>
      </c>
      <c r="P132" s="23" t="s">
        <v>25</v>
      </c>
      <c r="Q132" s="23">
        <v>190</v>
      </c>
      <c r="R132" s="3" t="str">
        <f>IF(OR(G132="12R",G132="12L"),_xlfn.XLOOKUP(C132,Tabla42[ADEP],Tabla42[SID 12R],""),IF(OR(G132="30L",G132="30R"),_xlfn.XLOOKUP(C132,Tabla42[ADEP],Tabla42[SID 30L],""),""))</f>
        <v>UDGUV</v>
      </c>
      <c r="S132" s="3">
        <f t="shared" si="2"/>
        <v>20</v>
      </c>
      <c r="T132" s="3" t="str">
        <f>_xlfn.XLOOKUP(C132,Tabla42[ADEP],Tabla42[Sector],"")</f>
        <v>Sector 2</v>
      </c>
    </row>
    <row r="133" spans="1:20" x14ac:dyDescent="0.2">
      <c r="A133" s="23" t="s">
        <v>2265</v>
      </c>
      <c r="B133" s="23" t="s">
        <v>18</v>
      </c>
      <c r="C133" s="23" t="s">
        <v>32</v>
      </c>
      <c r="D133" s="23" t="s">
        <v>53</v>
      </c>
      <c r="E133" s="23" t="s">
        <v>363</v>
      </c>
      <c r="F133" s="24">
        <v>46309.836215277777</v>
      </c>
      <c r="G133" s="23" t="s">
        <v>21</v>
      </c>
      <c r="H133" s="23" t="s">
        <v>4769</v>
      </c>
      <c r="I133" s="23">
        <v>380</v>
      </c>
      <c r="J133" s="23" t="s">
        <v>22</v>
      </c>
      <c r="K133" s="23" t="s">
        <v>23</v>
      </c>
      <c r="L133" s="23">
        <v>895</v>
      </c>
      <c r="M133" s="23" t="s">
        <v>35</v>
      </c>
      <c r="N133" s="24">
        <v>46309.881620370368</v>
      </c>
      <c r="O133" s="23">
        <v>380</v>
      </c>
      <c r="P133" s="23" t="s">
        <v>25</v>
      </c>
      <c r="Q133" s="23">
        <v>190</v>
      </c>
      <c r="R133" s="3" t="str">
        <f>IF(OR(G133="12R",G133="12L"),_xlfn.XLOOKUP(C133,Tabla42[ADEP],Tabla42[SID 12R],""),IF(OR(G133="30L",G133="30R"),_xlfn.XLOOKUP(C133,Tabla42[ADEP],Tabla42[SID 30L],""),""))</f>
        <v>UDGUV</v>
      </c>
      <c r="S133" s="3">
        <f t="shared" si="2"/>
        <v>20</v>
      </c>
      <c r="T133" s="3" t="str">
        <f>_xlfn.XLOOKUP(C133,Tabla42[ADEP],Tabla42[Sector],"")</f>
        <v>Sector 2</v>
      </c>
    </row>
    <row r="134" spans="1:20" x14ac:dyDescent="0.2">
      <c r="A134" s="23" t="s">
        <v>278</v>
      </c>
      <c r="B134" s="23" t="s">
        <v>18</v>
      </c>
      <c r="C134" s="23" t="s">
        <v>265</v>
      </c>
      <c r="D134" s="23" t="s">
        <v>33</v>
      </c>
      <c r="E134" s="23" t="s">
        <v>310</v>
      </c>
      <c r="F134" s="24">
        <v>46309.83898148148</v>
      </c>
      <c r="G134" s="23" t="s">
        <v>21</v>
      </c>
      <c r="H134" s="23" t="s">
        <v>4770</v>
      </c>
      <c r="I134" s="23">
        <v>380</v>
      </c>
      <c r="J134" s="23" t="s">
        <v>22</v>
      </c>
      <c r="K134" s="23" t="s">
        <v>23</v>
      </c>
      <c r="L134" s="23">
        <v>876</v>
      </c>
      <c r="M134" s="23" t="s">
        <v>167</v>
      </c>
      <c r="N134" s="24">
        <v>46309.884398148148</v>
      </c>
      <c r="O134" s="23">
        <v>380</v>
      </c>
      <c r="P134" s="23" t="s">
        <v>25</v>
      </c>
      <c r="Q134" s="23">
        <v>190</v>
      </c>
      <c r="R134" s="3" t="str">
        <f>IF(OR(G134="12R",G134="12L"),_xlfn.XLOOKUP(C134,Tabla42[ADEP],Tabla42[SID 12R],""),IF(OR(G134="30L",G134="30R"),_xlfn.XLOOKUP(C134,Tabla42[ADEP],Tabla42[SID 30L],""),""))</f>
        <v>UDGUV</v>
      </c>
      <c r="S134" s="3">
        <f t="shared" si="2"/>
        <v>20</v>
      </c>
      <c r="T134" s="3" t="str">
        <f>_xlfn.XLOOKUP(C134,Tabla42[ADEP],Tabla42[Sector],"")</f>
        <v>Sector 2</v>
      </c>
    </row>
    <row r="135" spans="1:20" x14ac:dyDescent="0.2">
      <c r="A135" s="23" t="s">
        <v>745</v>
      </c>
      <c r="B135" s="23" t="s">
        <v>18</v>
      </c>
      <c r="C135" s="23" t="s">
        <v>121</v>
      </c>
      <c r="D135" s="23" t="s">
        <v>122</v>
      </c>
      <c r="E135" s="23" t="s">
        <v>4053</v>
      </c>
      <c r="F135" s="24">
        <v>46309.843958333331</v>
      </c>
      <c r="G135" s="23" t="s">
        <v>21</v>
      </c>
      <c r="H135" s="23" t="s">
        <v>4771</v>
      </c>
      <c r="I135" s="23">
        <v>360</v>
      </c>
      <c r="J135" s="23" t="s">
        <v>22</v>
      </c>
      <c r="K135" s="23" t="s">
        <v>23</v>
      </c>
      <c r="L135" s="23">
        <v>557</v>
      </c>
      <c r="M135" s="23" t="s">
        <v>123</v>
      </c>
      <c r="N135" s="24">
        <v>46309.872928240744</v>
      </c>
      <c r="O135" s="23">
        <v>360</v>
      </c>
      <c r="P135" s="23" t="s">
        <v>25</v>
      </c>
      <c r="Q135" s="23">
        <v>40</v>
      </c>
      <c r="R135" s="3" t="str">
        <f>IF(OR(G135="12R",G135="12L"),_xlfn.XLOOKUP(C135,Tabla42[ADEP],Tabla42[SID 12R],""),IF(OR(G135="30L",G135="30R"),_xlfn.XLOOKUP(C135,Tabla42[ADEP],Tabla42[SID 30L],""),""))</f>
        <v>ENEBA</v>
      </c>
      <c r="S135" s="3">
        <f t="shared" si="2"/>
        <v>20</v>
      </c>
      <c r="T135" s="3" t="str">
        <f>_xlfn.XLOOKUP(C135,Tabla42[ADEP],Tabla42[Sector],"")</f>
        <v>Sector 3</v>
      </c>
    </row>
    <row r="136" spans="1:20" x14ac:dyDescent="0.2">
      <c r="A136" s="23" t="s">
        <v>272</v>
      </c>
      <c r="B136" s="23" t="s">
        <v>18</v>
      </c>
      <c r="C136" s="23" t="s">
        <v>42</v>
      </c>
      <c r="D136" s="23" t="s">
        <v>60</v>
      </c>
      <c r="E136" s="23" t="s">
        <v>2033</v>
      </c>
      <c r="F136" s="24">
        <v>46309.844895833332</v>
      </c>
      <c r="G136" s="23" t="s">
        <v>21</v>
      </c>
      <c r="H136" s="23" t="s">
        <v>4772</v>
      </c>
      <c r="I136" s="23">
        <v>340</v>
      </c>
      <c r="J136" s="23" t="s">
        <v>22</v>
      </c>
      <c r="K136" s="23" t="s">
        <v>23</v>
      </c>
      <c r="L136" s="23">
        <v>872</v>
      </c>
      <c r="M136" s="23" t="s">
        <v>2402</v>
      </c>
      <c r="N136" s="24">
        <v>46309.889340277776</v>
      </c>
      <c r="O136" s="23">
        <v>340</v>
      </c>
      <c r="P136" s="23" t="s">
        <v>25</v>
      </c>
      <c r="Q136" s="23">
        <v>190</v>
      </c>
      <c r="R136" s="3" t="str">
        <f>IF(OR(G136="12R",G136="12L"),_xlfn.XLOOKUP(C136,Tabla42[ADEP],Tabla42[SID 12R],""),IF(OR(G136="30L",G136="30R"),_xlfn.XLOOKUP(C136,Tabla42[ADEP],Tabla42[SID 30L],""),""))</f>
        <v>UDGUV</v>
      </c>
      <c r="S136" s="3">
        <f t="shared" si="2"/>
        <v>20</v>
      </c>
      <c r="T136" s="3" t="str">
        <f>_xlfn.XLOOKUP(C136,Tabla42[ADEP],Tabla42[Sector],"")</f>
        <v>Sector 2</v>
      </c>
    </row>
    <row r="137" spans="1:20" x14ac:dyDescent="0.2">
      <c r="A137" s="23" t="s">
        <v>280</v>
      </c>
      <c r="B137" s="23" t="s">
        <v>18</v>
      </c>
      <c r="C137" s="23" t="s">
        <v>49</v>
      </c>
      <c r="D137" s="23" t="s">
        <v>53</v>
      </c>
      <c r="E137" s="23" t="s">
        <v>3875</v>
      </c>
      <c r="F137" s="24">
        <v>46309.846597222226</v>
      </c>
      <c r="G137" s="23" t="s">
        <v>21</v>
      </c>
      <c r="H137" s="23" t="s">
        <v>4773</v>
      </c>
      <c r="I137" s="23">
        <v>360</v>
      </c>
      <c r="J137" s="23" t="s">
        <v>22</v>
      </c>
      <c r="K137" s="23" t="s">
        <v>23</v>
      </c>
      <c r="L137" s="23">
        <v>878</v>
      </c>
      <c r="M137" s="23" t="s">
        <v>4774</v>
      </c>
      <c r="N137" s="24">
        <v>46309.89298611111</v>
      </c>
      <c r="O137" s="23">
        <v>360</v>
      </c>
      <c r="P137" s="23" t="s">
        <v>25</v>
      </c>
      <c r="Q137" s="23">
        <v>190</v>
      </c>
      <c r="R137" s="3" t="str">
        <f>IF(OR(G137="12R",G137="12L"),_xlfn.XLOOKUP(C137,Tabla42[ADEP],Tabla42[SID 12R],""),IF(OR(G137="30L",G137="30R"),_xlfn.XLOOKUP(C137,Tabla42[ADEP],Tabla42[SID 30L],""),""))</f>
        <v>UDGUV</v>
      </c>
      <c r="S137" s="3">
        <f t="shared" si="2"/>
        <v>20</v>
      </c>
      <c r="T137" s="3" t="str">
        <f>_xlfn.XLOOKUP(C137,Tabla42[ADEP],Tabla42[Sector],"")</f>
        <v>Sector 2</v>
      </c>
    </row>
    <row r="138" spans="1:20" x14ac:dyDescent="0.2">
      <c r="A138" s="23" t="s">
        <v>274</v>
      </c>
      <c r="B138" s="23" t="s">
        <v>18</v>
      </c>
      <c r="C138" s="23" t="s">
        <v>96</v>
      </c>
      <c r="D138" s="23" t="s">
        <v>20</v>
      </c>
      <c r="E138" s="23" t="s">
        <v>4775</v>
      </c>
      <c r="F138" s="24">
        <v>46309.848032407404</v>
      </c>
      <c r="G138" s="23" t="s">
        <v>21</v>
      </c>
      <c r="H138" s="23" t="s">
        <v>4776</v>
      </c>
      <c r="I138" s="23">
        <v>360</v>
      </c>
      <c r="J138" s="23" t="s">
        <v>22</v>
      </c>
      <c r="K138" s="23" t="s">
        <v>23</v>
      </c>
      <c r="L138" s="23">
        <v>886</v>
      </c>
      <c r="M138" s="23" t="s">
        <v>349</v>
      </c>
      <c r="N138" s="24">
        <v>46309.894988425927</v>
      </c>
      <c r="O138" s="23">
        <v>360</v>
      </c>
      <c r="P138" s="23" t="s">
        <v>25</v>
      </c>
      <c r="Q138" s="23">
        <v>190</v>
      </c>
      <c r="R138" s="3" t="str">
        <f>IF(OR(G138="12R",G138="12L"),_xlfn.XLOOKUP(C138,Tabla42[ADEP],Tabla42[SID 12R],""),IF(OR(G138="30L",G138="30R"),_xlfn.XLOOKUP(C138,Tabla42[ADEP],Tabla42[SID 30L],""),""))</f>
        <v>UDGUV</v>
      </c>
      <c r="S138" s="3">
        <f t="shared" si="2"/>
        <v>20</v>
      </c>
      <c r="T138" s="3" t="str">
        <f>_xlfn.XLOOKUP(C138,Tabla42[ADEP],Tabla42[Sector],"")</f>
        <v>Sector 2</v>
      </c>
    </row>
    <row r="139" spans="1:20" x14ac:dyDescent="0.2">
      <c r="A139" s="23" t="s">
        <v>4777</v>
      </c>
      <c r="B139" s="23" t="s">
        <v>18</v>
      </c>
      <c r="C139" s="23" t="s">
        <v>209</v>
      </c>
      <c r="D139" s="23" t="s">
        <v>2396</v>
      </c>
      <c r="E139" s="23"/>
      <c r="F139" s="24">
        <v>46309.848877314813</v>
      </c>
      <c r="G139" s="23" t="s">
        <v>21</v>
      </c>
      <c r="H139" s="23" t="s">
        <v>4778</v>
      </c>
      <c r="I139" s="23">
        <v>430</v>
      </c>
      <c r="J139" s="23" t="s">
        <v>22</v>
      </c>
      <c r="K139" s="23" t="s">
        <v>50</v>
      </c>
      <c r="L139" s="23">
        <v>538</v>
      </c>
      <c r="M139" s="23" t="s">
        <v>123</v>
      </c>
      <c r="N139" s="24">
        <v>46309.874236111114</v>
      </c>
      <c r="O139" s="23">
        <v>470</v>
      </c>
      <c r="P139" s="23" t="s">
        <v>25</v>
      </c>
      <c r="Q139" s="23">
        <v>40</v>
      </c>
      <c r="R139" s="3" t="str">
        <f>IF(OR(G139="12R",G139="12L"),_xlfn.XLOOKUP(C139,Tabla42[ADEP],Tabla42[SID 12R],""),IF(OR(G139="30L",G139="30R"),_xlfn.XLOOKUP(C139,Tabla42[ADEP],Tabla42[SID 30L],""),""))</f>
        <v>ENEBA</v>
      </c>
      <c r="S139" s="3">
        <f t="shared" si="2"/>
        <v>20</v>
      </c>
      <c r="T139" s="3" t="str">
        <f>_xlfn.XLOOKUP(C139,Tabla42[ADEP],Tabla42[Sector],"")</f>
        <v>Sector 3</v>
      </c>
    </row>
    <row r="140" spans="1:20" x14ac:dyDescent="0.2">
      <c r="A140" s="23" t="s">
        <v>262</v>
      </c>
      <c r="B140" s="23" t="s">
        <v>18</v>
      </c>
      <c r="C140" s="23" t="s">
        <v>263</v>
      </c>
      <c r="D140" s="23" t="s">
        <v>33</v>
      </c>
      <c r="E140" s="23" t="s">
        <v>4524</v>
      </c>
      <c r="F140" s="24">
        <v>46309.851956018516</v>
      </c>
      <c r="G140" s="23" t="s">
        <v>21</v>
      </c>
      <c r="H140" s="23" t="s">
        <v>4779</v>
      </c>
      <c r="I140" s="23">
        <v>390</v>
      </c>
      <c r="J140" s="23" t="s">
        <v>22</v>
      </c>
      <c r="K140" s="23" t="s">
        <v>23</v>
      </c>
      <c r="L140" s="23">
        <v>359</v>
      </c>
      <c r="M140" s="23" t="s">
        <v>30</v>
      </c>
      <c r="N140" s="24">
        <v>46309.872013888889</v>
      </c>
      <c r="O140" s="23">
        <v>390</v>
      </c>
      <c r="P140" s="23" t="s">
        <v>25</v>
      </c>
      <c r="Q140" s="23">
        <v>40</v>
      </c>
      <c r="R140" s="3" t="str">
        <f>IF(OR(G140="12R",G140="12L"),_xlfn.XLOOKUP(C140,Tabla42[ADEP],Tabla42[SID 12R],""),IF(OR(G140="30L",G140="30R"),_xlfn.XLOOKUP(C140,Tabla42[ADEP],Tabla42[SID 30L],""),""))</f>
        <v>OMSUK</v>
      </c>
      <c r="S140" s="3">
        <f t="shared" si="2"/>
        <v>20</v>
      </c>
      <c r="T140" s="3" t="str">
        <f>_xlfn.XLOOKUP(C140,Tabla42[ADEP],Tabla42[Sector],"")</f>
        <v>Sector 3</v>
      </c>
    </row>
    <row r="141" spans="1:20" x14ac:dyDescent="0.2">
      <c r="A141" s="23" t="s">
        <v>475</v>
      </c>
      <c r="B141" s="23" t="s">
        <v>18</v>
      </c>
      <c r="C141" s="23" t="s">
        <v>293</v>
      </c>
      <c r="D141" s="23" t="s">
        <v>28</v>
      </c>
      <c r="E141" s="23" t="s">
        <v>4780</v>
      </c>
      <c r="F141" s="24">
        <v>46309.853819444441</v>
      </c>
      <c r="G141" s="23" t="s">
        <v>21</v>
      </c>
      <c r="H141" s="23" t="s">
        <v>4781</v>
      </c>
      <c r="I141" s="23">
        <v>360</v>
      </c>
      <c r="J141" s="23" t="s">
        <v>22</v>
      </c>
      <c r="K141" s="23" t="s">
        <v>23</v>
      </c>
      <c r="L141" s="23">
        <v>437</v>
      </c>
      <c r="M141" s="23" t="s">
        <v>189</v>
      </c>
      <c r="N141" s="24">
        <v>46309.877581018518</v>
      </c>
      <c r="O141" s="23">
        <v>360</v>
      </c>
      <c r="P141" s="23" t="s">
        <v>25</v>
      </c>
      <c r="Q141" s="23">
        <v>40</v>
      </c>
      <c r="R141" s="3" t="str">
        <f>IF(OR(G141="12R",G141="12L"),_xlfn.XLOOKUP(C141,Tabla42[ADEP],Tabla42[SID 12R],""),IF(OR(G141="30L",G141="30R"),_xlfn.XLOOKUP(C141,Tabla42[ADEP],Tabla42[SID 30L],""),""))</f>
        <v>UDGUV</v>
      </c>
      <c r="S141" s="3">
        <f t="shared" si="2"/>
        <v>20</v>
      </c>
      <c r="T141" s="3" t="str">
        <f>_xlfn.XLOOKUP(C141,Tabla42[ADEP],Tabla42[Sector],"")</f>
        <v>Sector 2</v>
      </c>
    </row>
    <row r="142" spans="1:20" x14ac:dyDescent="0.2">
      <c r="A142" s="23" t="s">
        <v>283</v>
      </c>
      <c r="B142" s="23" t="s">
        <v>18</v>
      </c>
      <c r="C142" s="23" t="s">
        <v>126</v>
      </c>
      <c r="D142" s="23" t="s">
        <v>117</v>
      </c>
      <c r="E142" s="23" t="s">
        <v>4782</v>
      </c>
      <c r="F142" s="24">
        <v>46309.855532407404</v>
      </c>
      <c r="G142" s="23" t="s">
        <v>21</v>
      </c>
      <c r="H142" s="23" t="s">
        <v>4783</v>
      </c>
      <c r="I142" s="23">
        <v>350</v>
      </c>
      <c r="J142" s="23" t="s">
        <v>22</v>
      </c>
      <c r="K142" s="23" t="s">
        <v>23</v>
      </c>
      <c r="L142" s="23">
        <v>359</v>
      </c>
      <c r="M142" s="23" t="s">
        <v>30</v>
      </c>
      <c r="N142" s="24">
        <v>46309.875092592592</v>
      </c>
      <c r="O142" s="23">
        <v>350</v>
      </c>
      <c r="P142" s="23" t="s">
        <v>25</v>
      </c>
      <c r="Q142" s="23">
        <v>40</v>
      </c>
      <c r="R142" s="3" t="str">
        <f>IF(OR(G142="12R",G142="12L"),_xlfn.XLOOKUP(C142,Tabla42[ADEP],Tabla42[SID 12R],""),IF(OR(G142="30L",G142="30R"),_xlfn.XLOOKUP(C142,Tabla42[ADEP],Tabla42[SID 30L],""),""))</f>
        <v>ENEBA</v>
      </c>
      <c r="S142" s="3">
        <f t="shared" si="2"/>
        <v>20</v>
      </c>
      <c r="T142" s="3" t="str">
        <f>_xlfn.XLOOKUP(C142,Tabla42[ADEP],Tabla42[Sector],"")</f>
        <v>Sector 3</v>
      </c>
    </row>
    <row r="143" spans="1:20" x14ac:dyDescent="0.2">
      <c r="A143" s="23" t="s">
        <v>282</v>
      </c>
      <c r="B143" s="23" t="s">
        <v>18</v>
      </c>
      <c r="C143" s="23" t="s">
        <v>42</v>
      </c>
      <c r="D143" s="23" t="s">
        <v>60</v>
      </c>
      <c r="E143" s="23" t="s">
        <v>1992</v>
      </c>
      <c r="F143" s="24">
        <v>46309.856840277775</v>
      </c>
      <c r="G143" s="23" t="s">
        <v>21</v>
      </c>
      <c r="H143" s="23" t="s">
        <v>4784</v>
      </c>
      <c r="I143" s="23">
        <v>340</v>
      </c>
      <c r="J143" s="23" t="s">
        <v>22</v>
      </c>
      <c r="K143" s="23" t="s">
        <v>23</v>
      </c>
      <c r="L143" s="23">
        <v>870</v>
      </c>
      <c r="M143" s="23" t="s">
        <v>45</v>
      </c>
      <c r="N143" s="24">
        <v>46309.901666666665</v>
      </c>
      <c r="O143" s="23">
        <v>340</v>
      </c>
      <c r="P143" s="23" t="s">
        <v>25</v>
      </c>
      <c r="Q143" s="23">
        <v>190</v>
      </c>
      <c r="R143" s="3" t="str">
        <f>IF(OR(G143="12R",G143="12L"),_xlfn.XLOOKUP(C143,Tabla42[ADEP],Tabla42[SID 12R],""),IF(OR(G143="30L",G143="30R"),_xlfn.XLOOKUP(C143,Tabla42[ADEP],Tabla42[SID 30L],""),""))</f>
        <v>UDGUV</v>
      </c>
      <c r="S143" s="3">
        <f t="shared" si="2"/>
        <v>20</v>
      </c>
      <c r="T143" s="3" t="str">
        <f>_xlfn.XLOOKUP(C143,Tabla42[ADEP],Tabla42[Sector],"")</f>
        <v>Sector 2</v>
      </c>
    </row>
    <row r="144" spans="1:20" x14ac:dyDescent="0.2">
      <c r="A144" s="23" t="s">
        <v>467</v>
      </c>
      <c r="B144" s="23" t="s">
        <v>18</v>
      </c>
      <c r="C144" s="23" t="s">
        <v>184</v>
      </c>
      <c r="D144" s="23" t="s">
        <v>60</v>
      </c>
      <c r="E144" s="23" t="s">
        <v>4785</v>
      </c>
      <c r="F144" s="24">
        <v>46309.858611111114</v>
      </c>
      <c r="G144" s="23" t="s">
        <v>21</v>
      </c>
      <c r="H144" s="23" t="s">
        <v>4786</v>
      </c>
      <c r="I144" s="23">
        <v>350</v>
      </c>
      <c r="J144" s="23" t="s">
        <v>22</v>
      </c>
      <c r="K144" s="23" t="s">
        <v>23</v>
      </c>
      <c r="L144" s="23">
        <v>359</v>
      </c>
      <c r="M144" s="23" t="s">
        <v>30</v>
      </c>
      <c r="N144" s="24">
        <v>46309.87840277778</v>
      </c>
      <c r="O144" s="23">
        <v>330</v>
      </c>
      <c r="P144" s="23" t="s">
        <v>25</v>
      </c>
      <c r="Q144" s="23">
        <v>40</v>
      </c>
      <c r="R144" s="3" t="str">
        <f>IF(OR(G144="12R",G144="12L"),_xlfn.XLOOKUP(C144,Tabla42[ADEP],Tabla42[SID 12R],""),IF(OR(G144="30L",G144="30R"),_xlfn.XLOOKUP(C144,Tabla42[ADEP],Tabla42[SID 30L],""),""))</f>
        <v>OMSUK</v>
      </c>
      <c r="S144" s="3">
        <f t="shared" si="2"/>
        <v>20</v>
      </c>
      <c r="T144" s="3" t="str">
        <f>_xlfn.XLOOKUP(C144,Tabla42[ADEP],Tabla42[Sector],"")</f>
        <v>Sector 3</v>
      </c>
    </row>
    <row r="145" spans="1:20" x14ac:dyDescent="0.2">
      <c r="A145" s="23" t="s">
        <v>2076</v>
      </c>
      <c r="B145" s="23" t="s">
        <v>18</v>
      </c>
      <c r="C145" s="23" t="s">
        <v>18</v>
      </c>
      <c r="D145" s="23" t="s">
        <v>2077</v>
      </c>
      <c r="E145" s="23"/>
      <c r="F145" s="24">
        <v>46309.863518518519</v>
      </c>
      <c r="G145" s="23" t="s">
        <v>21</v>
      </c>
      <c r="H145" s="23" t="s">
        <v>4787</v>
      </c>
      <c r="I145" s="23">
        <v>15</v>
      </c>
      <c r="J145" s="23" t="s">
        <v>130</v>
      </c>
      <c r="K145" s="23" t="s">
        <v>50</v>
      </c>
      <c r="L145" s="23">
        <v>135</v>
      </c>
      <c r="M145" s="23" t="s">
        <v>18</v>
      </c>
      <c r="N145" s="24">
        <v>46309.907858796294</v>
      </c>
      <c r="O145" s="23">
        <v>0</v>
      </c>
      <c r="P145" s="23" t="s">
        <v>129</v>
      </c>
      <c r="Q145" s="23">
        <v>15</v>
      </c>
      <c r="R145" s="3" t="str">
        <f>IF(OR(G145="12R",G145="12L"),_xlfn.XLOOKUP(C145,Tabla42[ADEP],Tabla42[SID 12R],""),IF(OR(G145="30L",G145="30R"),_xlfn.XLOOKUP(C145,Tabla42[ADEP],Tabla42[SID 30L],""),""))</f>
        <v/>
      </c>
      <c r="S145" s="3">
        <f t="shared" si="2"/>
        <v>20</v>
      </c>
      <c r="T145" s="3" t="str">
        <f>_xlfn.XLOOKUP(C145,Tabla42[ADEP],Tabla42[Sector],"")</f>
        <v/>
      </c>
    </row>
    <row r="146" spans="1:20" x14ac:dyDescent="0.2">
      <c r="A146" s="23" t="s">
        <v>292</v>
      </c>
      <c r="B146" s="23" t="s">
        <v>18</v>
      </c>
      <c r="C146" s="23" t="s">
        <v>293</v>
      </c>
      <c r="D146" s="23" t="s">
        <v>43</v>
      </c>
      <c r="E146" s="23" t="s">
        <v>548</v>
      </c>
      <c r="F146" s="24">
        <v>46309.870069444441</v>
      </c>
      <c r="G146" s="23" t="s">
        <v>21</v>
      </c>
      <c r="H146" s="23" t="s">
        <v>4788</v>
      </c>
      <c r="I146" s="23">
        <v>320</v>
      </c>
      <c r="J146" s="23" t="s">
        <v>22</v>
      </c>
      <c r="K146" s="23" t="s">
        <v>23</v>
      </c>
      <c r="L146" s="23">
        <v>540</v>
      </c>
      <c r="M146" s="23" t="s">
        <v>123</v>
      </c>
      <c r="N146" s="24">
        <v>46309.898564814815</v>
      </c>
      <c r="O146" s="23">
        <v>320</v>
      </c>
      <c r="P146" s="23" t="s">
        <v>25</v>
      </c>
      <c r="Q146" s="23">
        <v>40</v>
      </c>
      <c r="R146" s="3" t="str">
        <f>IF(OR(G146="12R",G146="12L"),_xlfn.XLOOKUP(C146,Tabla42[ADEP],Tabla42[SID 12R],""),IF(OR(G146="30L",G146="30R"),_xlfn.XLOOKUP(C146,Tabla42[ADEP],Tabla42[SID 30L],""),""))</f>
        <v>UDGUV</v>
      </c>
      <c r="S146" s="3">
        <f t="shared" si="2"/>
        <v>20</v>
      </c>
      <c r="T146" s="3" t="str">
        <f>_xlfn.XLOOKUP(C146,Tabla42[ADEP],Tabla42[Sector],"")</f>
        <v>Sector 2</v>
      </c>
    </row>
    <row r="147" spans="1:20" x14ac:dyDescent="0.2">
      <c r="A147" s="23" t="s">
        <v>399</v>
      </c>
      <c r="B147" s="23" t="s">
        <v>18</v>
      </c>
      <c r="C147" s="23" t="s">
        <v>400</v>
      </c>
      <c r="D147" s="23" t="s">
        <v>53</v>
      </c>
      <c r="E147" s="23" t="s">
        <v>401</v>
      </c>
      <c r="F147" s="24">
        <v>46309.871111111112</v>
      </c>
      <c r="G147" s="23" t="s">
        <v>21</v>
      </c>
      <c r="H147" s="23" t="s">
        <v>4789</v>
      </c>
      <c r="I147" s="23">
        <v>380</v>
      </c>
      <c r="J147" s="23" t="s">
        <v>22</v>
      </c>
      <c r="K147" s="23" t="s">
        <v>23</v>
      </c>
      <c r="L147" s="23">
        <v>882</v>
      </c>
      <c r="M147" s="23" t="s">
        <v>2611</v>
      </c>
      <c r="N147" s="24">
        <v>46309.915590277778</v>
      </c>
      <c r="O147" s="23">
        <v>380</v>
      </c>
      <c r="P147" s="23" t="s">
        <v>25</v>
      </c>
      <c r="Q147" s="23">
        <v>190</v>
      </c>
      <c r="R147" s="3" t="str">
        <f>IF(OR(G147="12R",G147="12L"),_xlfn.XLOOKUP(C147,Tabla42[ADEP],Tabla42[SID 12R],""),IF(OR(G147="30L",G147="30R"),_xlfn.XLOOKUP(C147,Tabla42[ADEP],Tabla42[SID 30L],""),""))</f>
        <v>UDGUV</v>
      </c>
      <c r="S147" s="3">
        <f t="shared" si="2"/>
        <v>20</v>
      </c>
      <c r="T147" s="3" t="str">
        <f>_xlfn.XLOOKUP(C147,Tabla42[ADEP],Tabla42[Sector],"")</f>
        <v>Sector 2</v>
      </c>
    </row>
    <row r="148" spans="1:20" x14ac:dyDescent="0.2">
      <c r="A148" s="23" t="s">
        <v>289</v>
      </c>
      <c r="B148" s="23" t="s">
        <v>18</v>
      </c>
      <c r="C148" s="23" t="s">
        <v>290</v>
      </c>
      <c r="D148" s="23" t="s">
        <v>33</v>
      </c>
      <c r="E148" s="23" t="s">
        <v>4553</v>
      </c>
      <c r="F148" s="24">
        <v>46309.879629629628</v>
      </c>
      <c r="G148" s="23" t="s">
        <v>21</v>
      </c>
      <c r="H148" s="23" t="s">
        <v>4790</v>
      </c>
      <c r="I148" s="23">
        <v>350</v>
      </c>
      <c r="J148" s="23" t="s">
        <v>22</v>
      </c>
      <c r="K148" s="23" t="s">
        <v>23</v>
      </c>
      <c r="L148" s="23">
        <v>218</v>
      </c>
      <c r="M148" s="23" t="s">
        <v>55</v>
      </c>
      <c r="N148" s="24">
        <v>46309.893888888888</v>
      </c>
      <c r="O148" s="23">
        <v>299</v>
      </c>
      <c r="P148" s="23" t="s">
        <v>25</v>
      </c>
      <c r="Q148" s="23">
        <v>190</v>
      </c>
      <c r="R148" s="3" t="str">
        <f>IF(OR(G148="12R",G148="12L"),_xlfn.XLOOKUP(C148,Tabla42[ADEP],Tabla42[SID 12R],""),IF(OR(G148="30L",G148="30R"),_xlfn.XLOOKUP(C148,Tabla42[ADEP],Tabla42[SID 30L],""),""))</f>
        <v>CZM</v>
      </c>
      <c r="S148" s="3">
        <f t="shared" si="2"/>
        <v>21</v>
      </c>
      <c r="T148" s="3" t="str">
        <f>_xlfn.XLOOKUP(C148,Tabla42[ADEP],Tabla42[Sector],"")</f>
        <v>Sector 7</v>
      </c>
    </row>
    <row r="149" spans="1:20" x14ac:dyDescent="0.2">
      <c r="A149" s="23" t="s">
        <v>476</v>
      </c>
      <c r="B149" s="23" t="s">
        <v>18</v>
      </c>
      <c r="C149" s="23" t="s">
        <v>188</v>
      </c>
      <c r="D149" s="23" t="s">
        <v>43</v>
      </c>
      <c r="E149" s="23" t="s">
        <v>1004</v>
      </c>
      <c r="F149" s="24">
        <v>46309.884745370371</v>
      </c>
      <c r="G149" s="23" t="s">
        <v>21</v>
      </c>
      <c r="H149" s="23" t="s">
        <v>4791</v>
      </c>
      <c r="I149" s="23">
        <v>340</v>
      </c>
      <c r="J149" s="23" t="s">
        <v>22</v>
      </c>
      <c r="K149" s="23" t="s">
        <v>23</v>
      </c>
      <c r="L149" s="23">
        <v>379</v>
      </c>
      <c r="M149" s="23" t="s">
        <v>250</v>
      </c>
      <c r="N149" s="24">
        <v>46309.906134259261</v>
      </c>
      <c r="O149" s="23">
        <v>340</v>
      </c>
      <c r="P149" s="23" t="s">
        <v>25</v>
      </c>
      <c r="Q149" s="23">
        <v>40</v>
      </c>
      <c r="R149" s="3" t="str">
        <f>IF(OR(G149="12R",G149="12L"),_xlfn.XLOOKUP(C149,Tabla42[ADEP],Tabla42[SID 12R],""),IF(OR(G149="30L",G149="30R"),_xlfn.XLOOKUP(C149,Tabla42[ADEP],Tabla42[SID 30L],""),""))</f>
        <v>ENEBA</v>
      </c>
      <c r="S149" s="3">
        <f t="shared" si="2"/>
        <v>21</v>
      </c>
      <c r="T149" s="3" t="str">
        <f>_xlfn.XLOOKUP(C149,Tabla42[ADEP],Tabla42[Sector],"")</f>
        <v>Sector 3</v>
      </c>
    </row>
    <row r="150" spans="1:20" x14ac:dyDescent="0.2">
      <c r="A150" s="23" t="s">
        <v>232</v>
      </c>
      <c r="B150" s="23" t="s">
        <v>18</v>
      </c>
      <c r="C150" s="23" t="s">
        <v>233</v>
      </c>
      <c r="D150" s="23" t="s">
        <v>110</v>
      </c>
      <c r="E150" s="23" t="s">
        <v>651</v>
      </c>
      <c r="F150" s="24">
        <v>46309.887743055559</v>
      </c>
      <c r="G150" s="23" t="s">
        <v>21</v>
      </c>
      <c r="H150" s="23" t="s">
        <v>4792</v>
      </c>
      <c r="I150" s="23">
        <v>400</v>
      </c>
      <c r="J150" s="23" t="s">
        <v>22</v>
      </c>
      <c r="K150" s="23" t="s">
        <v>23</v>
      </c>
      <c r="L150" s="23">
        <v>527</v>
      </c>
      <c r="M150" s="23" t="s">
        <v>123</v>
      </c>
      <c r="N150" s="24">
        <v>46309.914293981485</v>
      </c>
      <c r="O150" s="23">
        <v>380</v>
      </c>
      <c r="P150" s="23" t="s">
        <v>25</v>
      </c>
      <c r="Q150" s="23">
        <v>40</v>
      </c>
      <c r="R150" s="3" t="str">
        <f>IF(OR(G150="12R",G150="12L"),_xlfn.XLOOKUP(C150,Tabla42[ADEP],Tabla42[SID 12R],""),IF(OR(G150="30L",G150="30R"),_xlfn.XLOOKUP(C150,Tabla42[ADEP],Tabla42[SID 30L],""),""))</f>
        <v>UDGUV</v>
      </c>
      <c r="S150" s="3">
        <f t="shared" si="2"/>
        <v>21</v>
      </c>
      <c r="T150" s="3" t="str">
        <f>_xlfn.XLOOKUP(C150,Tabla42[ADEP],Tabla42[Sector],"")</f>
        <v>Sector 2</v>
      </c>
    </row>
    <row r="151" spans="1:20" x14ac:dyDescent="0.2">
      <c r="A151" s="23" t="s">
        <v>301</v>
      </c>
      <c r="B151" s="23" t="s">
        <v>18</v>
      </c>
      <c r="C151" s="23" t="s">
        <v>32</v>
      </c>
      <c r="D151" s="23" t="s">
        <v>53</v>
      </c>
      <c r="E151" s="23" t="s">
        <v>277</v>
      </c>
      <c r="F151" s="24">
        <v>46309.888819444444</v>
      </c>
      <c r="G151" s="23" t="s">
        <v>21</v>
      </c>
      <c r="H151" s="23" t="s">
        <v>4793</v>
      </c>
      <c r="I151" s="23">
        <v>380</v>
      </c>
      <c r="J151" s="23" t="s">
        <v>22</v>
      </c>
      <c r="K151" s="23" t="s">
        <v>23</v>
      </c>
      <c r="L151" s="23">
        <v>882</v>
      </c>
      <c r="M151" s="23" t="s">
        <v>35</v>
      </c>
      <c r="N151" s="24">
        <v>46309.934953703705</v>
      </c>
      <c r="O151" s="23">
        <v>380</v>
      </c>
      <c r="P151" s="23" t="s">
        <v>25</v>
      </c>
      <c r="Q151" s="23">
        <v>190</v>
      </c>
      <c r="R151" s="3" t="str">
        <f>IF(OR(G151="12R",G151="12L"),_xlfn.XLOOKUP(C151,Tabla42[ADEP],Tabla42[SID 12R],""),IF(OR(G151="30L",G151="30R"),_xlfn.XLOOKUP(C151,Tabla42[ADEP],Tabla42[SID 30L],""),""))</f>
        <v>UDGUV</v>
      </c>
      <c r="S151" s="3">
        <f t="shared" si="2"/>
        <v>21</v>
      </c>
      <c r="T151" s="3" t="str">
        <f>_xlfn.XLOOKUP(C151,Tabla42[ADEP],Tabla42[Sector],"")</f>
        <v>Sector 2</v>
      </c>
    </row>
    <row r="152" spans="1:20" x14ac:dyDescent="0.2">
      <c r="A152" s="23" t="s">
        <v>299</v>
      </c>
      <c r="B152" s="23" t="s">
        <v>18</v>
      </c>
      <c r="C152" s="23" t="s">
        <v>300</v>
      </c>
      <c r="D152" s="23" t="s">
        <v>117</v>
      </c>
      <c r="E152" s="23" t="s">
        <v>4794</v>
      </c>
      <c r="F152" s="24">
        <v>46309.891064814816</v>
      </c>
      <c r="G152" s="23" t="s">
        <v>21</v>
      </c>
      <c r="H152" s="23" t="s">
        <v>4795</v>
      </c>
      <c r="I152" s="23">
        <v>340</v>
      </c>
      <c r="J152" s="23" t="s">
        <v>22</v>
      </c>
      <c r="K152" s="23" t="s">
        <v>23</v>
      </c>
      <c r="L152" s="23">
        <v>525</v>
      </c>
      <c r="M152" s="23" t="s">
        <v>123</v>
      </c>
      <c r="N152" s="24">
        <v>46309.918287037035</v>
      </c>
      <c r="O152" s="23">
        <v>340</v>
      </c>
      <c r="P152" s="23" t="s">
        <v>25</v>
      </c>
      <c r="Q152" s="23">
        <v>40</v>
      </c>
      <c r="R152" s="3" t="str">
        <f>IF(OR(G152="12R",G152="12L"),_xlfn.XLOOKUP(C152,Tabla42[ADEP],Tabla42[SID 12R],""),IF(OR(G152="30L",G152="30R"),_xlfn.XLOOKUP(C152,Tabla42[ADEP],Tabla42[SID 30L],""),""))</f>
        <v>OMSUK</v>
      </c>
      <c r="S152" s="3">
        <f t="shared" si="2"/>
        <v>21</v>
      </c>
      <c r="T152" s="3" t="str">
        <f>_xlfn.XLOOKUP(C152,Tabla42[ADEP],Tabla42[Sector],"")</f>
        <v>Sector 3</v>
      </c>
    </row>
    <row r="153" spans="1:20" x14ac:dyDescent="0.2">
      <c r="A153" s="23" t="s">
        <v>315</v>
      </c>
      <c r="B153" s="23" t="s">
        <v>18</v>
      </c>
      <c r="C153" s="23" t="s">
        <v>96</v>
      </c>
      <c r="D153" s="23" t="s">
        <v>20</v>
      </c>
      <c r="E153" s="23" t="s">
        <v>2141</v>
      </c>
      <c r="F153" s="24">
        <v>46309.892256944448</v>
      </c>
      <c r="G153" s="23" t="s">
        <v>21</v>
      </c>
      <c r="H153" s="23" t="s">
        <v>4796</v>
      </c>
      <c r="I153" s="23">
        <v>360</v>
      </c>
      <c r="J153" s="23" t="s">
        <v>22</v>
      </c>
      <c r="K153" s="23" t="s">
        <v>141</v>
      </c>
      <c r="L153" s="23">
        <v>872</v>
      </c>
      <c r="M153" s="23" t="s">
        <v>350</v>
      </c>
      <c r="N153" s="24">
        <v>46309.936678240738</v>
      </c>
      <c r="O153" s="23">
        <v>360</v>
      </c>
      <c r="P153" s="23" t="s">
        <v>25</v>
      </c>
      <c r="Q153" s="23">
        <v>190</v>
      </c>
      <c r="R153" s="3" t="str">
        <f>IF(OR(G153="12R",G153="12L"),_xlfn.XLOOKUP(C153,Tabla42[ADEP],Tabla42[SID 12R],""),IF(OR(G153="30L",G153="30R"),_xlfn.XLOOKUP(C153,Tabla42[ADEP],Tabla42[SID 30L],""),""))</f>
        <v>UDGUV</v>
      </c>
      <c r="S153" s="3">
        <f t="shared" si="2"/>
        <v>21</v>
      </c>
      <c r="T153" s="3" t="str">
        <f>_xlfn.XLOOKUP(C153,Tabla42[ADEP],Tabla42[Sector],"")</f>
        <v>Sector 2</v>
      </c>
    </row>
    <row r="154" spans="1:20" x14ac:dyDescent="0.2">
      <c r="A154" s="23" t="s">
        <v>2876</v>
      </c>
      <c r="B154" s="23" t="s">
        <v>18</v>
      </c>
      <c r="C154" s="23" t="s">
        <v>403</v>
      </c>
      <c r="D154" s="23" t="s">
        <v>340</v>
      </c>
      <c r="E154" s="23" t="s">
        <v>404</v>
      </c>
      <c r="F154" s="24">
        <v>46309.893495370372</v>
      </c>
      <c r="G154" s="23" t="s">
        <v>21</v>
      </c>
      <c r="H154" s="23" t="s">
        <v>4797</v>
      </c>
      <c r="I154" s="23">
        <v>390</v>
      </c>
      <c r="J154" s="23" t="s">
        <v>22</v>
      </c>
      <c r="K154" s="23" t="s">
        <v>23</v>
      </c>
      <c r="L154" s="23">
        <v>352</v>
      </c>
      <c r="M154" s="23" t="s">
        <v>30</v>
      </c>
      <c r="N154" s="24">
        <v>46309.913425925923</v>
      </c>
      <c r="O154" s="23">
        <v>390</v>
      </c>
      <c r="P154" s="23" t="s">
        <v>40</v>
      </c>
      <c r="Q154" s="23">
        <v>40</v>
      </c>
      <c r="R154" s="3" t="str">
        <f>IF(OR(G154="12R",G154="12L"),_xlfn.XLOOKUP(C154,Tabla42[ADEP],Tabla42[SID 12R],""),IF(OR(G154="30L",G154="30R"),_xlfn.XLOOKUP(C154,Tabla42[ADEP],Tabla42[SID 30L],""),""))</f>
        <v>NUDAL</v>
      </c>
      <c r="S154" s="3">
        <f t="shared" si="2"/>
        <v>21</v>
      </c>
      <c r="T154" s="3" t="str">
        <f>_xlfn.XLOOKUP(C154,Tabla42[ADEP],Tabla42[Sector],"")</f>
        <v>Sector 3</v>
      </c>
    </row>
    <row r="155" spans="1:20" x14ac:dyDescent="0.2">
      <c r="A155" s="23" t="s">
        <v>477</v>
      </c>
      <c r="B155" s="23" t="s">
        <v>18</v>
      </c>
      <c r="C155" s="23" t="s">
        <v>478</v>
      </c>
      <c r="D155" s="23" t="s">
        <v>60</v>
      </c>
      <c r="E155" s="23" t="s">
        <v>3595</v>
      </c>
      <c r="F155" s="24">
        <v>46309.895509259259</v>
      </c>
      <c r="G155" s="23" t="s">
        <v>21</v>
      </c>
      <c r="H155" s="23" t="s">
        <v>4798</v>
      </c>
      <c r="I155" s="23">
        <v>340</v>
      </c>
      <c r="J155" s="23" t="s">
        <v>22</v>
      </c>
      <c r="K155" s="23" t="s">
        <v>23</v>
      </c>
      <c r="L155" s="23">
        <v>771</v>
      </c>
      <c r="M155" s="23" t="s">
        <v>210</v>
      </c>
      <c r="N155" s="24">
        <v>46309.933449074073</v>
      </c>
      <c r="O155" s="23">
        <v>340</v>
      </c>
      <c r="P155" s="23" t="s">
        <v>25</v>
      </c>
      <c r="Q155" s="23">
        <v>40</v>
      </c>
      <c r="R155" s="3" t="str">
        <f>IF(OR(G155="12R",G155="12L"),_xlfn.XLOOKUP(C155,Tabla42[ADEP],Tabla42[SID 12R],""),IF(OR(G155="30L",G155="30R"),_xlfn.XLOOKUP(C155,Tabla42[ADEP],Tabla42[SID 30L],""),""))</f>
        <v>ENEBA</v>
      </c>
      <c r="S155" s="3">
        <f t="shared" si="2"/>
        <v>21</v>
      </c>
      <c r="T155" s="3" t="str">
        <f>_xlfn.XLOOKUP(C155,Tabla42[ADEP],Tabla42[Sector],"")</f>
        <v>Sector 3</v>
      </c>
    </row>
    <row r="156" spans="1:20" x14ac:dyDescent="0.2">
      <c r="A156" s="23" t="s">
        <v>314</v>
      </c>
      <c r="B156" s="23" t="s">
        <v>18</v>
      </c>
      <c r="C156" s="23" t="s">
        <v>179</v>
      </c>
      <c r="D156" s="23" t="s">
        <v>53</v>
      </c>
      <c r="E156" s="23" t="s">
        <v>3124</v>
      </c>
      <c r="F156" s="24">
        <v>46309.89634259259</v>
      </c>
      <c r="G156" s="23" t="s">
        <v>21</v>
      </c>
      <c r="H156" s="23" t="s">
        <v>4799</v>
      </c>
      <c r="I156" s="23">
        <v>380</v>
      </c>
      <c r="J156" s="23" t="s">
        <v>22</v>
      </c>
      <c r="K156" s="23" t="s">
        <v>23</v>
      </c>
      <c r="L156" s="23">
        <v>846</v>
      </c>
      <c r="M156" s="23" t="s">
        <v>179</v>
      </c>
      <c r="N156" s="24">
        <v>46309.943784722222</v>
      </c>
      <c r="O156" s="23">
        <v>15</v>
      </c>
      <c r="P156" s="23" t="s">
        <v>25</v>
      </c>
      <c r="Q156" s="23">
        <v>190</v>
      </c>
      <c r="R156" s="3" t="str">
        <f>IF(OR(G156="12R",G156="12L"),_xlfn.XLOOKUP(C156,Tabla42[ADEP],Tabla42[SID 12R],""),IF(OR(G156="30L",G156="30R"),_xlfn.XLOOKUP(C156,Tabla42[ADEP],Tabla42[SID 30L],""),""))</f>
        <v>UDGUV</v>
      </c>
      <c r="S156" s="3">
        <f t="shared" si="2"/>
        <v>21</v>
      </c>
      <c r="T156" s="3" t="str">
        <f>_xlfn.XLOOKUP(C156,Tabla42[ADEP],Tabla42[Sector],"")</f>
        <v>Sector 2</v>
      </c>
    </row>
    <row r="157" spans="1:20" x14ac:dyDescent="0.2">
      <c r="A157" s="23" t="s">
        <v>294</v>
      </c>
      <c r="B157" s="23" t="s">
        <v>18</v>
      </c>
      <c r="C157" s="23" t="s">
        <v>128</v>
      </c>
      <c r="D157" s="23" t="s">
        <v>43</v>
      </c>
      <c r="E157" s="23" t="s">
        <v>367</v>
      </c>
      <c r="F157" s="24">
        <v>46309.89739583333</v>
      </c>
      <c r="G157" s="23" t="s">
        <v>21</v>
      </c>
      <c r="H157" s="23" t="s">
        <v>4800</v>
      </c>
      <c r="I157" s="23">
        <v>310</v>
      </c>
      <c r="J157" s="23" t="s">
        <v>22</v>
      </c>
      <c r="K157" s="23" t="s">
        <v>23</v>
      </c>
      <c r="L157" s="23">
        <v>360</v>
      </c>
      <c r="M157" s="23" t="s">
        <v>30</v>
      </c>
      <c r="N157" s="24">
        <v>46309.917488425926</v>
      </c>
      <c r="O157" s="23">
        <v>310</v>
      </c>
      <c r="P157" s="23" t="s">
        <v>25</v>
      </c>
      <c r="Q157" s="23">
        <v>40</v>
      </c>
      <c r="R157" s="3" t="str">
        <f>IF(OR(G157="12R",G157="12L"),_xlfn.XLOOKUP(C157,Tabla42[ADEP],Tabla42[SID 12R],""),IF(OR(G157="30L",G157="30R"),_xlfn.XLOOKUP(C157,Tabla42[ADEP],Tabla42[SID 30L],""),""))</f>
        <v>OMSUK</v>
      </c>
      <c r="S157" s="3">
        <f t="shared" si="2"/>
        <v>21</v>
      </c>
      <c r="T157" s="3" t="str">
        <f>_xlfn.XLOOKUP(C157,Tabla42[ADEP],Tabla42[Sector],"")</f>
        <v>Sector 3</v>
      </c>
    </row>
    <row r="158" spans="1:20" x14ac:dyDescent="0.2">
      <c r="A158" s="23" t="s">
        <v>309</v>
      </c>
      <c r="B158" s="23" t="s">
        <v>18</v>
      </c>
      <c r="C158" s="23" t="s">
        <v>19</v>
      </c>
      <c r="D158" s="23" t="s">
        <v>33</v>
      </c>
      <c r="E158" s="23" t="s">
        <v>955</v>
      </c>
      <c r="F158" s="24">
        <v>46309.898599537039</v>
      </c>
      <c r="G158" s="23" t="s">
        <v>21</v>
      </c>
      <c r="H158" s="23" t="s">
        <v>4801</v>
      </c>
      <c r="I158" s="23">
        <v>360</v>
      </c>
      <c r="J158" s="23" t="s">
        <v>22</v>
      </c>
      <c r="K158" s="23" t="s">
        <v>23</v>
      </c>
      <c r="L158" s="23">
        <v>872</v>
      </c>
      <c r="M158" s="23" t="s">
        <v>24</v>
      </c>
      <c r="N158" s="24">
        <v>46309.9453587963</v>
      </c>
      <c r="O158" s="23">
        <v>360</v>
      </c>
      <c r="P158" s="23" t="s">
        <v>25</v>
      </c>
      <c r="Q158" s="23">
        <v>190</v>
      </c>
      <c r="R158" s="3" t="str">
        <f>IF(OR(G158="12R",G158="12L"),_xlfn.XLOOKUP(C158,Tabla42[ADEP],Tabla42[SID 12R],""),IF(OR(G158="30L",G158="30R"),_xlfn.XLOOKUP(C158,Tabla42[ADEP],Tabla42[SID 30L],""),""))</f>
        <v>UDGUV</v>
      </c>
      <c r="S158" s="3">
        <f t="shared" si="2"/>
        <v>21</v>
      </c>
      <c r="T158" s="3" t="str">
        <f>_xlfn.XLOOKUP(C158,Tabla42[ADEP],Tabla42[Sector],"")</f>
        <v>Sector 2</v>
      </c>
    </row>
    <row r="159" spans="1:20" x14ac:dyDescent="0.2">
      <c r="A159" s="23" t="s">
        <v>176</v>
      </c>
      <c r="B159" s="23" t="s">
        <v>18</v>
      </c>
      <c r="C159" s="23" t="s">
        <v>19</v>
      </c>
      <c r="D159" s="23" t="s">
        <v>60</v>
      </c>
      <c r="E159" s="23" t="s">
        <v>690</v>
      </c>
      <c r="F159" s="24">
        <v>46309.899976851855</v>
      </c>
      <c r="G159" s="23" t="s">
        <v>21</v>
      </c>
      <c r="H159" s="23" t="s">
        <v>4802</v>
      </c>
      <c r="I159" s="23">
        <v>340</v>
      </c>
      <c r="J159" s="23" t="s">
        <v>22</v>
      </c>
      <c r="K159" s="23" t="s">
        <v>23</v>
      </c>
      <c r="L159" s="23">
        <v>867</v>
      </c>
      <c r="M159" s="23" t="s">
        <v>167</v>
      </c>
      <c r="N159" s="24">
        <v>46309.944618055553</v>
      </c>
      <c r="O159" s="23">
        <v>340</v>
      </c>
      <c r="P159" s="23" t="s">
        <v>25</v>
      </c>
      <c r="Q159" s="23">
        <v>190</v>
      </c>
      <c r="R159" s="3" t="str">
        <f>IF(OR(G159="12R",G159="12L"),_xlfn.XLOOKUP(C159,Tabla42[ADEP],Tabla42[SID 12R],""),IF(OR(G159="30L",G159="30R"),_xlfn.XLOOKUP(C159,Tabla42[ADEP],Tabla42[SID 30L],""),""))</f>
        <v>UDGUV</v>
      </c>
      <c r="S159" s="3">
        <f t="shared" si="2"/>
        <v>21</v>
      </c>
      <c r="T159" s="3" t="str">
        <f>_xlfn.XLOOKUP(C159,Tabla42[ADEP],Tabla42[Sector],"")</f>
        <v>Sector 2</v>
      </c>
    </row>
    <row r="160" spans="1:20" x14ac:dyDescent="0.2">
      <c r="A160" s="23" t="s">
        <v>199</v>
      </c>
      <c r="B160" s="23" t="s">
        <v>18</v>
      </c>
      <c r="C160" s="23" t="s">
        <v>200</v>
      </c>
      <c r="D160" s="23" t="s">
        <v>28</v>
      </c>
      <c r="E160" s="23" t="s">
        <v>487</v>
      </c>
      <c r="F160" s="24">
        <v>46309.901354166665</v>
      </c>
      <c r="G160" s="23" t="s">
        <v>21</v>
      </c>
      <c r="H160" s="23" t="s">
        <v>4803</v>
      </c>
      <c r="I160" s="23">
        <v>380</v>
      </c>
      <c r="J160" s="23" t="s">
        <v>22</v>
      </c>
      <c r="K160" s="23" t="s">
        <v>23</v>
      </c>
      <c r="L160" s="23">
        <v>439</v>
      </c>
      <c r="M160" s="23" t="s">
        <v>189</v>
      </c>
      <c r="N160" s="24">
        <v>46309.92460648148</v>
      </c>
      <c r="O160" s="23">
        <v>340</v>
      </c>
      <c r="P160" s="23" t="s">
        <v>25</v>
      </c>
      <c r="Q160" s="23">
        <v>40</v>
      </c>
      <c r="R160" s="3" t="str">
        <f>IF(OR(G160="12R",G160="12L"),_xlfn.XLOOKUP(C160,Tabla42[ADEP],Tabla42[SID 12R],""),IF(OR(G160="30L",G160="30R"),_xlfn.XLOOKUP(C160,Tabla42[ADEP],Tabla42[SID 30L],""),""))</f>
        <v>OMSUK</v>
      </c>
      <c r="S160" s="3">
        <f t="shared" si="2"/>
        <v>21</v>
      </c>
      <c r="T160" s="3" t="str">
        <f>_xlfn.XLOOKUP(C160,Tabla42[ADEP],Tabla42[Sector],"")</f>
        <v>Sector 3</v>
      </c>
    </row>
    <row r="161" spans="1:20" x14ac:dyDescent="0.2">
      <c r="A161" s="23" t="s">
        <v>311</v>
      </c>
      <c r="B161" s="23" t="s">
        <v>18</v>
      </c>
      <c r="C161" s="23" t="s">
        <v>109</v>
      </c>
      <c r="D161" s="23" t="s">
        <v>122</v>
      </c>
      <c r="E161" s="23" t="s">
        <v>4210</v>
      </c>
      <c r="F161" s="24">
        <v>46309.909583333334</v>
      </c>
      <c r="G161" s="23" t="s">
        <v>21</v>
      </c>
      <c r="H161" s="23" t="s">
        <v>4804</v>
      </c>
      <c r="I161" s="23">
        <v>350</v>
      </c>
      <c r="J161" s="23" t="s">
        <v>22</v>
      </c>
      <c r="K161" s="23" t="s">
        <v>23</v>
      </c>
      <c r="L161" s="23">
        <v>149</v>
      </c>
      <c r="M161" s="23" t="s">
        <v>111</v>
      </c>
      <c r="N161" s="24">
        <v>46309.919745370367</v>
      </c>
      <c r="O161" s="23">
        <v>290</v>
      </c>
      <c r="P161" s="23" t="s">
        <v>25</v>
      </c>
      <c r="Q161" s="23">
        <v>190</v>
      </c>
      <c r="R161" s="3" t="str">
        <f>IF(OR(G161="12R",G161="12L"),_xlfn.XLOOKUP(C161,Tabla42[ADEP],Tabla42[SID 12R],""),IF(OR(G161="30L",G161="30R"),_xlfn.XLOOKUP(C161,Tabla42[ADEP],Tabla42[SID 30L],""),""))</f>
        <v>TAKUX</v>
      </c>
      <c r="S161" s="3">
        <f t="shared" si="2"/>
        <v>21</v>
      </c>
      <c r="T161" s="3" t="str">
        <f>_xlfn.XLOOKUP(C161,Tabla42[ADEP],Tabla42[Sector],"")</f>
        <v>Sector 7</v>
      </c>
    </row>
    <row r="162" spans="1:20" x14ac:dyDescent="0.2">
      <c r="A162" s="23" t="s">
        <v>2884</v>
      </c>
      <c r="B162" s="23" t="s">
        <v>18</v>
      </c>
      <c r="C162" s="23" t="s">
        <v>406</v>
      </c>
      <c r="D162" s="23" t="s">
        <v>243</v>
      </c>
      <c r="E162" s="23" t="s">
        <v>288</v>
      </c>
      <c r="F162" s="24">
        <v>46309.911041666666</v>
      </c>
      <c r="G162" s="23" t="s">
        <v>21</v>
      </c>
      <c r="H162" s="23" t="s">
        <v>4805</v>
      </c>
      <c r="I162" s="23">
        <v>370</v>
      </c>
      <c r="J162" s="23" t="s">
        <v>22</v>
      </c>
      <c r="K162" s="23" t="s">
        <v>23</v>
      </c>
      <c r="L162" s="23">
        <v>142</v>
      </c>
      <c r="M162" s="23" t="s">
        <v>39</v>
      </c>
      <c r="N162" s="24">
        <v>46309.920081018521</v>
      </c>
      <c r="O162" s="23">
        <v>241</v>
      </c>
      <c r="P162" s="23" t="s">
        <v>40</v>
      </c>
      <c r="Q162" s="23">
        <v>190</v>
      </c>
      <c r="R162" s="3" t="str">
        <f>IF(OR(G162="12R",G162="12L"),_xlfn.XLOOKUP(C162,Tabla42[ADEP],Tabla42[SID 12R],""),IF(OR(G162="30L",G162="30R"),_xlfn.XLOOKUP(C162,Tabla42[ADEP],Tabla42[SID 30L],""),""))</f>
        <v>NUDAL</v>
      </c>
      <c r="S162" s="3">
        <f t="shared" si="2"/>
        <v>21</v>
      </c>
      <c r="T162" s="3" t="str">
        <f>_xlfn.XLOOKUP(C162,Tabla42[ADEP],Tabla42[Sector],"")</f>
        <v>Sector 3</v>
      </c>
    </row>
    <row r="163" spans="1:20" x14ac:dyDescent="0.2">
      <c r="A163" s="23" t="s">
        <v>291</v>
      </c>
      <c r="B163" s="23" t="s">
        <v>18</v>
      </c>
      <c r="C163" s="23" t="s">
        <v>209</v>
      </c>
      <c r="D163" s="23" t="s">
        <v>110</v>
      </c>
      <c r="E163" s="23" t="s">
        <v>234</v>
      </c>
      <c r="F163" s="24">
        <v>46309.913194444445</v>
      </c>
      <c r="G163" s="23" t="s">
        <v>21</v>
      </c>
      <c r="H163" s="23" t="s">
        <v>4806</v>
      </c>
      <c r="I163" s="23">
        <v>400</v>
      </c>
      <c r="J163" s="23" t="s">
        <v>22</v>
      </c>
      <c r="K163" s="23" t="s">
        <v>23</v>
      </c>
      <c r="L163" s="23">
        <v>517</v>
      </c>
      <c r="M163" s="23" t="s">
        <v>123</v>
      </c>
      <c r="N163" s="24">
        <v>46309.940011574072</v>
      </c>
      <c r="O163" s="23">
        <v>400</v>
      </c>
      <c r="P163" s="23" t="s">
        <v>25</v>
      </c>
      <c r="Q163" s="23">
        <v>40</v>
      </c>
      <c r="R163" s="3" t="str">
        <f>IF(OR(G163="12R",G163="12L"),_xlfn.XLOOKUP(C163,Tabla42[ADEP],Tabla42[SID 12R],""),IF(OR(G163="30L",G163="30R"),_xlfn.XLOOKUP(C163,Tabla42[ADEP],Tabla42[SID 30L],""),""))</f>
        <v>ENEBA</v>
      </c>
      <c r="S163" s="3">
        <f t="shared" si="2"/>
        <v>21</v>
      </c>
      <c r="T163" s="3" t="str">
        <f>_xlfn.XLOOKUP(C163,Tabla42[ADEP],Tabla42[Sector],"")</f>
        <v>Sector 3</v>
      </c>
    </row>
    <row r="164" spans="1:20" x14ac:dyDescent="0.2">
      <c r="A164" s="23" t="s">
        <v>308</v>
      </c>
      <c r="B164" s="23" t="s">
        <v>18</v>
      </c>
      <c r="C164" s="23" t="s">
        <v>137</v>
      </c>
      <c r="D164" s="23" t="s">
        <v>122</v>
      </c>
      <c r="E164" s="23" t="s">
        <v>4183</v>
      </c>
      <c r="F164" s="24">
        <v>46309.914768518516</v>
      </c>
      <c r="G164" s="23" t="s">
        <v>21</v>
      </c>
      <c r="H164" s="23" t="s">
        <v>4807</v>
      </c>
      <c r="I164" s="23">
        <v>350</v>
      </c>
      <c r="J164" s="23" t="s">
        <v>22</v>
      </c>
      <c r="K164" s="23" t="s">
        <v>23</v>
      </c>
      <c r="L164" s="23">
        <v>134</v>
      </c>
      <c r="M164" s="23" t="s">
        <v>39</v>
      </c>
      <c r="N164" s="24">
        <v>46309.923171296294</v>
      </c>
      <c r="O164" s="23">
        <v>266</v>
      </c>
      <c r="P164" s="23" t="s">
        <v>25</v>
      </c>
      <c r="Q164" s="23">
        <v>190</v>
      </c>
      <c r="R164" s="3" t="str">
        <f>IF(OR(G164="12R",G164="12L"),_xlfn.XLOOKUP(C164,Tabla42[ADEP],Tabla42[SID 12R],""),IF(OR(G164="30L",G164="30R"),_xlfn.XLOOKUP(C164,Tabla42[ADEP],Tabla42[SID 30L],""),""))</f>
        <v>NUDAL</v>
      </c>
      <c r="S164" s="3">
        <f t="shared" si="2"/>
        <v>21</v>
      </c>
      <c r="T164" s="3" t="str">
        <f>_xlfn.XLOOKUP(C164,Tabla42[ADEP],Tabla42[Sector],"")</f>
        <v>Sector 3</v>
      </c>
    </row>
    <row r="165" spans="1:20" x14ac:dyDescent="0.2">
      <c r="A165" s="23" t="s">
        <v>313</v>
      </c>
      <c r="B165" s="23" t="s">
        <v>18</v>
      </c>
      <c r="C165" s="23" t="s">
        <v>73</v>
      </c>
      <c r="D165" s="23" t="s">
        <v>53</v>
      </c>
      <c r="E165" s="23" t="s">
        <v>393</v>
      </c>
      <c r="F165" s="24">
        <v>46309.916122685187</v>
      </c>
      <c r="G165" s="23" t="s">
        <v>21</v>
      </c>
      <c r="H165" s="23" t="s">
        <v>4808</v>
      </c>
      <c r="I165" s="23">
        <v>380</v>
      </c>
      <c r="J165" s="23" t="s">
        <v>22</v>
      </c>
      <c r="K165" s="23" t="s">
        <v>23</v>
      </c>
      <c r="L165" s="23">
        <v>721</v>
      </c>
      <c r="M165" s="23" t="s">
        <v>73</v>
      </c>
      <c r="N165" s="24">
        <v>46309.962407407409</v>
      </c>
      <c r="O165" s="23">
        <v>0</v>
      </c>
      <c r="P165" s="23" t="s">
        <v>25</v>
      </c>
      <c r="Q165" s="23">
        <v>190</v>
      </c>
      <c r="R165" s="3" t="str">
        <f>IF(OR(G165="12R",G165="12L"),_xlfn.XLOOKUP(C165,Tabla42[ADEP],Tabla42[SID 12R],""),IF(OR(G165="30L",G165="30R"),_xlfn.XLOOKUP(C165,Tabla42[ADEP],Tabla42[SID 30L],""),""))</f>
        <v>UDGUV</v>
      </c>
      <c r="S165" s="3">
        <f t="shared" si="2"/>
        <v>21</v>
      </c>
      <c r="T165" s="3" t="str">
        <f>_xlfn.XLOOKUP(C165,Tabla42[ADEP],Tabla42[Sector],"")</f>
        <v>Sector 2</v>
      </c>
    </row>
    <row r="166" spans="1:20" x14ac:dyDescent="0.2">
      <c r="A166" s="23" t="s">
        <v>1751</v>
      </c>
      <c r="B166" s="23" t="s">
        <v>18</v>
      </c>
      <c r="C166" s="23" t="s">
        <v>814</v>
      </c>
      <c r="D166" s="23" t="s">
        <v>306</v>
      </c>
      <c r="E166" s="23" t="s">
        <v>4809</v>
      </c>
      <c r="F166" s="24">
        <v>46309.917673611111</v>
      </c>
      <c r="G166" s="23" t="s">
        <v>21</v>
      </c>
      <c r="H166" s="23" t="s">
        <v>4810</v>
      </c>
      <c r="I166" s="23">
        <v>340</v>
      </c>
      <c r="J166" s="23" t="s">
        <v>22</v>
      </c>
      <c r="K166" s="23" t="s">
        <v>23</v>
      </c>
      <c r="L166" s="23">
        <v>447</v>
      </c>
      <c r="M166" s="23" t="s">
        <v>189</v>
      </c>
      <c r="N166" s="24">
        <v>46309.943078703705</v>
      </c>
      <c r="O166" s="23">
        <v>340</v>
      </c>
      <c r="P166" s="23" t="s">
        <v>25</v>
      </c>
      <c r="Q166" s="23">
        <v>40</v>
      </c>
      <c r="R166" s="3" t="str">
        <f>IF(OR(G166="12R",G166="12L"),_xlfn.XLOOKUP(C166,Tabla42[ADEP],Tabla42[SID 12R],""),IF(OR(G166="30L",G166="30R"),_xlfn.XLOOKUP(C166,Tabla42[ADEP],Tabla42[SID 30L],""),""))</f>
        <v>ENEBA</v>
      </c>
      <c r="S166" s="3">
        <f t="shared" si="2"/>
        <v>22</v>
      </c>
      <c r="T166" s="3" t="str">
        <f>_xlfn.XLOOKUP(C166,Tabla42[ADEP],Tabla42[Sector],"")</f>
        <v>Sector 3</v>
      </c>
    </row>
    <row r="167" spans="1:20" x14ac:dyDescent="0.2">
      <c r="A167" s="23" t="s">
        <v>312</v>
      </c>
      <c r="B167" s="23" t="s">
        <v>18</v>
      </c>
      <c r="C167" s="23" t="s">
        <v>204</v>
      </c>
      <c r="D167" s="23" t="s">
        <v>33</v>
      </c>
      <c r="E167" s="23" t="s">
        <v>4458</v>
      </c>
      <c r="F167" s="24">
        <v>46309.91946759259</v>
      </c>
      <c r="G167" s="23" t="s">
        <v>21</v>
      </c>
      <c r="H167" s="23" t="s">
        <v>4811</v>
      </c>
      <c r="I167" s="23">
        <v>370</v>
      </c>
      <c r="J167" s="23" t="s">
        <v>22</v>
      </c>
      <c r="K167" s="23" t="s">
        <v>23</v>
      </c>
      <c r="L167" s="23">
        <v>153</v>
      </c>
      <c r="M167" s="23" t="s">
        <v>111</v>
      </c>
      <c r="N167" s="24">
        <v>46309.93005787037</v>
      </c>
      <c r="O167" s="23">
        <v>259</v>
      </c>
      <c r="P167" s="23" t="s">
        <v>25</v>
      </c>
      <c r="Q167" s="23">
        <v>190</v>
      </c>
      <c r="R167" s="3" t="str">
        <f>IF(OR(G167="12R",G167="12L"),_xlfn.XLOOKUP(C167,Tabla42[ADEP],Tabla42[SID 12R],""),IF(OR(G167="30L",G167="30R"),_xlfn.XLOOKUP(C167,Tabla42[ADEP],Tabla42[SID 30L],""),""))</f>
        <v>TAKUX</v>
      </c>
      <c r="S167" s="3">
        <f t="shared" si="2"/>
        <v>22</v>
      </c>
      <c r="T167" s="3" t="str">
        <f>_xlfn.XLOOKUP(C167,Tabla42[ADEP],Tabla42[Sector],"")</f>
        <v>Sector 7</v>
      </c>
    </row>
    <row r="168" spans="1:20" x14ac:dyDescent="0.2">
      <c r="A168" s="23" t="s">
        <v>4812</v>
      </c>
      <c r="B168" s="23" t="s">
        <v>18</v>
      </c>
      <c r="C168" s="23" t="s">
        <v>65</v>
      </c>
      <c r="D168" s="23" t="s">
        <v>4813</v>
      </c>
      <c r="E168" s="23"/>
      <c r="F168" s="24">
        <v>46309.921215277776</v>
      </c>
      <c r="G168" s="23" t="s">
        <v>21</v>
      </c>
      <c r="H168" s="23" t="s">
        <v>4814</v>
      </c>
      <c r="I168" s="23">
        <v>160</v>
      </c>
      <c r="J168" s="23" t="s">
        <v>22</v>
      </c>
      <c r="K168" s="23" t="s">
        <v>50</v>
      </c>
      <c r="L168" s="23">
        <v>358</v>
      </c>
      <c r="M168" s="23" t="s">
        <v>65</v>
      </c>
      <c r="N168" s="24">
        <v>46309.952314814815</v>
      </c>
      <c r="O168" s="23">
        <v>0</v>
      </c>
      <c r="P168" s="23" t="s">
        <v>129</v>
      </c>
      <c r="Q168" s="23">
        <v>30</v>
      </c>
      <c r="R168" s="3" t="str">
        <f>IF(OR(G168="12R",G168="12L"),_xlfn.XLOOKUP(C168,Tabla42[ADEP],Tabla42[SID 12R],""),IF(OR(G168="30L",G168="30R"),_xlfn.XLOOKUP(C168,Tabla42[ADEP],Tabla42[SID 30L],""),""))</f>
        <v>UDGUV</v>
      </c>
      <c r="S168" s="3">
        <f t="shared" si="2"/>
        <v>22</v>
      </c>
      <c r="T168" s="3" t="str">
        <f>_xlfn.XLOOKUP(C168,Tabla42[ADEP],Tabla42[Sector],"")</f>
        <v>Sector 2</v>
      </c>
    </row>
    <row r="169" spans="1:20" x14ac:dyDescent="0.2">
      <c r="A169" s="23" t="s">
        <v>4345</v>
      </c>
      <c r="B169" s="23" t="s">
        <v>18</v>
      </c>
      <c r="C169" s="23" t="s">
        <v>303</v>
      </c>
      <c r="D169" s="23" t="s">
        <v>28</v>
      </c>
      <c r="E169" s="23" t="s">
        <v>4815</v>
      </c>
      <c r="F169" s="24">
        <v>46309.931215277778</v>
      </c>
      <c r="G169" s="23" t="s">
        <v>21</v>
      </c>
      <c r="H169" s="23" t="s">
        <v>4816</v>
      </c>
      <c r="I169" s="23">
        <v>360</v>
      </c>
      <c r="J169" s="23" t="s">
        <v>22</v>
      </c>
      <c r="K169" s="23" t="s">
        <v>23</v>
      </c>
      <c r="L169" s="23">
        <v>433</v>
      </c>
      <c r="M169" s="23" t="s">
        <v>189</v>
      </c>
      <c r="N169" s="24">
        <v>46309.956064814818</v>
      </c>
      <c r="O169" s="23">
        <v>360</v>
      </c>
      <c r="P169" s="23" t="s">
        <v>25</v>
      </c>
      <c r="Q169" s="23">
        <v>40</v>
      </c>
      <c r="R169" s="3" t="str">
        <f>IF(OR(G169="12R",G169="12L"),_xlfn.XLOOKUP(C169,Tabla42[ADEP],Tabla42[SID 12R],""),IF(OR(G169="30L",G169="30R"),_xlfn.XLOOKUP(C169,Tabla42[ADEP],Tabla42[SID 30L],""),""))</f>
        <v>OMSUK</v>
      </c>
      <c r="S169" s="3">
        <f t="shared" si="2"/>
        <v>22</v>
      </c>
      <c r="T169" s="3" t="str">
        <f>_xlfn.XLOOKUP(C169,Tabla42[ADEP],Tabla42[Sector],"")</f>
        <v>Sector 3</v>
      </c>
    </row>
    <row r="170" spans="1:20" x14ac:dyDescent="0.2">
      <c r="A170" s="23" t="s">
        <v>405</v>
      </c>
      <c r="B170" s="23" t="s">
        <v>18</v>
      </c>
      <c r="C170" s="23" t="s">
        <v>195</v>
      </c>
      <c r="D170" s="23" t="s">
        <v>28</v>
      </c>
      <c r="E170" s="23" t="s">
        <v>196</v>
      </c>
      <c r="F170" s="24">
        <v>46309.933263888888</v>
      </c>
      <c r="G170" s="23" t="s">
        <v>21</v>
      </c>
      <c r="H170" s="23" t="s">
        <v>4817</v>
      </c>
      <c r="I170" s="23">
        <v>370</v>
      </c>
      <c r="J170" s="23" t="s">
        <v>22</v>
      </c>
      <c r="K170" s="23" t="s">
        <v>23</v>
      </c>
      <c r="L170" s="23">
        <v>153</v>
      </c>
      <c r="M170" s="23" t="s">
        <v>111</v>
      </c>
      <c r="N170" s="24">
        <v>46309.944479166668</v>
      </c>
      <c r="O170" s="23">
        <v>250</v>
      </c>
      <c r="P170" s="23" t="s">
        <v>25</v>
      </c>
      <c r="Q170" s="23">
        <v>190</v>
      </c>
      <c r="R170" s="3" t="str">
        <f>IF(OR(G170="12R",G170="12L"),_xlfn.XLOOKUP(C170,Tabla42[ADEP],Tabla42[SID 12R],""),IF(OR(G170="30L",G170="30R"),_xlfn.XLOOKUP(C170,Tabla42[ADEP],Tabla42[SID 30L],""),""))</f>
        <v>HECAT</v>
      </c>
      <c r="S170" s="3">
        <f t="shared" si="2"/>
        <v>22</v>
      </c>
      <c r="T170" s="3" t="str">
        <f>_xlfn.XLOOKUP(C170,Tabla42[ADEP],Tabla42[Sector],"")</f>
        <v>Sector 7</v>
      </c>
    </row>
    <row r="171" spans="1:20" x14ac:dyDescent="0.2">
      <c r="A171" s="23" t="s">
        <v>409</v>
      </c>
      <c r="B171" s="23" t="s">
        <v>18</v>
      </c>
      <c r="C171" s="23" t="s">
        <v>254</v>
      </c>
      <c r="D171" s="23" t="s">
        <v>53</v>
      </c>
      <c r="E171" s="23" t="s">
        <v>825</v>
      </c>
      <c r="F171" s="24">
        <v>46309.94259259259</v>
      </c>
      <c r="G171" s="23" t="s">
        <v>21</v>
      </c>
      <c r="H171" s="23" t="s">
        <v>4818</v>
      </c>
      <c r="I171" s="23">
        <v>370</v>
      </c>
      <c r="J171" s="23" t="s">
        <v>22</v>
      </c>
      <c r="K171" s="23" t="s">
        <v>23</v>
      </c>
      <c r="L171" s="23">
        <v>868</v>
      </c>
      <c r="M171" s="23" t="s">
        <v>35</v>
      </c>
      <c r="N171" s="24">
        <v>46309.986678240741</v>
      </c>
      <c r="O171" s="23">
        <v>370</v>
      </c>
      <c r="P171" s="23" t="s">
        <v>25</v>
      </c>
      <c r="Q171" s="23">
        <v>190</v>
      </c>
      <c r="R171" s="3" t="str">
        <f>IF(OR(G171="12R",G171="12L"),_xlfn.XLOOKUP(C171,Tabla42[ADEP],Tabla42[SID 12R],""),IF(OR(G171="30L",G171="30R"),_xlfn.XLOOKUP(C171,Tabla42[ADEP],Tabla42[SID 30L],""),""))</f>
        <v>UDGUV</v>
      </c>
      <c r="S171" s="3">
        <f t="shared" si="2"/>
        <v>22</v>
      </c>
      <c r="T171" s="3" t="str">
        <f>_xlfn.XLOOKUP(C171,Tabla42[ADEP],Tabla42[Sector],"")</f>
        <v>Sector 2</v>
      </c>
    </row>
    <row r="172" spans="1:20" x14ac:dyDescent="0.2">
      <c r="A172" s="23" t="s">
        <v>2076</v>
      </c>
      <c r="B172" s="23" t="s">
        <v>18</v>
      </c>
      <c r="C172" s="23" t="s">
        <v>18</v>
      </c>
      <c r="D172" s="23" t="s">
        <v>2077</v>
      </c>
      <c r="E172" s="23"/>
      <c r="F172" s="24">
        <v>46309.944699074076</v>
      </c>
      <c r="G172" s="23" t="s">
        <v>21</v>
      </c>
      <c r="H172" s="23" t="s">
        <v>2078</v>
      </c>
      <c r="I172" s="23">
        <v>15</v>
      </c>
      <c r="J172" s="23" t="s">
        <v>130</v>
      </c>
      <c r="K172" s="23" t="s">
        <v>50</v>
      </c>
      <c r="L172" s="23">
        <v>131</v>
      </c>
      <c r="M172" s="23" t="s">
        <v>18</v>
      </c>
      <c r="N172" s="24">
        <v>46309.971770833334</v>
      </c>
      <c r="O172" s="23">
        <v>0</v>
      </c>
      <c r="P172" s="23" t="s">
        <v>129</v>
      </c>
      <c r="Q172" s="23">
        <v>15</v>
      </c>
      <c r="R172" s="3" t="str">
        <f>IF(OR(G172="12R",G172="12L"),_xlfn.XLOOKUP(C172,Tabla42[ADEP],Tabla42[SID 12R],""),IF(OR(G172="30L",G172="30R"),_xlfn.XLOOKUP(C172,Tabla42[ADEP],Tabla42[SID 30L],""),""))</f>
        <v/>
      </c>
      <c r="S172" s="3">
        <f t="shared" si="2"/>
        <v>22</v>
      </c>
      <c r="T172" s="3" t="str">
        <f>_xlfn.XLOOKUP(C172,Tabla42[ADEP],Tabla42[Sector],"")</f>
        <v/>
      </c>
    </row>
    <row r="173" spans="1:20" x14ac:dyDescent="0.2">
      <c r="A173" s="23" t="s">
        <v>318</v>
      </c>
      <c r="B173" s="23" t="s">
        <v>18</v>
      </c>
      <c r="C173" s="23" t="s">
        <v>116</v>
      </c>
      <c r="D173" s="23" t="s">
        <v>43</v>
      </c>
      <c r="E173" s="23" t="s">
        <v>4819</v>
      </c>
      <c r="F173" s="24">
        <v>46309.946018518516</v>
      </c>
      <c r="G173" s="23" t="s">
        <v>21</v>
      </c>
      <c r="H173" s="23" t="s">
        <v>4820</v>
      </c>
      <c r="I173" s="23">
        <v>360</v>
      </c>
      <c r="J173" s="23" t="s">
        <v>22</v>
      </c>
      <c r="K173" s="23" t="s">
        <v>23</v>
      </c>
      <c r="L173" s="23">
        <v>529</v>
      </c>
      <c r="M173" s="23" t="s">
        <v>123</v>
      </c>
      <c r="N173" s="24">
        <v>46309.974074074074</v>
      </c>
      <c r="O173" s="23">
        <v>360</v>
      </c>
      <c r="P173" s="23" t="s">
        <v>25</v>
      </c>
      <c r="Q173" s="23">
        <v>40</v>
      </c>
      <c r="R173" s="3" t="str">
        <f>IF(OR(G173="12R",G173="12L"),_xlfn.XLOOKUP(C173,Tabla42[ADEP],Tabla42[SID 12R],""),IF(OR(G173="30L",G173="30R"),_xlfn.XLOOKUP(C173,Tabla42[ADEP],Tabla42[SID 30L],""),""))</f>
        <v>ENEBA</v>
      </c>
      <c r="S173" s="3">
        <f t="shared" si="2"/>
        <v>22</v>
      </c>
      <c r="T173" s="3" t="str">
        <f>_xlfn.XLOOKUP(C173,Tabla42[ADEP],Tabla42[Sector],"")</f>
        <v>Sector 3</v>
      </c>
    </row>
    <row r="174" spans="1:20" x14ac:dyDescent="0.2">
      <c r="A174" s="23" t="s">
        <v>319</v>
      </c>
      <c r="B174" s="23" t="s">
        <v>18</v>
      </c>
      <c r="C174" s="23" t="s">
        <v>320</v>
      </c>
      <c r="D174" s="23" t="s">
        <v>53</v>
      </c>
      <c r="E174" s="23" t="s">
        <v>603</v>
      </c>
      <c r="F174" s="24">
        <v>46309.950266203705</v>
      </c>
      <c r="G174" s="23" t="s">
        <v>21</v>
      </c>
      <c r="H174" s="23" t="s">
        <v>4821</v>
      </c>
      <c r="I174" s="23">
        <v>340</v>
      </c>
      <c r="J174" s="23" t="s">
        <v>22</v>
      </c>
      <c r="K174" s="23" t="s">
        <v>23</v>
      </c>
      <c r="L174" s="23">
        <v>865</v>
      </c>
      <c r="M174" s="23" t="s">
        <v>4258</v>
      </c>
      <c r="N174" s="24">
        <v>46309.995833333334</v>
      </c>
      <c r="O174" s="23">
        <v>340</v>
      </c>
      <c r="P174" s="23" t="s">
        <v>25</v>
      </c>
      <c r="Q174" s="23">
        <v>190</v>
      </c>
      <c r="R174" s="3" t="str">
        <f>IF(OR(G174="12R",G174="12L"),_xlfn.XLOOKUP(C174,Tabla42[ADEP],Tabla42[SID 12R],""),IF(OR(G174="30L",G174="30R"),_xlfn.XLOOKUP(C174,Tabla42[ADEP],Tabla42[SID 30L],""),""))</f>
        <v>UDGUV</v>
      </c>
      <c r="S174" s="3">
        <f t="shared" si="2"/>
        <v>22</v>
      </c>
      <c r="T174" s="3" t="str">
        <f>_xlfn.XLOOKUP(C174,Tabla42[ADEP],Tabla42[Sector],"")</f>
        <v>Sector 2</v>
      </c>
    </row>
    <row r="175" spans="1:20" x14ac:dyDescent="0.2">
      <c r="A175" s="23" t="s">
        <v>324</v>
      </c>
      <c r="B175" s="23" t="s">
        <v>18</v>
      </c>
      <c r="C175" s="23" t="s">
        <v>206</v>
      </c>
      <c r="D175" s="23" t="s">
        <v>53</v>
      </c>
      <c r="E175" s="23" t="s">
        <v>279</v>
      </c>
      <c r="F175" s="24">
        <v>46309.951782407406</v>
      </c>
      <c r="G175" s="23" t="s">
        <v>21</v>
      </c>
      <c r="H175" s="23" t="s">
        <v>4822</v>
      </c>
      <c r="I175" s="23">
        <v>380</v>
      </c>
      <c r="J175" s="23" t="s">
        <v>22</v>
      </c>
      <c r="K175" s="23" t="s">
        <v>23</v>
      </c>
      <c r="L175" s="23">
        <v>861</v>
      </c>
      <c r="M175" s="23" t="s">
        <v>45</v>
      </c>
      <c r="N175" s="24">
        <v>46309.997199074074</v>
      </c>
      <c r="O175" s="23">
        <v>360</v>
      </c>
      <c r="P175" s="23" t="s">
        <v>25</v>
      </c>
      <c r="Q175" s="23">
        <v>190</v>
      </c>
      <c r="R175" s="3" t="str">
        <f>IF(OR(G175="12R",G175="12L"),_xlfn.XLOOKUP(C175,Tabla42[ADEP],Tabla42[SID 12R],""),IF(OR(G175="30L",G175="30R"),_xlfn.XLOOKUP(C175,Tabla42[ADEP],Tabla42[SID 30L],""),""))</f>
        <v>UDGUV</v>
      </c>
      <c r="S175" s="3">
        <f t="shared" si="2"/>
        <v>22</v>
      </c>
      <c r="T175" s="3" t="str">
        <f>_xlfn.XLOOKUP(C175,Tabla42[ADEP],Tabla42[Sector],"")</f>
        <v>Sector 2</v>
      </c>
    </row>
    <row r="176" spans="1:20" x14ac:dyDescent="0.2">
      <c r="A176" s="23" t="s">
        <v>412</v>
      </c>
      <c r="B176" s="23" t="s">
        <v>18</v>
      </c>
      <c r="C176" s="23" t="s">
        <v>84</v>
      </c>
      <c r="D176" s="23" t="s">
        <v>85</v>
      </c>
      <c r="E176" s="23" t="s">
        <v>3832</v>
      </c>
      <c r="F176" s="24">
        <v>46309.952951388892</v>
      </c>
      <c r="G176" s="23" t="s">
        <v>21</v>
      </c>
      <c r="H176" s="23" t="s">
        <v>4823</v>
      </c>
      <c r="I176" s="23">
        <v>370</v>
      </c>
      <c r="J176" s="23" t="s">
        <v>22</v>
      </c>
      <c r="K176" s="23" t="s">
        <v>23</v>
      </c>
      <c r="L176" s="23">
        <v>353</v>
      </c>
      <c r="M176" s="23" t="s">
        <v>30</v>
      </c>
      <c r="N176" s="24">
        <v>46309.974166666667</v>
      </c>
      <c r="O176" s="23">
        <v>297</v>
      </c>
      <c r="P176" s="23" t="s">
        <v>40</v>
      </c>
      <c r="Q176" s="23">
        <v>40</v>
      </c>
      <c r="R176" s="3" t="str">
        <f>IF(OR(G176="12R",G176="12L"),_xlfn.XLOOKUP(C176,Tabla42[ADEP],Tabla42[SID 12R],""),IF(OR(G176="30L",G176="30R"),_xlfn.XLOOKUP(C176,Tabla42[ADEP],Tabla42[SID 30L],""),""))</f>
        <v>NUDAL</v>
      </c>
      <c r="S176" s="3">
        <f t="shared" si="2"/>
        <v>22</v>
      </c>
      <c r="T176" s="3" t="str">
        <f>_xlfn.XLOOKUP(C176,Tabla42[ADEP],Tabla42[Sector],"")</f>
        <v>Sector 3</v>
      </c>
    </row>
    <row r="177" spans="1:20" x14ac:dyDescent="0.2">
      <c r="A177" s="23" t="s">
        <v>2312</v>
      </c>
      <c r="B177" s="23" t="s">
        <v>18</v>
      </c>
      <c r="C177" s="23" t="s">
        <v>396</v>
      </c>
      <c r="D177" s="23" t="s">
        <v>397</v>
      </c>
      <c r="E177" s="23" t="s">
        <v>512</v>
      </c>
      <c r="F177" s="24">
        <v>46309.961053240739</v>
      </c>
      <c r="G177" s="23" t="s">
        <v>21</v>
      </c>
      <c r="H177" s="23" t="s">
        <v>4824</v>
      </c>
      <c r="I177" s="23">
        <v>370</v>
      </c>
      <c r="J177" s="23" t="s">
        <v>22</v>
      </c>
      <c r="K177" s="23" t="s">
        <v>23</v>
      </c>
      <c r="L177" s="23">
        <v>149</v>
      </c>
      <c r="M177" s="23" t="s">
        <v>111</v>
      </c>
      <c r="N177" s="24">
        <v>46309.970891203702</v>
      </c>
      <c r="O177" s="23">
        <v>270</v>
      </c>
      <c r="P177" s="23" t="s">
        <v>40</v>
      </c>
      <c r="Q177" s="23">
        <v>190</v>
      </c>
      <c r="R177" s="3" t="str">
        <f>IF(OR(G177="12R",G177="12L"),_xlfn.XLOOKUP(C177,Tabla42[ADEP],Tabla42[SID 12R],""),IF(OR(G177="30L",G177="30R"),_xlfn.XLOOKUP(C177,Tabla42[ADEP],Tabla42[SID 30L],""),""))</f>
        <v>CZM</v>
      </c>
      <c r="S177" s="3">
        <f t="shared" si="2"/>
        <v>23</v>
      </c>
      <c r="T177" s="3" t="str">
        <f>_xlfn.XLOOKUP(C177,Tabla42[ADEP],Tabla42[Sector],"")</f>
        <v>Sector 7</v>
      </c>
    </row>
    <row r="178" spans="1:20" x14ac:dyDescent="0.2">
      <c r="A178" s="23" t="s">
        <v>333</v>
      </c>
      <c r="B178" s="23" t="s">
        <v>18</v>
      </c>
      <c r="C178" s="23" t="s">
        <v>204</v>
      </c>
      <c r="D178" s="23" t="s">
        <v>53</v>
      </c>
      <c r="E178" s="23" t="s">
        <v>2320</v>
      </c>
      <c r="F178" s="24">
        <v>46309.986828703702</v>
      </c>
      <c r="G178" s="23" t="s">
        <v>21</v>
      </c>
      <c r="H178" s="23" t="s">
        <v>4825</v>
      </c>
      <c r="I178" s="23">
        <v>370</v>
      </c>
      <c r="J178" s="23" t="s">
        <v>22</v>
      </c>
      <c r="K178" s="23" t="s">
        <v>23</v>
      </c>
      <c r="L178" s="23">
        <v>149</v>
      </c>
      <c r="M178" s="23" t="s">
        <v>111</v>
      </c>
      <c r="N178" s="24">
        <v>46309.996192129627</v>
      </c>
      <c r="O178" s="23">
        <v>273</v>
      </c>
      <c r="P178" s="23" t="s">
        <v>25</v>
      </c>
      <c r="Q178" s="23">
        <v>190</v>
      </c>
      <c r="R178" s="3" t="str">
        <f>IF(OR(G178="12R",G178="12L"),_xlfn.XLOOKUP(C178,Tabla42[ADEP],Tabla42[SID 12R],""),IF(OR(G178="30L",G178="30R"),_xlfn.XLOOKUP(C178,Tabla42[ADEP],Tabla42[SID 30L],""),""))</f>
        <v>TAKUX</v>
      </c>
      <c r="S178" s="3">
        <f t="shared" si="2"/>
        <v>23</v>
      </c>
      <c r="T178" s="3" t="str">
        <f>_xlfn.XLOOKUP(C178,Tabla42[ADEP],Tabla42[Sector],"")</f>
        <v>Sector 7</v>
      </c>
    </row>
    <row r="179" spans="1:20" x14ac:dyDescent="0.2">
      <c r="A179" s="18"/>
      <c r="B179" s="18"/>
      <c r="C179" s="18"/>
      <c r="D179" s="18"/>
      <c r="E179" s="18"/>
      <c r="F179" s="19"/>
      <c r="G179" s="18"/>
      <c r="H179" s="18"/>
      <c r="I179" s="18"/>
      <c r="J179" s="18"/>
      <c r="K179" s="18"/>
      <c r="L179" s="18"/>
      <c r="M179" s="18"/>
      <c r="N179" s="19"/>
      <c r="O179" s="18"/>
      <c r="P179" s="18"/>
      <c r="Q179" s="18"/>
      <c r="R179" s="3" t="str">
        <f>IF(OR(G179="12R",G179="12L"),_xlfn.XLOOKUP(C179,Tabla42[ADEP],Tabla42[SID 12R],""),IF(OR(G179="30L",G179="30R"),_xlfn.XLOOKUP(C179,Tabla42[ADEP],Tabla42[SID 30L],""),""))</f>
        <v/>
      </c>
      <c r="S179" s="3">
        <f t="shared" si="2"/>
        <v>0</v>
      </c>
      <c r="T179" s="3" t="str">
        <f>_xlfn.XLOOKUP(C179,Tabla42[ADEP],Tabla42[Sector],"")</f>
        <v/>
      </c>
    </row>
    <row r="180" spans="1:20" x14ac:dyDescent="0.2">
      <c r="A180" s="18"/>
      <c r="B180" s="18"/>
      <c r="C180" s="18"/>
      <c r="D180" s="18"/>
      <c r="E180" s="18"/>
      <c r="F180" s="19"/>
      <c r="G180" s="18"/>
      <c r="H180" s="18"/>
      <c r="I180" s="18"/>
      <c r="J180" s="18"/>
      <c r="K180" s="18"/>
      <c r="L180" s="18"/>
      <c r="M180" s="18"/>
      <c r="N180" s="19"/>
      <c r="O180" s="18"/>
      <c r="P180" s="18"/>
      <c r="Q180" s="18"/>
      <c r="R180" s="3" t="str">
        <f>IF(OR(G180="12R",G180="12L"),_xlfn.XLOOKUP(C180,Tabla42[ADEP],Tabla42[SID 12R],""),IF(OR(G180="30L",G180="30R"),_xlfn.XLOOKUP(C180,Tabla42[ADEP],Tabla42[SID 30L],""),""))</f>
        <v/>
      </c>
      <c r="S180" s="3">
        <f t="shared" si="2"/>
        <v>0</v>
      </c>
      <c r="T180" s="3" t="str">
        <f>_xlfn.XLOOKUP(C180,Tabla42[ADEP],Tabla42[Sector],"")</f>
        <v/>
      </c>
    </row>
    <row r="181" spans="1:20" x14ac:dyDescent="0.2">
      <c r="A181" s="18"/>
      <c r="B181" s="18"/>
      <c r="C181" s="18"/>
      <c r="D181" s="18"/>
      <c r="E181" s="18"/>
      <c r="F181" s="19"/>
      <c r="G181" s="18"/>
      <c r="H181" s="18"/>
      <c r="I181" s="18"/>
      <c r="J181" s="18"/>
      <c r="K181" s="18"/>
      <c r="L181" s="18"/>
      <c r="M181" s="18"/>
      <c r="N181" s="19"/>
      <c r="O181" s="18"/>
      <c r="P181" s="18"/>
      <c r="Q181" s="18"/>
      <c r="R181" s="3" t="str">
        <f>IF(OR(G181="12R",G181="12L"),_xlfn.XLOOKUP(C181,Tabla42[ADEP],Tabla42[SID 12R],""),IF(OR(G181="30L",G181="30R"),_xlfn.XLOOKUP(C181,Tabla42[ADEP],Tabla42[SID 30L],""),""))</f>
        <v/>
      </c>
      <c r="S181" s="3">
        <f t="shared" si="2"/>
        <v>0</v>
      </c>
      <c r="T181" s="3" t="str">
        <f>_xlfn.XLOOKUP(C181,Tabla42[ADEP],Tabla42[Sector],"")</f>
        <v/>
      </c>
    </row>
    <row r="182" spans="1:20" x14ac:dyDescent="0.2">
      <c r="A182" s="18"/>
      <c r="B182" s="18"/>
      <c r="C182" s="18"/>
      <c r="D182" s="18"/>
      <c r="E182" s="18"/>
      <c r="F182" s="19"/>
      <c r="G182" s="18"/>
      <c r="H182" s="18"/>
      <c r="I182" s="18"/>
      <c r="J182" s="18"/>
      <c r="K182" s="18"/>
      <c r="L182" s="18"/>
      <c r="M182" s="18"/>
      <c r="N182" s="19"/>
      <c r="O182" s="18"/>
      <c r="P182" s="18"/>
      <c r="Q182" s="18"/>
      <c r="R182" s="3" t="str">
        <f>IF(OR(G182="12R",G182="12L"),_xlfn.XLOOKUP(C182,Tabla42[ADEP],Tabla42[SID 12R],""),IF(OR(G182="30L",G182="30R"),_xlfn.XLOOKUP(C182,Tabla42[ADEP],Tabla42[SID 30L],""),""))</f>
        <v/>
      </c>
      <c r="S182" s="3">
        <f t="shared" si="2"/>
        <v>0</v>
      </c>
      <c r="T182" s="3" t="str">
        <f>_xlfn.XLOOKUP(C182,Tabla42[ADEP],Tabla42[Sector],"")</f>
        <v/>
      </c>
    </row>
    <row r="183" spans="1:20" x14ac:dyDescent="0.2">
      <c r="A183" s="18"/>
      <c r="B183" s="18"/>
      <c r="C183" s="18"/>
      <c r="D183" s="18"/>
      <c r="E183" s="18"/>
      <c r="F183" s="19"/>
      <c r="G183" s="18"/>
      <c r="H183" s="18"/>
      <c r="I183" s="18"/>
      <c r="J183" s="18"/>
      <c r="K183" s="18"/>
      <c r="L183" s="18"/>
      <c r="M183" s="18"/>
      <c r="N183" s="19"/>
      <c r="O183" s="18"/>
      <c r="P183" s="18"/>
      <c r="Q183" s="18"/>
      <c r="R183" s="3" t="str">
        <f>IF(OR(G183="12R",G183="12L"),_xlfn.XLOOKUP(C183,Tabla42[ADEP],Tabla42[SID 12R],""),IF(OR(G183="30L",G183="30R"),_xlfn.XLOOKUP(C183,Tabla42[ADEP],Tabla42[SID 30L],""),""))</f>
        <v/>
      </c>
      <c r="S183" s="3">
        <f t="shared" si="2"/>
        <v>0</v>
      </c>
      <c r="T183" s="3" t="str">
        <f>_xlfn.XLOOKUP(C183,Tabla42[ADEP],Tabla42[Sector],"")</f>
        <v/>
      </c>
    </row>
    <row r="184" spans="1:20" x14ac:dyDescent="0.2">
      <c r="A184" s="18"/>
      <c r="B184" s="18"/>
      <c r="C184" s="18"/>
      <c r="D184" s="18"/>
      <c r="E184" s="18"/>
      <c r="F184" s="19"/>
      <c r="G184" s="18"/>
      <c r="H184" s="18"/>
      <c r="I184" s="18"/>
      <c r="J184" s="18"/>
      <c r="K184" s="18"/>
      <c r="L184" s="18"/>
      <c r="M184" s="18"/>
      <c r="N184" s="19"/>
      <c r="O184" s="18"/>
      <c r="P184" s="18"/>
      <c r="Q184" s="18"/>
      <c r="R184" s="3" t="str">
        <f>IF(OR(G184="12R",G184="12L"),_xlfn.XLOOKUP(C184,Tabla42[ADEP],Tabla42[SID 12R],""),IF(OR(G184="30L",G184="30R"),_xlfn.XLOOKUP(C184,Tabla42[ADEP],Tabla42[SID 30L],""),""))</f>
        <v/>
      </c>
      <c r="S184" s="3">
        <f t="shared" si="2"/>
        <v>0</v>
      </c>
      <c r="T184" s="3" t="str">
        <f>_xlfn.XLOOKUP(C184,Tabla42[ADEP],Tabla42[Sector],"")</f>
        <v/>
      </c>
    </row>
    <row r="185" spans="1:20" x14ac:dyDescent="0.2">
      <c r="A185" s="18"/>
      <c r="B185" s="18"/>
      <c r="C185" s="18"/>
      <c r="D185" s="18"/>
      <c r="E185" s="18"/>
      <c r="F185" s="19"/>
      <c r="G185" s="18"/>
      <c r="H185" s="18"/>
      <c r="I185" s="18"/>
      <c r="J185" s="18"/>
      <c r="K185" s="18"/>
      <c r="L185" s="18"/>
      <c r="M185" s="18"/>
      <c r="N185" s="19"/>
      <c r="O185" s="18"/>
      <c r="P185" s="18"/>
      <c r="Q185" s="18"/>
      <c r="R185" s="3" t="str">
        <f>IF(OR(G185="12R",G185="12L"),_xlfn.XLOOKUP(C185,Tabla42[ADEP],Tabla42[SID 12R],""),IF(OR(G185="30L",G185="30R"),_xlfn.XLOOKUP(C185,Tabla42[ADEP],Tabla42[SID 30L],""),""))</f>
        <v/>
      </c>
      <c r="S185" s="3">
        <f t="shared" si="2"/>
        <v>0</v>
      </c>
      <c r="T185" s="3" t="str">
        <f>_xlfn.XLOOKUP(C185,Tabla42[ADEP],Tabla42[Sector],"")</f>
        <v/>
      </c>
    </row>
    <row r="186" spans="1:20" x14ac:dyDescent="0.2">
      <c r="A186" s="18"/>
      <c r="B186" s="18"/>
      <c r="C186" s="18"/>
      <c r="D186" s="18"/>
      <c r="E186" s="18"/>
      <c r="F186" s="19"/>
      <c r="G186" s="18"/>
      <c r="H186" s="18"/>
      <c r="I186" s="18"/>
      <c r="J186" s="18"/>
      <c r="K186" s="18"/>
      <c r="L186" s="18"/>
      <c r="M186" s="18"/>
      <c r="N186" s="19"/>
      <c r="O186" s="18"/>
      <c r="P186" s="18"/>
      <c r="Q186" s="18"/>
      <c r="R186" s="3" t="str">
        <f>IF(OR(G186="12R",G186="12L"),_xlfn.XLOOKUP(C186,Tabla42[ADEP],Tabla42[SID 12R],""),IF(OR(G186="30L",G186="30R"),_xlfn.XLOOKUP(C186,Tabla42[ADEP],Tabla42[SID 30L],""),""))</f>
        <v/>
      </c>
      <c r="S186" s="3">
        <f t="shared" si="2"/>
        <v>0</v>
      </c>
      <c r="T186" s="3" t="str">
        <f>_xlfn.XLOOKUP(C186,Tabla42[ADEP],Tabla42[Sector],"")</f>
        <v/>
      </c>
    </row>
    <row r="187" spans="1:20" x14ac:dyDescent="0.2">
      <c r="A187" s="18"/>
      <c r="B187" s="18"/>
      <c r="C187" s="18"/>
      <c r="D187" s="18"/>
      <c r="E187" s="18"/>
      <c r="F187" s="19"/>
      <c r="G187" s="18"/>
      <c r="H187" s="18"/>
      <c r="I187" s="18"/>
      <c r="J187" s="18"/>
      <c r="K187" s="18"/>
      <c r="L187" s="18"/>
      <c r="M187" s="18"/>
      <c r="N187" s="19"/>
      <c r="O187" s="18"/>
      <c r="P187" s="18"/>
      <c r="Q187" s="18"/>
      <c r="R187" s="3" t="str">
        <f>IF(OR(G187="12R",G187="12L"),_xlfn.XLOOKUP(C187,Tabla42[ADEP],Tabla42[SID 12R],""),IF(OR(G187="30L",G187="30R"),_xlfn.XLOOKUP(C187,Tabla42[ADEP],Tabla42[SID 30L],""),""))</f>
        <v/>
      </c>
      <c r="S187" s="3">
        <f t="shared" si="2"/>
        <v>0</v>
      </c>
      <c r="T187" s="3" t="str">
        <f>_xlfn.XLOOKUP(C187,Tabla42[ADEP],Tabla42[Sector],"")</f>
        <v/>
      </c>
    </row>
    <row r="188" spans="1:20" x14ac:dyDescent="0.2">
      <c r="A188" s="18"/>
      <c r="B188" s="18"/>
      <c r="C188" s="18"/>
      <c r="D188" s="18"/>
      <c r="E188" s="18"/>
      <c r="F188" s="19"/>
      <c r="G188" s="18"/>
      <c r="H188" s="18"/>
      <c r="I188" s="18"/>
      <c r="J188" s="18"/>
      <c r="K188" s="18"/>
      <c r="L188" s="18"/>
      <c r="M188" s="18"/>
      <c r="N188" s="19"/>
      <c r="O188" s="18"/>
      <c r="P188" s="18"/>
      <c r="Q188" s="18"/>
      <c r="R188" s="3" t="str">
        <f>IF(OR(G188="12R",G188="12L"),_xlfn.XLOOKUP(C188,Tabla42[ADEP],Tabla42[SID 12R],""),IF(OR(G188="30L",G188="30R"),_xlfn.XLOOKUP(C188,Tabla42[ADEP],Tabla42[SID 30L],""),""))</f>
        <v/>
      </c>
      <c r="S188" s="3">
        <f t="shared" si="2"/>
        <v>0</v>
      </c>
      <c r="T188" s="3" t="str">
        <f>_xlfn.XLOOKUP(C188,Tabla42[ADEP],Tabla42[Sector],"")</f>
        <v/>
      </c>
    </row>
    <row r="189" spans="1:20" x14ac:dyDescent="0.2">
      <c r="A189" s="18"/>
      <c r="B189" s="18"/>
      <c r="C189" s="18"/>
      <c r="D189" s="18"/>
      <c r="E189" s="18"/>
      <c r="F189" s="19"/>
      <c r="G189" s="18"/>
      <c r="H189" s="18"/>
      <c r="I189" s="18"/>
      <c r="J189" s="18"/>
      <c r="K189" s="18"/>
      <c r="L189" s="18"/>
      <c r="M189" s="18"/>
      <c r="N189" s="19"/>
      <c r="O189" s="18"/>
      <c r="P189" s="18"/>
      <c r="Q189" s="18"/>
      <c r="R189" s="3" t="str">
        <f>IF(OR(G189="12R",G189="12L"),_xlfn.XLOOKUP(C189,Tabla42[ADEP],Tabla42[SID 12R],""),IF(OR(G189="30L",G189="30R"),_xlfn.XLOOKUP(C189,Tabla42[ADEP],Tabla42[SID 30L],""),""))</f>
        <v/>
      </c>
      <c r="S189" s="3">
        <f t="shared" si="2"/>
        <v>0</v>
      </c>
      <c r="T189" s="3" t="str">
        <f>_xlfn.XLOOKUP(C189,Tabla42[ADEP],Tabla42[Sector],"")</f>
        <v/>
      </c>
    </row>
    <row r="190" spans="1:20" x14ac:dyDescent="0.2">
      <c r="A190" s="18"/>
      <c r="B190" s="18"/>
      <c r="C190" s="18"/>
      <c r="D190" s="18"/>
      <c r="E190" s="18"/>
      <c r="F190" s="19"/>
      <c r="G190" s="18"/>
      <c r="H190" s="18"/>
      <c r="I190" s="18"/>
      <c r="J190" s="18"/>
      <c r="K190" s="18"/>
      <c r="L190" s="18"/>
      <c r="M190" s="18"/>
      <c r="N190" s="19"/>
      <c r="O190" s="18"/>
      <c r="P190" s="18"/>
      <c r="Q190" s="18"/>
      <c r="R190" s="3" t="str">
        <f>IF(OR(G190="12R",G190="12L"),_xlfn.XLOOKUP(C190,Tabla42[ADEP],Tabla42[SID 12R],""),IF(OR(G190="30L",G190="30R"),_xlfn.XLOOKUP(C190,Tabla42[ADEP],Tabla42[SID 30L],""),""))</f>
        <v/>
      </c>
      <c r="S190" s="3">
        <f t="shared" si="2"/>
        <v>0</v>
      </c>
      <c r="T190" s="3" t="str">
        <f>_xlfn.XLOOKUP(C190,Tabla42[ADEP],Tabla42[Sector],"")</f>
        <v/>
      </c>
    </row>
    <row r="191" spans="1:20" x14ac:dyDescent="0.2">
      <c r="A191" s="18"/>
      <c r="B191" s="18"/>
      <c r="C191" s="18"/>
      <c r="D191" s="18"/>
      <c r="E191" s="18"/>
      <c r="F191" s="19"/>
      <c r="G191" s="18"/>
      <c r="H191" s="18"/>
      <c r="I191" s="18"/>
      <c r="J191" s="18"/>
      <c r="K191" s="18"/>
      <c r="L191" s="18"/>
      <c r="M191" s="18"/>
      <c r="N191" s="19"/>
      <c r="O191" s="18"/>
      <c r="P191" s="18"/>
      <c r="Q191" s="18"/>
      <c r="R191" s="3" t="str">
        <f>IF(OR(G191="12R",G191="12L"),_xlfn.XLOOKUP(C191,Tabla42[ADEP],Tabla42[SID 12R],""),IF(OR(G191="30L",G191="30R"),_xlfn.XLOOKUP(C191,Tabla42[ADEP],Tabla42[SID 30L],""),""))</f>
        <v/>
      </c>
      <c r="S191" s="3">
        <f t="shared" si="2"/>
        <v>0</v>
      </c>
      <c r="T191" s="3" t="str">
        <f>_xlfn.XLOOKUP(C191,Tabla42[ADEP],Tabla42[Sector],"")</f>
        <v/>
      </c>
    </row>
    <row r="192" spans="1:20" x14ac:dyDescent="0.2">
      <c r="A192" s="18"/>
      <c r="B192" s="18"/>
      <c r="C192" s="18"/>
      <c r="D192" s="18"/>
      <c r="E192" s="18"/>
      <c r="F192" s="19"/>
      <c r="G192" s="18"/>
      <c r="H192" s="18"/>
      <c r="I192" s="18"/>
      <c r="J192" s="18"/>
      <c r="K192" s="18"/>
      <c r="L192" s="18"/>
      <c r="M192" s="18"/>
      <c r="N192" s="19"/>
      <c r="O192" s="18"/>
      <c r="P192" s="18"/>
      <c r="Q192" s="18"/>
      <c r="R192" s="3" t="str">
        <f>IF(OR(G192="12R",G192="12L"),_xlfn.XLOOKUP(C192,Tabla42[ADEP],Tabla42[SID 12R],""),IF(OR(G192="30L",G192="30R"),_xlfn.XLOOKUP(C192,Tabla42[ADEP],Tabla42[SID 30L],""),""))</f>
        <v/>
      </c>
      <c r="S192" s="3">
        <f t="shared" si="2"/>
        <v>0</v>
      </c>
      <c r="T192" s="3" t="str">
        <f>_xlfn.XLOOKUP(C192,Tabla42[ADEP],Tabla42[Sector],"")</f>
        <v/>
      </c>
    </row>
    <row r="193" spans="1:20" x14ac:dyDescent="0.2">
      <c r="A193" s="18"/>
      <c r="B193" s="18"/>
      <c r="C193" s="18"/>
      <c r="D193" s="18"/>
      <c r="E193" s="18"/>
      <c r="F193" s="19"/>
      <c r="G193" s="18"/>
      <c r="H193" s="18"/>
      <c r="I193" s="18"/>
      <c r="J193" s="18"/>
      <c r="K193" s="18"/>
      <c r="L193" s="18"/>
      <c r="M193" s="18"/>
      <c r="N193" s="19"/>
      <c r="O193" s="18"/>
      <c r="P193" s="18"/>
      <c r="Q193" s="18"/>
      <c r="R193" s="3" t="str">
        <f>IF(OR(G193="12R",G193="12L"),_xlfn.XLOOKUP(C193,Tabla42[ADEP],Tabla42[SID 12R],""),IF(OR(G193="30L",G193="30R"),_xlfn.XLOOKUP(C193,Tabla42[ADEP],Tabla42[SID 30L],""),""))</f>
        <v/>
      </c>
      <c r="S193" s="3">
        <f t="shared" si="2"/>
        <v>0</v>
      </c>
      <c r="T193" s="3" t="str">
        <f>_xlfn.XLOOKUP(C193,Tabla42[ADEP],Tabla42[Sector],"")</f>
        <v/>
      </c>
    </row>
    <row r="194" spans="1:20" x14ac:dyDescent="0.2">
      <c r="A194" s="18"/>
      <c r="B194" s="18"/>
      <c r="C194" s="18"/>
      <c r="D194" s="18"/>
      <c r="E194" s="18"/>
      <c r="F194" s="19"/>
      <c r="G194" s="18"/>
      <c r="H194" s="18"/>
      <c r="I194" s="18"/>
      <c r="J194" s="18"/>
      <c r="K194" s="18"/>
      <c r="L194" s="18"/>
      <c r="M194" s="18"/>
      <c r="N194" s="19"/>
      <c r="O194" s="18"/>
      <c r="P194" s="18"/>
      <c r="Q194" s="18"/>
      <c r="R194" s="3" t="str">
        <f>IF(OR(G194="12R",G194="12L"),_xlfn.XLOOKUP(C194,Tabla42[ADEP],Tabla42[SID 12R],""),IF(OR(G194="30L",G194="30R"),_xlfn.XLOOKUP(C194,Tabla42[ADEP],Tabla42[SID 30L],""),""))</f>
        <v/>
      </c>
      <c r="S194" s="3">
        <f t="shared" si="2"/>
        <v>0</v>
      </c>
      <c r="T194" s="3" t="str">
        <f>_xlfn.XLOOKUP(C194,Tabla42[ADEP],Tabla42[Sector],"")</f>
        <v/>
      </c>
    </row>
    <row r="195" spans="1:20" x14ac:dyDescent="0.2">
      <c r="A195" s="18"/>
      <c r="B195" s="18"/>
      <c r="C195" s="18"/>
      <c r="D195" s="18"/>
      <c r="E195" s="18"/>
      <c r="F195" s="19"/>
      <c r="G195" s="18"/>
      <c r="H195" s="18"/>
      <c r="I195" s="18"/>
      <c r="J195" s="18"/>
      <c r="K195" s="18"/>
      <c r="L195" s="18"/>
      <c r="M195" s="18"/>
      <c r="N195" s="19"/>
      <c r="O195" s="18"/>
      <c r="P195" s="18"/>
      <c r="Q195" s="18"/>
      <c r="R195" s="3" t="str">
        <f>IF(OR(G195="12R",G195="12L"),_xlfn.XLOOKUP(C195,Tabla42[ADEP],Tabla42[SID 12R],""),IF(OR(G195="30L",G195="30R"),_xlfn.XLOOKUP(C195,Tabla42[ADEP],Tabla42[SID 30L],""),""))</f>
        <v/>
      </c>
      <c r="S195" s="3">
        <f t="shared" ref="S195:S220" si="3">HOUR(F195)</f>
        <v>0</v>
      </c>
      <c r="T195" s="3" t="str">
        <f>_xlfn.XLOOKUP(C195,Tabla42[ADEP],Tabla42[Sector],"")</f>
        <v/>
      </c>
    </row>
    <row r="196" spans="1:20" x14ac:dyDescent="0.2">
      <c r="A196" s="18"/>
      <c r="B196" s="18"/>
      <c r="C196" s="18"/>
      <c r="D196" s="18"/>
      <c r="E196" s="18"/>
      <c r="F196" s="19"/>
      <c r="G196" s="18"/>
      <c r="H196" s="18"/>
      <c r="I196" s="18"/>
      <c r="J196" s="18"/>
      <c r="K196" s="18"/>
      <c r="L196" s="18"/>
      <c r="M196" s="18"/>
      <c r="N196" s="19"/>
      <c r="O196" s="18"/>
      <c r="P196" s="18"/>
      <c r="Q196" s="18"/>
      <c r="R196" s="3" t="str">
        <f>IF(OR(G196="12R",G196="12L"),_xlfn.XLOOKUP(C196,Tabla42[ADEP],Tabla42[SID 12R],""),IF(OR(G196="30L",G196="30R"),_xlfn.XLOOKUP(C196,Tabla42[ADEP],Tabla42[SID 30L],""),""))</f>
        <v/>
      </c>
      <c r="S196" s="3">
        <f t="shared" si="3"/>
        <v>0</v>
      </c>
      <c r="T196" s="3" t="str">
        <f>_xlfn.XLOOKUP(C196,Tabla42[ADEP],Tabla42[Sector],"")</f>
        <v/>
      </c>
    </row>
    <row r="197" spans="1:20" x14ac:dyDescent="0.2">
      <c r="A197" s="18"/>
      <c r="B197" s="18"/>
      <c r="C197" s="18"/>
      <c r="D197" s="18"/>
      <c r="E197" s="18"/>
      <c r="F197" s="19"/>
      <c r="G197" s="18"/>
      <c r="H197" s="18"/>
      <c r="I197" s="18"/>
      <c r="J197" s="18"/>
      <c r="K197" s="18"/>
      <c r="L197" s="18"/>
      <c r="M197" s="18"/>
      <c r="N197" s="19"/>
      <c r="O197" s="18"/>
      <c r="P197" s="18"/>
      <c r="Q197" s="18"/>
      <c r="R197" s="3" t="str">
        <f>IF(OR(G197="12R",G197="12L"),_xlfn.XLOOKUP(C197,Tabla42[ADEP],Tabla42[SID 12R],""),IF(OR(G197="30L",G197="30R"),_xlfn.XLOOKUP(C197,Tabla42[ADEP],Tabla42[SID 30L],""),""))</f>
        <v/>
      </c>
      <c r="S197" s="3">
        <f t="shared" si="3"/>
        <v>0</v>
      </c>
      <c r="T197" s="3" t="str">
        <f>_xlfn.XLOOKUP(C197,Tabla42[ADEP],Tabla42[Sector],"")</f>
        <v/>
      </c>
    </row>
    <row r="198" spans="1:20" x14ac:dyDescent="0.2">
      <c r="F198" s="2"/>
      <c r="I198" s="3"/>
      <c r="L198" s="3"/>
      <c r="N198" s="2"/>
      <c r="O198" s="3"/>
      <c r="Q198" s="3"/>
      <c r="R198" s="3" t="str">
        <f>IF(OR(G198="12R",G198="12L"),_xlfn.XLOOKUP(C198,Tabla42[ADEP],Tabla42[SID 12R],""),IF(OR(G198="30L",G198="30R"),_xlfn.XLOOKUP(C198,Tabla42[ADEP],Tabla42[SID 30L],""),""))</f>
        <v/>
      </c>
      <c r="S198" s="3">
        <f t="shared" si="3"/>
        <v>0</v>
      </c>
      <c r="T198" s="3" t="str">
        <f>_xlfn.XLOOKUP(C198,Tabla42[ADEP],Tabla42[Sector],"")</f>
        <v/>
      </c>
    </row>
    <row r="199" spans="1:20" x14ac:dyDescent="0.2">
      <c r="F199" s="2"/>
      <c r="I199" s="3"/>
      <c r="L199" s="3"/>
      <c r="N199" s="2"/>
      <c r="O199" s="3"/>
      <c r="Q199" s="3"/>
      <c r="R199" s="3" t="str">
        <f>IF(OR(G199="12R",G199="12L"),_xlfn.XLOOKUP(C199,Tabla42[ADEP],Tabla42[SID 12R],""),IF(OR(G199="30L",G199="30R"),_xlfn.XLOOKUP(C199,Tabla42[ADEP],Tabla42[SID 30L],""),""))</f>
        <v/>
      </c>
      <c r="S199" s="3">
        <f t="shared" si="3"/>
        <v>0</v>
      </c>
      <c r="T199" s="3" t="str">
        <f>_xlfn.XLOOKUP(C199,Tabla42[ADEP],Tabla42[Sector],"")</f>
        <v/>
      </c>
    </row>
    <row r="200" spans="1:20" x14ac:dyDescent="0.2">
      <c r="F200" s="2"/>
      <c r="I200" s="3"/>
      <c r="L200" s="3"/>
      <c r="N200" s="2"/>
      <c r="O200" s="3"/>
      <c r="Q200" s="3"/>
      <c r="R200" s="3" t="str">
        <f>IF(OR(G200="12R",G200="12L"),_xlfn.XLOOKUP(C200,Tabla42[ADEP],Tabla42[SID 12R],""),IF(OR(G200="30L",G200="30R"),_xlfn.XLOOKUP(C200,Tabla42[ADEP],Tabla42[SID 30L],""),""))</f>
        <v/>
      </c>
      <c r="S200" s="3">
        <f t="shared" si="3"/>
        <v>0</v>
      </c>
      <c r="T200" s="3" t="str">
        <f>_xlfn.XLOOKUP(C200,Tabla42[ADEP],Tabla42[Sector],"")</f>
        <v/>
      </c>
    </row>
    <row r="201" spans="1:20" x14ac:dyDescent="0.2">
      <c r="F201" s="2"/>
      <c r="I201" s="3"/>
      <c r="L201" s="3"/>
      <c r="N201" s="2"/>
      <c r="O201" s="3"/>
      <c r="Q201" s="3"/>
      <c r="R201" s="3" t="str">
        <f>IF(OR(G201="12R",G201="12L"),_xlfn.XLOOKUP(C201,Tabla42[ADEP],Tabla42[SID 12R],""),IF(OR(G201="30L",G201="30R"),_xlfn.XLOOKUP(C201,Tabla42[ADEP],Tabla42[SID 30L],""),""))</f>
        <v/>
      </c>
      <c r="S201" s="3">
        <f t="shared" si="3"/>
        <v>0</v>
      </c>
      <c r="T201" s="3" t="str">
        <f>_xlfn.XLOOKUP(C201,Tabla42[ADEP],Tabla42[Sector],"")</f>
        <v/>
      </c>
    </row>
    <row r="202" spans="1:20" x14ac:dyDescent="0.2">
      <c r="F202" s="2"/>
      <c r="I202" s="3"/>
      <c r="L202" s="3"/>
      <c r="N202" s="2"/>
      <c r="O202" s="3"/>
      <c r="Q202" s="3"/>
      <c r="R202" s="3" t="str">
        <f>IF(OR(G202="12R",G202="12L"),_xlfn.XLOOKUP(C202,Tabla42[ADEP],Tabla42[SID 12R],""),IF(OR(G202="30L",G202="30R"),_xlfn.XLOOKUP(C202,Tabla42[ADEP],Tabla42[SID 30L],""),""))</f>
        <v/>
      </c>
      <c r="S202" s="3">
        <f t="shared" si="3"/>
        <v>0</v>
      </c>
      <c r="T202" s="3" t="str">
        <f>_xlfn.XLOOKUP(C202,Tabla42[ADEP],Tabla42[Sector],"")</f>
        <v/>
      </c>
    </row>
    <row r="203" spans="1:20" x14ac:dyDescent="0.2">
      <c r="F203" s="2"/>
      <c r="I203" s="3"/>
      <c r="L203" s="3"/>
      <c r="N203" s="2"/>
      <c r="O203" s="3"/>
      <c r="Q203" s="3"/>
      <c r="R203" s="3" t="str">
        <f>IF(OR(G203="12R",G203="12L"),_xlfn.XLOOKUP(C203,Tabla42[ADEP],Tabla42[SID 12R],""),IF(OR(G203="30L",G203="30R"),_xlfn.XLOOKUP(C203,Tabla42[ADEP],Tabla42[SID 30L],""),""))</f>
        <v/>
      </c>
      <c r="S203" s="3">
        <f t="shared" si="3"/>
        <v>0</v>
      </c>
      <c r="T203" s="3" t="str">
        <f>_xlfn.XLOOKUP(C203,Tabla42[ADEP],Tabla42[Sector],"")</f>
        <v/>
      </c>
    </row>
    <row r="204" spans="1:20" x14ac:dyDescent="0.2">
      <c r="F204" s="2"/>
      <c r="I204" s="3"/>
      <c r="L204" s="3"/>
      <c r="N204" s="2"/>
      <c r="O204" s="3"/>
      <c r="Q204" s="3"/>
      <c r="R204" s="3" t="str">
        <f>IF(OR(G204="12R",G204="12L"),_xlfn.XLOOKUP(C204,Tabla42[ADEP],Tabla42[SID 12R],""),IF(OR(G204="30L",G204="30R"),_xlfn.XLOOKUP(C204,Tabla42[ADEP],Tabla42[SID 30L],""),""))</f>
        <v/>
      </c>
      <c r="S204" s="3">
        <f t="shared" si="3"/>
        <v>0</v>
      </c>
      <c r="T204" s="3" t="str">
        <f>_xlfn.XLOOKUP(C204,Tabla42[ADEP],Tabla42[Sector],"")</f>
        <v/>
      </c>
    </row>
    <row r="205" spans="1:20" x14ac:dyDescent="0.2">
      <c r="F205" s="2"/>
      <c r="I205" s="3"/>
      <c r="L205" s="3"/>
      <c r="N205" s="2"/>
      <c r="O205" s="3"/>
      <c r="Q205" s="3"/>
      <c r="R205" s="3" t="str">
        <f>IF(OR(G205="12R",G205="12L"),_xlfn.XLOOKUP(C205,Tabla42[ADEP],Tabla42[SID 12R],""),IF(OR(G205="30L",G205="30R"),_xlfn.XLOOKUP(C205,Tabla42[ADEP],Tabla42[SID 30L],""),""))</f>
        <v/>
      </c>
      <c r="S205" s="3">
        <f t="shared" si="3"/>
        <v>0</v>
      </c>
      <c r="T205" s="3" t="str">
        <f>_xlfn.XLOOKUP(C205,Tabla42[ADEP],Tabla42[Sector],"")</f>
        <v/>
      </c>
    </row>
    <row r="206" spans="1:20" x14ac:dyDescent="0.2">
      <c r="F206" s="2"/>
      <c r="I206" s="3"/>
      <c r="L206" s="3"/>
      <c r="N206" s="2"/>
      <c r="O206" s="3"/>
      <c r="Q206" s="3"/>
      <c r="R206" s="3" t="str">
        <f>IF(OR(G206="12R",G206="12L"),_xlfn.XLOOKUP(C206,Tabla42[ADEP],Tabla42[SID 12R],""),IF(OR(G206="30L",G206="30R"),_xlfn.XLOOKUP(C206,Tabla42[ADEP],Tabla42[SID 30L],""),""))</f>
        <v/>
      </c>
      <c r="S206" s="3">
        <f t="shared" si="3"/>
        <v>0</v>
      </c>
      <c r="T206" s="3" t="str">
        <f>_xlfn.XLOOKUP(C206,Tabla42[ADEP],Tabla42[Sector],"")</f>
        <v/>
      </c>
    </row>
    <row r="207" spans="1:20" x14ac:dyDescent="0.2">
      <c r="F207" s="2"/>
      <c r="I207" s="3"/>
      <c r="L207" s="3"/>
      <c r="N207" s="2"/>
      <c r="O207" s="3"/>
      <c r="Q207" s="3"/>
      <c r="R207" s="3" t="str">
        <f>IF(OR(G207="12R",G207="12L"),_xlfn.XLOOKUP(C207,Tabla42[ADEP],Tabla42[SID 12R],""),IF(OR(G207="30L",G207="30R"),_xlfn.XLOOKUP(C207,Tabla42[ADEP],Tabla42[SID 30L],""),""))</f>
        <v/>
      </c>
      <c r="S207" s="3">
        <f t="shared" si="3"/>
        <v>0</v>
      </c>
      <c r="T207" s="3" t="str">
        <f>_xlfn.XLOOKUP(C207,Tabla42[ADEP],Tabla42[Sector],"")</f>
        <v/>
      </c>
    </row>
    <row r="208" spans="1:20" ht="16" customHeight="1" x14ac:dyDescent="0.2">
      <c r="F208" s="2"/>
      <c r="I208" s="3"/>
      <c r="L208" s="3"/>
      <c r="N208" s="2"/>
      <c r="O208" s="3"/>
      <c r="Q208" s="3"/>
      <c r="R208" s="3" t="str">
        <f>IF(OR(G208="12R",G208="12L"),_xlfn.XLOOKUP(C208,Tabla42[ADEP],Tabla42[SID 12R],""),IF(OR(G208="30L",G208="30R"),_xlfn.XLOOKUP(C208,Tabla42[ADEP],Tabla42[SID 30L],""),""))</f>
        <v/>
      </c>
      <c r="S208" s="3">
        <f t="shared" si="3"/>
        <v>0</v>
      </c>
      <c r="T208" s="3" t="str">
        <f>_xlfn.XLOOKUP(C208,Tabla42[ADEP],Tabla42[Sector],"")</f>
        <v/>
      </c>
    </row>
    <row r="209" spans="1:20" ht="16" customHeight="1" x14ac:dyDescent="0.2">
      <c r="F209" s="2"/>
      <c r="I209" s="3"/>
      <c r="L209" s="3"/>
      <c r="N209" s="2"/>
      <c r="O209" s="3"/>
      <c r="Q209" s="3"/>
      <c r="R209" s="3" t="str">
        <f>IF(OR(G209="12R",G209="12L"),_xlfn.XLOOKUP(C209,Tabla42[ADEP],Tabla42[SID 12R],""),IF(OR(G209="30L",G209="30R"),_xlfn.XLOOKUP(C209,Tabla42[ADEP],Tabla42[SID 30L],""),""))</f>
        <v/>
      </c>
      <c r="S209" s="3">
        <f t="shared" si="3"/>
        <v>0</v>
      </c>
      <c r="T209" s="3" t="str">
        <f>_xlfn.XLOOKUP(C209,Tabla42[ADEP],Tabla42[Sector],"")</f>
        <v/>
      </c>
    </row>
    <row r="210" spans="1:20" x14ac:dyDescent="0.2">
      <c r="F210" s="2"/>
      <c r="I210" s="3"/>
      <c r="L210" s="3"/>
      <c r="N210" s="2"/>
      <c r="O210" s="3"/>
      <c r="Q210" s="3"/>
      <c r="R210" s="3" t="str">
        <f>IF(OR(G210="12R",G210="12L"),_xlfn.XLOOKUP(C210,Tabla42[ADEP],Tabla42[SID 12R],""),IF(OR(G210="30L",G210="30R"),_xlfn.XLOOKUP(C210,Tabla42[ADEP],Tabla42[SID 30L],""),""))</f>
        <v/>
      </c>
      <c r="S210" s="3">
        <f t="shared" si="3"/>
        <v>0</v>
      </c>
      <c r="T210" s="3" t="str">
        <f>_xlfn.XLOOKUP(C210,Tabla42[ADEP],Tabla42[Sector],"")</f>
        <v/>
      </c>
    </row>
    <row r="211" spans="1:20" x14ac:dyDescent="0.2">
      <c r="F211" s="2"/>
      <c r="I211" s="3"/>
      <c r="L211" s="3"/>
      <c r="N211" s="2"/>
      <c r="O211" s="3"/>
      <c r="Q211" s="3"/>
      <c r="R211" s="3" t="str">
        <f>IF(OR(G211="12R",G211="12L"),_xlfn.XLOOKUP(C211,Tabla42[ADEP],Tabla42[SID 12R],""),IF(OR(G211="30L",G211="30R"),_xlfn.XLOOKUP(C211,Tabla42[ADEP],Tabla42[SID 30L],""),""))</f>
        <v/>
      </c>
      <c r="S211" s="3">
        <f t="shared" si="3"/>
        <v>0</v>
      </c>
      <c r="T211" s="3" t="str">
        <f>_xlfn.XLOOKUP(C211,Tabla42[ADEP],Tabla42[Sector],"")</f>
        <v/>
      </c>
    </row>
    <row r="212" spans="1:20" x14ac:dyDescent="0.2">
      <c r="F212" s="2"/>
      <c r="I212" s="3"/>
      <c r="L212" s="3"/>
      <c r="N212" s="2"/>
      <c r="O212" s="3"/>
      <c r="Q212" s="3"/>
      <c r="R212" s="3" t="str">
        <f>IF(OR(G212="12R",G212="12L"),_xlfn.XLOOKUP(C212,Tabla42[ADEP],Tabla42[SID 12R],""),IF(OR(G212="30L",G212="30R"),_xlfn.XLOOKUP(C212,Tabla42[ADEP],Tabla42[SID 30L],""),""))</f>
        <v/>
      </c>
      <c r="S212" s="3">
        <f t="shared" si="3"/>
        <v>0</v>
      </c>
      <c r="T212" s="3" t="str">
        <f>_xlfn.XLOOKUP(C212,Tabla42[ADEP],Tabla42[Sector],"")</f>
        <v/>
      </c>
    </row>
    <row r="213" spans="1:20" x14ac:dyDescent="0.2">
      <c r="F213" s="2"/>
      <c r="I213" s="3"/>
      <c r="L213" s="3"/>
      <c r="N213" s="2"/>
      <c r="O213" s="3"/>
      <c r="Q213" s="3"/>
      <c r="R213" s="3" t="str">
        <f>IF(OR(G213="12R",G213="12L"),_xlfn.XLOOKUP(C213,Tabla42[ADEP],Tabla42[SID 12R],""),IF(OR(G213="30L",G213="30R"),_xlfn.XLOOKUP(C213,Tabla42[ADEP],Tabla42[SID 30L],""),""))</f>
        <v/>
      </c>
      <c r="S213" s="3">
        <f t="shared" si="3"/>
        <v>0</v>
      </c>
      <c r="T213" s="3" t="str">
        <f>_xlfn.XLOOKUP(C213,Tabla42[ADEP],Tabla42[Sector],"")</f>
        <v/>
      </c>
    </row>
    <row r="214" spans="1:20" x14ac:dyDescent="0.2">
      <c r="F214" s="2"/>
      <c r="I214" s="3"/>
      <c r="L214" s="3"/>
      <c r="N214" s="2"/>
      <c r="O214" s="3"/>
      <c r="Q214" s="3"/>
      <c r="R214" s="3" t="str">
        <f>IF(OR(G214="12R",G214="12L"),_xlfn.XLOOKUP(C214,Tabla42[ADEP],Tabla42[SID 12R],""),IF(OR(G214="30L",G214="30R"),_xlfn.XLOOKUP(C214,Tabla42[ADEP],Tabla42[SID 30L],""),""))</f>
        <v/>
      </c>
      <c r="S214" s="3">
        <f t="shared" si="3"/>
        <v>0</v>
      </c>
      <c r="T214" s="3" t="str">
        <f>_xlfn.XLOOKUP(C214,Tabla42[ADEP],Tabla42[Sector],"")</f>
        <v/>
      </c>
    </row>
    <row r="215" spans="1:20" x14ac:dyDescent="0.2">
      <c r="F215" s="2"/>
      <c r="I215" s="3"/>
      <c r="L215" s="3"/>
      <c r="N215" s="2"/>
      <c r="O215" s="3"/>
      <c r="Q215" s="3"/>
      <c r="R215" s="3" t="str">
        <f>IF(OR(G215="12R",G215="12L"),_xlfn.XLOOKUP(C215,Tabla42[ADEP],Tabla42[SID 12R],""),IF(OR(G215="30L",G215="30R"),_xlfn.XLOOKUP(C215,Tabla42[ADEP],Tabla42[SID 30L],""),""))</f>
        <v/>
      </c>
      <c r="S215" s="3">
        <f t="shared" si="3"/>
        <v>0</v>
      </c>
      <c r="T215" s="3" t="str">
        <f>_xlfn.XLOOKUP(C215,Tabla42[ADEP],Tabla42[Sector],"")</f>
        <v/>
      </c>
    </row>
    <row r="216" spans="1:20" x14ac:dyDescent="0.2">
      <c r="F216" s="2"/>
      <c r="I216" s="3"/>
      <c r="L216" s="3"/>
      <c r="N216" s="2"/>
      <c r="O216" s="3"/>
      <c r="Q216" s="3"/>
      <c r="R216" s="3" t="str">
        <f>IF(OR(G216="12R",G216="12L"),_xlfn.XLOOKUP(C216,Tabla42[ADEP],Tabla42[SID 12R],""),IF(OR(G216="30L",G216="30R"),_xlfn.XLOOKUP(C216,Tabla42[ADEP],Tabla42[SID 30L],""),""))</f>
        <v/>
      </c>
      <c r="S216" s="3">
        <f t="shared" si="3"/>
        <v>0</v>
      </c>
      <c r="T216" s="3" t="str">
        <f>_xlfn.XLOOKUP(C216,Tabla42[ADEP],Tabla42[Sector],"")</f>
        <v/>
      </c>
    </row>
    <row r="217" spans="1:20" x14ac:dyDescent="0.2">
      <c r="F217" s="2"/>
      <c r="I217" s="3"/>
      <c r="L217" s="3"/>
      <c r="N217" s="2"/>
      <c r="O217" s="3"/>
      <c r="Q217" s="3"/>
      <c r="R217" s="3" t="str">
        <f>IF(OR(G217="12R",G217="12L"),_xlfn.XLOOKUP(C217,Tabla42[ADEP],Tabla42[SID 12R],""),IF(OR(G217="30L",G217="30R"),_xlfn.XLOOKUP(C217,Tabla42[ADEP],Tabla42[SID 30L],""),""))</f>
        <v/>
      </c>
      <c r="S217" s="3">
        <f t="shared" si="3"/>
        <v>0</v>
      </c>
      <c r="T217" s="3" t="str">
        <f>_xlfn.XLOOKUP(C217,Tabla42[ADEP],Tabla42[Sector],"")</f>
        <v/>
      </c>
    </row>
    <row r="218" spans="1:20" x14ac:dyDescent="0.2">
      <c r="F218" s="2"/>
      <c r="I218" s="3"/>
      <c r="L218" s="3"/>
      <c r="N218" s="2"/>
      <c r="O218" s="3"/>
      <c r="Q218" s="3"/>
      <c r="R218" s="3" t="str">
        <f>IF(OR(G218="12R",G218="12L"),_xlfn.XLOOKUP(C218,Tabla42[ADEP],Tabla42[SID 12R],""),IF(OR(G218="30L",G218="30R"),_xlfn.XLOOKUP(C218,Tabla42[ADEP],Tabla42[SID 30L],""),""))</f>
        <v/>
      </c>
      <c r="S218" s="3">
        <f t="shared" si="3"/>
        <v>0</v>
      </c>
      <c r="T218" s="3" t="str">
        <f>_xlfn.XLOOKUP(C218,Tabla42[ADEP],Tabla42[Sector],"")</f>
        <v/>
      </c>
    </row>
    <row r="219" spans="1:20" x14ac:dyDescent="0.2">
      <c r="F219" s="2"/>
      <c r="I219" s="3"/>
      <c r="L219" s="3"/>
      <c r="N219" s="2"/>
      <c r="O219" s="3"/>
      <c r="Q219" s="3"/>
      <c r="R219" s="3" t="str">
        <f>IF(OR(G219="12R",G219="12L"),_xlfn.XLOOKUP(C219,Tabla42[ADEP],Tabla42[SID 12R],""),IF(OR(G219="30L",G219="30R"),_xlfn.XLOOKUP(C219,Tabla42[ADEP],Tabla42[SID 30L],""),""))</f>
        <v/>
      </c>
      <c r="S219" s="3">
        <f t="shared" si="3"/>
        <v>0</v>
      </c>
      <c r="T219" s="3" t="str">
        <f>_xlfn.XLOOKUP(C219,Tabla42[ADEP],Tabla42[Sector],"")</f>
        <v/>
      </c>
    </row>
    <row r="220" spans="1:20" x14ac:dyDescent="0.2">
      <c r="F220" s="2"/>
      <c r="I220" s="3"/>
      <c r="L220" s="3"/>
      <c r="N220" s="2"/>
      <c r="O220" s="3"/>
      <c r="Q220" s="3"/>
      <c r="R220" s="3" t="str">
        <f>IF(OR(G220="12R",G220="12L"),_xlfn.XLOOKUP(C220,Tabla42[ADEP],Tabla42[SID 12R],""),IF(OR(G220="30L",G220="30R"),_xlfn.XLOOKUP(C220,Tabla42[ADEP],Tabla42[SID 30L],""),""))</f>
        <v/>
      </c>
      <c r="S220" s="3">
        <f t="shared" si="3"/>
        <v>0</v>
      </c>
      <c r="T220" s="3" t="str">
        <f>_xlfn.XLOOKUP(C220,Tabla42[ADEP],Tabla42[Sector],"")</f>
        <v/>
      </c>
    </row>
    <row r="221" spans="1:20" ht="24" x14ac:dyDescent="0.3">
      <c r="A221" s="20" t="s">
        <v>1988</v>
      </c>
      <c r="B221" s="20"/>
      <c r="C221" s="20"/>
      <c r="D221" s="20"/>
      <c r="E221" s="20"/>
      <c r="F221" s="20"/>
      <c r="G221" s="20"/>
      <c r="H221" s="20"/>
      <c r="I221" s="20"/>
    </row>
    <row r="223" spans="1:20" x14ac:dyDescent="0.2">
      <c r="A223" s="21" t="s">
        <v>941</v>
      </c>
      <c r="B223" s="21"/>
      <c r="C223" s="21"/>
      <c r="D223" s="21"/>
      <c r="E223" s="21"/>
      <c r="F223" s="21"/>
      <c r="G223" s="21"/>
      <c r="H223" s="21"/>
      <c r="I223" s="21"/>
    </row>
    <row r="225" spans="1:9" x14ac:dyDescent="0.2">
      <c r="A225" s="22" t="s">
        <v>942</v>
      </c>
      <c r="B225" s="22"/>
      <c r="C225" s="22"/>
      <c r="D225" s="22"/>
      <c r="E225" s="22"/>
      <c r="F225" s="22"/>
      <c r="G225" s="22"/>
      <c r="H225" s="22"/>
      <c r="I225" s="22"/>
    </row>
    <row r="226" spans="1:9" x14ac:dyDescent="0.2">
      <c r="A226" s="4" t="s">
        <v>943</v>
      </c>
      <c r="B226" s="5" t="s">
        <v>937</v>
      </c>
      <c r="C226" s="5" t="s">
        <v>933</v>
      </c>
      <c r="D226" s="5" t="s">
        <v>936</v>
      </c>
      <c r="E226" s="5" t="s">
        <v>39</v>
      </c>
      <c r="F226" s="5" t="s">
        <v>932</v>
      </c>
      <c r="G226" s="5" t="s">
        <v>111</v>
      </c>
      <c r="H226" s="5" t="s">
        <v>931</v>
      </c>
      <c r="I226" s="6" t="s">
        <v>940</v>
      </c>
    </row>
    <row r="227" spans="1:9" x14ac:dyDescent="0.2">
      <c r="A227" s="7">
        <v>14</v>
      </c>
      <c r="B227" s="8">
        <f t="shared" ref="B227:H235" si="4">COUNTIFS($S$2:$S$220,$A227,$R$2:$R$220,B$226)</f>
        <v>1</v>
      </c>
      <c r="C227" s="8">
        <f t="shared" si="4"/>
        <v>0</v>
      </c>
      <c r="D227" s="8">
        <f t="shared" si="4"/>
        <v>0</v>
      </c>
      <c r="E227" s="8">
        <f t="shared" si="4"/>
        <v>0</v>
      </c>
      <c r="F227" s="8">
        <f t="shared" si="4"/>
        <v>1</v>
      </c>
      <c r="G227" s="8">
        <f t="shared" si="4"/>
        <v>0</v>
      </c>
      <c r="H227" s="8">
        <f t="shared" si="4"/>
        <v>2</v>
      </c>
      <c r="I227" s="9">
        <f t="shared" ref="I227:I235" si="5">SUM(B227:H227)</f>
        <v>4</v>
      </c>
    </row>
    <row r="228" spans="1:9" x14ac:dyDescent="0.2">
      <c r="A228" s="7">
        <v>15</v>
      </c>
      <c r="B228" s="8">
        <f t="shared" si="4"/>
        <v>0</v>
      </c>
      <c r="C228" s="8">
        <f t="shared" si="4"/>
        <v>0</v>
      </c>
      <c r="D228" s="8">
        <f t="shared" si="4"/>
        <v>0</v>
      </c>
      <c r="E228" s="8">
        <f t="shared" si="4"/>
        <v>1</v>
      </c>
      <c r="F228" s="8">
        <f t="shared" si="4"/>
        <v>2</v>
      </c>
      <c r="G228" s="8">
        <f t="shared" si="4"/>
        <v>0</v>
      </c>
      <c r="H228" s="8">
        <f t="shared" si="4"/>
        <v>7</v>
      </c>
      <c r="I228" s="9">
        <f t="shared" si="5"/>
        <v>10</v>
      </c>
    </row>
    <row r="229" spans="1:9" x14ac:dyDescent="0.2">
      <c r="A229" s="7">
        <v>16</v>
      </c>
      <c r="B229" s="8">
        <f t="shared" si="4"/>
        <v>2</v>
      </c>
      <c r="C229" s="8">
        <f t="shared" si="4"/>
        <v>4</v>
      </c>
      <c r="D229" s="8">
        <f t="shared" si="4"/>
        <v>0</v>
      </c>
      <c r="E229" s="8">
        <f t="shared" si="4"/>
        <v>0</v>
      </c>
      <c r="F229" s="8">
        <f t="shared" si="4"/>
        <v>2</v>
      </c>
      <c r="G229" s="8">
        <f t="shared" si="4"/>
        <v>2</v>
      </c>
      <c r="H229" s="8">
        <f t="shared" si="4"/>
        <v>7</v>
      </c>
      <c r="I229" s="9">
        <f t="shared" si="5"/>
        <v>17</v>
      </c>
    </row>
    <row r="230" spans="1:9" x14ac:dyDescent="0.2">
      <c r="A230" s="7">
        <v>17</v>
      </c>
      <c r="B230" s="8">
        <f t="shared" si="4"/>
        <v>0</v>
      </c>
      <c r="C230" s="8">
        <f t="shared" si="4"/>
        <v>5</v>
      </c>
      <c r="D230" s="8">
        <f t="shared" si="4"/>
        <v>0</v>
      </c>
      <c r="E230" s="8">
        <f t="shared" si="4"/>
        <v>2</v>
      </c>
      <c r="F230" s="8">
        <f t="shared" si="4"/>
        <v>3</v>
      </c>
      <c r="G230" s="8">
        <f t="shared" si="4"/>
        <v>1</v>
      </c>
      <c r="H230" s="8">
        <f t="shared" si="4"/>
        <v>5</v>
      </c>
      <c r="I230" s="9">
        <f t="shared" si="5"/>
        <v>16</v>
      </c>
    </row>
    <row r="231" spans="1:9" x14ac:dyDescent="0.2">
      <c r="A231" s="7">
        <v>18</v>
      </c>
      <c r="B231" s="8">
        <f t="shared" si="4"/>
        <v>0</v>
      </c>
      <c r="C231" s="8">
        <f t="shared" si="4"/>
        <v>4</v>
      </c>
      <c r="D231" s="8">
        <f t="shared" si="4"/>
        <v>0</v>
      </c>
      <c r="E231" s="8">
        <f t="shared" si="4"/>
        <v>0</v>
      </c>
      <c r="F231" s="8">
        <f t="shared" si="4"/>
        <v>5</v>
      </c>
      <c r="G231" s="8">
        <f t="shared" si="4"/>
        <v>1</v>
      </c>
      <c r="H231" s="8">
        <f t="shared" si="4"/>
        <v>7</v>
      </c>
      <c r="I231" s="9">
        <f t="shared" si="5"/>
        <v>17</v>
      </c>
    </row>
    <row r="232" spans="1:9" x14ac:dyDescent="0.2">
      <c r="A232" s="7">
        <v>19</v>
      </c>
      <c r="B232" s="8">
        <f t="shared" si="4"/>
        <v>2</v>
      </c>
      <c r="C232" s="8">
        <f t="shared" si="4"/>
        <v>7</v>
      </c>
      <c r="D232" s="8">
        <f t="shared" si="4"/>
        <v>0</v>
      </c>
      <c r="E232" s="8">
        <f t="shared" si="4"/>
        <v>3</v>
      </c>
      <c r="F232" s="8">
        <f t="shared" si="4"/>
        <v>4</v>
      </c>
      <c r="G232" s="8">
        <f t="shared" si="4"/>
        <v>1</v>
      </c>
      <c r="H232" s="8">
        <f t="shared" si="4"/>
        <v>7</v>
      </c>
      <c r="I232" s="9">
        <f t="shared" si="5"/>
        <v>24</v>
      </c>
    </row>
    <row r="233" spans="1:9" x14ac:dyDescent="0.2">
      <c r="A233" s="7">
        <v>20</v>
      </c>
      <c r="B233" s="8">
        <f t="shared" si="4"/>
        <v>0</v>
      </c>
      <c r="C233" s="8">
        <f t="shared" si="4"/>
        <v>3</v>
      </c>
      <c r="D233" s="8">
        <f t="shared" si="4"/>
        <v>0</v>
      </c>
      <c r="E233" s="8">
        <f t="shared" si="4"/>
        <v>0</v>
      </c>
      <c r="F233" s="8">
        <f t="shared" si="4"/>
        <v>2</v>
      </c>
      <c r="G233" s="8">
        <f t="shared" si="4"/>
        <v>0</v>
      </c>
      <c r="H233" s="8">
        <f t="shared" si="4"/>
        <v>11</v>
      </c>
      <c r="I233" s="9">
        <f t="shared" si="5"/>
        <v>16</v>
      </c>
    </row>
    <row r="234" spans="1:9" x14ac:dyDescent="0.2">
      <c r="A234" s="7">
        <v>21</v>
      </c>
      <c r="B234" s="8">
        <f t="shared" si="4"/>
        <v>1</v>
      </c>
      <c r="C234" s="8">
        <f t="shared" si="4"/>
        <v>3</v>
      </c>
      <c r="D234" s="8">
        <f t="shared" si="4"/>
        <v>0</v>
      </c>
      <c r="E234" s="8">
        <f t="shared" si="4"/>
        <v>3</v>
      </c>
      <c r="F234" s="8">
        <f t="shared" si="4"/>
        <v>3</v>
      </c>
      <c r="G234" s="8">
        <f t="shared" si="4"/>
        <v>1</v>
      </c>
      <c r="H234" s="8">
        <f t="shared" si="4"/>
        <v>7</v>
      </c>
      <c r="I234" s="9">
        <f t="shared" si="5"/>
        <v>18</v>
      </c>
    </row>
    <row r="235" spans="1:9" x14ac:dyDescent="0.2">
      <c r="A235" s="10">
        <v>22</v>
      </c>
      <c r="B235" s="11">
        <f t="shared" si="4"/>
        <v>0</v>
      </c>
      <c r="C235" s="11">
        <f t="shared" si="4"/>
        <v>2</v>
      </c>
      <c r="D235" s="11">
        <f t="shared" si="4"/>
        <v>1</v>
      </c>
      <c r="E235" s="11">
        <f t="shared" si="4"/>
        <v>1</v>
      </c>
      <c r="F235" s="11">
        <f t="shared" si="4"/>
        <v>1</v>
      </c>
      <c r="G235" s="11">
        <f t="shared" si="4"/>
        <v>1</v>
      </c>
      <c r="H235" s="11">
        <f t="shared" si="4"/>
        <v>4</v>
      </c>
      <c r="I235" s="12">
        <f t="shared" si="5"/>
        <v>10</v>
      </c>
    </row>
    <row r="258" spans="1:9" ht="24" x14ac:dyDescent="0.3">
      <c r="A258" s="20" t="s">
        <v>1989</v>
      </c>
      <c r="B258" s="20"/>
      <c r="C258" s="20"/>
      <c r="D258" s="20"/>
      <c r="E258" s="20"/>
      <c r="F258" s="20"/>
      <c r="G258" s="20"/>
      <c r="H258" s="20"/>
      <c r="I258" s="20"/>
    </row>
    <row r="259" spans="1:9" x14ac:dyDescent="0.2">
      <c r="A259" s="21" t="s">
        <v>945</v>
      </c>
      <c r="B259" s="21"/>
      <c r="C259" s="21"/>
      <c r="D259" s="21"/>
      <c r="E259" s="21"/>
      <c r="F259" s="21"/>
      <c r="G259" s="21"/>
      <c r="H259" s="21"/>
      <c r="I259" s="21"/>
    </row>
    <row r="261" spans="1:9" x14ac:dyDescent="0.2">
      <c r="A261" s="22" t="s">
        <v>946</v>
      </c>
      <c r="B261" s="22"/>
      <c r="C261" s="22"/>
      <c r="D261" s="22"/>
      <c r="E261" s="22"/>
    </row>
    <row r="262" spans="1:9" x14ac:dyDescent="0.2">
      <c r="A262" s="4" t="s">
        <v>943</v>
      </c>
      <c r="B262" s="5" t="s">
        <v>947</v>
      </c>
      <c r="C262" s="5" t="s">
        <v>839</v>
      </c>
      <c r="D262" s="5" t="s">
        <v>843</v>
      </c>
      <c r="E262" s="6" t="s">
        <v>940</v>
      </c>
    </row>
    <row r="263" spans="1:9" x14ac:dyDescent="0.2">
      <c r="A263" s="7">
        <v>14</v>
      </c>
      <c r="B263" s="8">
        <f t="shared" ref="B263:D272" si="6">COUNTIFS($S$2:$S$220,$A263,$T$2:$T$220,B$262)</f>
        <v>2</v>
      </c>
      <c r="C263" s="8">
        <f t="shared" si="6"/>
        <v>1</v>
      </c>
      <c r="D263" s="8">
        <f t="shared" si="6"/>
        <v>1</v>
      </c>
      <c r="E263" s="9">
        <f t="shared" ref="E263:E272" si="7">SUM(B263:D263)</f>
        <v>4</v>
      </c>
    </row>
    <row r="264" spans="1:9" x14ac:dyDescent="0.2">
      <c r="A264" s="7">
        <v>15</v>
      </c>
      <c r="B264" s="8">
        <f t="shared" si="6"/>
        <v>7</v>
      </c>
      <c r="C264" s="8">
        <f t="shared" si="6"/>
        <v>3</v>
      </c>
      <c r="D264" s="8">
        <f t="shared" si="6"/>
        <v>0</v>
      </c>
      <c r="E264" s="9">
        <f t="shared" si="7"/>
        <v>10</v>
      </c>
    </row>
    <row r="265" spans="1:9" x14ac:dyDescent="0.2">
      <c r="A265" s="7">
        <v>16</v>
      </c>
      <c r="B265" s="8">
        <f t="shared" si="6"/>
        <v>7</v>
      </c>
      <c r="C265" s="8">
        <f t="shared" si="6"/>
        <v>6</v>
      </c>
      <c r="D265" s="8">
        <f t="shared" si="6"/>
        <v>4</v>
      </c>
      <c r="E265" s="9">
        <f t="shared" si="7"/>
        <v>17</v>
      </c>
    </row>
    <row r="266" spans="1:9" x14ac:dyDescent="0.2">
      <c r="A266" s="7">
        <v>17</v>
      </c>
      <c r="B266" s="8">
        <f t="shared" si="6"/>
        <v>5</v>
      </c>
      <c r="C266" s="8">
        <f t="shared" si="6"/>
        <v>10</v>
      </c>
      <c r="D266" s="8">
        <f t="shared" si="6"/>
        <v>1</v>
      </c>
      <c r="E266" s="9">
        <f t="shared" si="7"/>
        <v>16</v>
      </c>
    </row>
    <row r="267" spans="1:9" x14ac:dyDescent="0.2">
      <c r="A267" s="7">
        <v>18</v>
      </c>
      <c r="B267" s="8">
        <f t="shared" si="6"/>
        <v>7</v>
      </c>
      <c r="C267" s="8">
        <f t="shared" si="6"/>
        <v>9</v>
      </c>
      <c r="D267" s="8">
        <f t="shared" si="6"/>
        <v>1</v>
      </c>
      <c r="E267" s="9">
        <f t="shared" si="7"/>
        <v>17</v>
      </c>
    </row>
    <row r="268" spans="1:9" x14ac:dyDescent="0.2">
      <c r="A268" s="7">
        <v>19</v>
      </c>
      <c r="B268" s="8">
        <f t="shared" si="6"/>
        <v>7</v>
      </c>
      <c r="C268" s="8">
        <f t="shared" si="6"/>
        <v>14</v>
      </c>
      <c r="D268" s="8">
        <f t="shared" si="6"/>
        <v>3</v>
      </c>
      <c r="E268" s="9">
        <f t="shared" si="7"/>
        <v>24</v>
      </c>
    </row>
    <row r="269" spans="1:9" x14ac:dyDescent="0.2">
      <c r="A269" s="7">
        <v>20</v>
      </c>
      <c r="B269" s="8">
        <f t="shared" si="6"/>
        <v>11</v>
      </c>
      <c r="C269" s="8">
        <f t="shared" si="6"/>
        <v>5</v>
      </c>
      <c r="D269" s="8">
        <f t="shared" si="6"/>
        <v>0</v>
      </c>
      <c r="E269" s="9">
        <f t="shared" si="7"/>
        <v>16</v>
      </c>
    </row>
    <row r="270" spans="1:9" x14ac:dyDescent="0.2">
      <c r="A270" s="7">
        <v>21</v>
      </c>
      <c r="B270" s="8">
        <f t="shared" si="6"/>
        <v>7</v>
      </c>
      <c r="C270" s="8">
        <f t="shared" si="6"/>
        <v>9</v>
      </c>
      <c r="D270" s="8">
        <f t="shared" si="6"/>
        <v>2</v>
      </c>
      <c r="E270" s="9">
        <f t="shared" si="7"/>
        <v>18</v>
      </c>
    </row>
    <row r="271" spans="1:9" x14ac:dyDescent="0.2">
      <c r="A271" s="7">
        <v>22</v>
      </c>
      <c r="B271" s="8">
        <f t="shared" si="6"/>
        <v>4</v>
      </c>
      <c r="C271" s="8">
        <f t="shared" si="6"/>
        <v>4</v>
      </c>
      <c r="D271" s="8">
        <f t="shared" si="6"/>
        <v>2</v>
      </c>
      <c r="E271" s="9">
        <f t="shared" si="7"/>
        <v>10</v>
      </c>
    </row>
    <row r="272" spans="1:9" x14ac:dyDescent="0.2">
      <c r="A272" s="10">
        <v>23</v>
      </c>
      <c r="B272" s="11">
        <f t="shared" si="6"/>
        <v>0</v>
      </c>
      <c r="C272" s="11">
        <f t="shared" si="6"/>
        <v>0</v>
      </c>
      <c r="D272" s="11">
        <f t="shared" si="6"/>
        <v>2</v>
      </c>
      <c r="E272" s="12">
        <f t="shared" si="7"/>
        <v>2</v>
      </c>
    </row>
  </sheetData>
  <mergeCells count="6">
    <mergeCell ref="A221:I221"/>
    <mergeCell ref="A223:I223"/>
    <mergeCell ref="A225:I225"/>
    <mergeCell ref="A258:I258"/>
    <mergeCell ref="A259:I259"/>
    <mergeCell ref="A261:E261"/>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15</vt:i4>
      </vt:variant>
    </vt:vector>
  </HeadingPairs>
  <TitlesOfParts>
    <vt:vector size="15" baseType="lpstr">
      <vt:lpstr>DB</vt:lpstr>
      <vt:lpstr>2026-10-01</vt:lpstr>
      <vt:lpstr>2026-10-02</vt:lpstr>
      <vt:lpstr>2026-10-03</vt:lpstr>
      <vt:lpstr>2026-10-04</vt:lpstr>
      <vt:lpstr>2026-10-05</vt:lpstr>
      <vt:lpstr>2026-10-06</vt:lpstr>
      <vt:lpstr>2026-10-07</vt:lpstr>
      <vt:lpstr>2026-10-08</vt:lpstr>
      <vt:lpstr>2026-10-09</vt:lpstr>
      <vt:lpstr>2026-10-10</vt:lpstr>
      <vt:lpstr>2026-10-11</vt:lpstr>
      <vt:lpstr>2026-10-12</vt:lpstr>
      <vt:lpstr>2026-10-13</vt:lpstr>
      <vt:lpstr>2026-10-14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Castañeda SENEAM</dc:creator>
  <cp:lastModifiedBy>Horacio Castañeda SENEAM</cp:lastModifiedBy>
  <dcterms:created xsi:type="dcterms:W3CDTF">2026-09-11T01:28:46Z</dcterms:created>
  <dcterms:modified xsi:type="dcterms:W3CDTF">2026-10-15T16:04:14Z</dcterms:modified>
</cp:coreProperties>
</file>